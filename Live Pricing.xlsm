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M05\Google Drive\Shared Projects\Portfolio_Management\"/>
    </mc:Choice>
  </mc:AlternateContent>
  <xr:revisionPtr revIDLastSave="0" documentId="13_ncr:1_{58A8099D-3440-48B2-8313-2CF325342357}" xr6:coauthVersionLast="40" xr6:coauthVersionMax="40" xr10:uidLastSave="{00000000-0000-0000-0000-000000000000}"/>
  <bookViews>
    <workbookView xWindow="0" yWindow="0" windowWidth="12120" windowHeight="16440" tabRatio="925" activeTab="1" xr2:uid="{00000000-000D-0000-FFFF-FFFF00000000}"/>
  </bookViews>
  <sheets>
    <sheet name="Pricer" sheetId="48" r:id="rId1"/>
    <sheet name="DFs" sheetId="52" r:id="rId2"/>
    <sheet name="Schedule" sheetId="47" r:id="rId3"/>
    <sheet name="FX_Live" sheetId="44" r:id="rId4"/>
    <sheet name="Rate_Live" sheetId="39" r:id="rId5"/>
    <sheet name="Rate_History" sheetId="49" r:id="rId6"/>
    <sheet name="FX_Curve_Live" sheetId="42" r:id="rId7"/>
    <sheet name="FX_Curve_History" sheetId="50" r:id="rId8"/>
    <sheet name="FXFR" sheetId="46" r:id="rId9"/>
  </sheets>
  <functionGroups builtInGroupCount="19"/>
  <definedNames>
    <definedName name="Cash_Date">Pricer!$B$6</definedName>
    <definedName name="Future_Date">Pricer!$B$7</definedName>
    <definedName name="JPY_1Y_Adj" localSheetId="5">Rate_History!$N$57</definedName>
    <definedName name="JPY_1Y_Adj">Rate_Live!$N$57</definedName>
    <definedName name="JPY_2Y_Adj" localSheetId="5">Rate_History!$N$58</definedName>
    <definedName name="JPY_2Y_Adj">Rate_Live!$N$58</definedName>
    <definedName name="Pre_Date" localSheetId="5">Rate_History!$C$3</definedName>
    <definedName name="Pre_Date">Rate_Live!$C$3</definedName>
    <definedName name="Pre_Date_BRL" localSheetId="5">Rate_History!$F$3</definedName>
    <definedName name="Pre_Date_BRL">Rate_Live!$F$3</definedName>
    <definedName name="sdate" localSheetId="5">Rate_History!$C$1</definedName>
    <definedName name="sdate">Rate_Live!$C$1</definedName>
    <definedName name="SpreadsheetBuilder_1" localSheetId="7" hidden="1">#REF!</definedName>
    <definedName name="SpreadsheetBuilder_1" localSheetId="5" hidden="1">#REF!</definedName>
    <definedName name="SpreadsheetBuilder_1" hidden="1">#REF!</definedName>
    <definedName name="SpreadsheetBuilder_2" localSheetId="7" hidden="1">#REF!</definedName>
    <definedName name="SpreadsheetBuilder_2" localSheetId="5" hidden="1">#REF!</definedName>
    <definedName name="SpreadsheetBuilder_2" hidden="1">#REF!</definedName>
    <definedName name="SpreadsheetBuilder_3" localSheetId="7" hidden="1">FXFR!#REF!</definedName>
    <definedName name="SpreadsheetBuilder_3" localSheetId="5" hidden="1">FXFR!#REF!</definedName>
    <definedName name="SpreadsheetBuilder_3" hidden="1">FXFR!#REF!</definedName>
    <definedName name="Swap_Date">Pricer!$B$8</definedName>
    <definedName name="Today">Pricer!$B$4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48" l="1"/>
  <c r="B6" i="48" s="1"/>
  <c r="F197" i="39"/>
  <c r="F194" i="39"/>
  <c r="F191" i="39"/>
  <c r="F189" i="39"/>
  <c r="F188" i="39"/>
  <c r="F187" i="39"/>
  <c r="B187" i="39"/>
  <c r="B186" i="39"/>
  <c r="F186" i="39"/>
  <c r="F185" i="39"/>
  <c r="B185" i="39"/>
  <c r="B182" i="39"/>
  <c r="F184" i="39"/>
  <c r="B184" i="39"/>
  <c r="F183" i="39"/>
  <c r="F182" i="39"/>
  <c r="F181" i="39"/>
  <c r="B181" i="39"/>
  <c r="F164" i="39"/>
  <c r="F165" i="39"/>
  <c r="F163" i="39"/>
  <c r="F162" i="39"/>
  <c r="F161" i="39"/>
  <c r="B161" i="39"/>
  <c r="F160" i="39"/>
  <c r="B160" i="39"/>
  <c r="F159" i="39"/>
  <c r="B159" i="39"/>
  <c r="F158" i="39"/>
  <c r="F157" i="39"/>
  <c r="B157" i="39"/>
  <c r="F156" i="39"/>
  <c r="F145" i="39"/>
  <c r="D138" i="39"/>
  <c r="B135" i="39"/>
  <c r="B132" i="39"/>
  <c r="F137" i="39"/>
  <c r="F134" i="39"/>
  <c r="F143" i="39"/>
  <c r="D137" i="39"/>
  <c r="F133" i="39"/>
  <c r="B136" i="39"/>
  <c r="B133" i="39"/>
  <c r="D135" i="39"/>
  <c r="F144" i="39"/>
  <c r="F131" i="39"/>
  <c r="D134" i="39"/>
  <c r="F123" i="39"/>
  <c r="F140" i="39"/>
  <c r="F139" i="39"/>
  <c r="F138" i="39"/>
  <c r="F132" i="39"/>
  <c r="F142" i="39"/>
  <c r="F136" i="39"/>
  <c r="B134" i="39"/>
  <c r="D131" i="39" s="1"/>
  <c r="B131" i="39"/>
  <c r="F141" i="39"/>
  <c r="D136" i="39"/>
  <c r="D133" i="39"/>
  <c r="F135" i="39"/>
  <c r="F115" i="39"/>
  <c r="B111" i="39"/>
  <c r="D108" i="39"/>
  <c r="D110" i="39"/>
  <c r="D113" i="39"/>
  <c r="F117" i="39"/>
  <c r="B106" i="39"/>
  <c r="F122" i="39"/>
  <c r="F114" i="39"/>
  <c r="F110" i="39"/>
  <c r="B108" i="39"/>
  <c r="F121" i="39"/>
  <c r="F113" i="39"/>
  <c r="F107" i="39"/>
  <c r="F120" i="39"/>
  <c r="B110" i="39"/>
  <c r="B107" i="39"/>
  <c r="F111" i="39"/>
  <c r="F116" i="39"/>
  <c r="F108" i="39"/>
  <c r="F119" i="39"/>
  <c r="F112" i="39"/>
  <c r="F109" i="39"/>
  <c r="F106" i="39"/>
  <c r="F118" i="39"/>
  <c r="D112" i="39"/>
  <c r="D109" i="39"/>
  <c r="B109" i="39"/>
  <c r="D106" i="39" s="1"/>
  <c r="D111" i="39"/>
  <c r="F100" i="39"/>
  <c r="F92" i="39"/>
  <c r="F86" i="39"/>
  <c r="B84" i="39"/>
  <c r="B81" i="39"/>
  <c r="B86" i="39"/>
  <c r="F89" i="39"/>
  <c r="B83" i="39"/>
  <c r="F93" i="39"/>
  <c r="D81" i="39"/>
  <c r="F99" i="39"/>
  <c r="F91" i="39"/>
  <c r="D86" i="39"/>
  <c r="F83" i="39"/>
  <c r="F75" i="39"/>
  <c r="F98" i="39"/>
  <c r="F90" i="39"/>
  <c r="D83" i="39"/>
  <c r="F97" i="39"/>
  <c r="F85" i="39"/>
  <c r="F87" i="39"/>
  <c r="F81" i="39"/>
  <c r="D84" i="39"/>
  <c r="F96" i="39"/>
  <c r="F88" i="39"/>
  <c r="D85" i="39"/>
  <c r="F82" i="39"/>
  <c r="F95" i="39"/>
  <c r="D88" i="39"/>
  <c r="B85" i="39"/>
  <c r="B82" i="39"/>
  <c r="F94" i="39"/>
  <c r="F84" i="39"/>
  <c r="D87" i="39"/>
  <c r="F67" i="39"/>
  <c r="F61" i="39"/>
  <c r="B59" i="39"/>
  <c r="F56" i="39"/>
  <c r="D56" i="39"/>
  <c r="F65" i="39"/>
  <c r="B56" i="39"/>
  <c r="F64" i="39"/>
  <c r="F50" i="39"/>
  <c r="D62" i="39"/>
  <c r="F74" i="39"/>
  <c r="F66" i="39"/>
  <c r="D61" i="39"/>
  <c r="N58" i="39"/>
  <c r="F73" i="39"/>
  <c r="B61" i="39"/>
  <c r="F58" i="39"/>
  <c r="F72" i="39"/>
  <c r="F60" i="39"/>
  <c r="D58" i="39"/>
  <c r="F68" i="39"/>
  <c r="B57" i="39"/>
  <c r="F71" i="39"/>
  <c r="F63" i="39"/>
  <c r="D60" i="39"/>
  <c r="B58" i="39"/>
  <c r="F70" i="39"/>
  <c r="D63" i="39"/>
  <c r="B60" i="39"/>
  <c r="N57" i="39"/>
  <c r="F69" i="39"/>
  <c r="F62" i="39"/>
  <c r="F59" i="39"/>
  <c r="F57" i="39"/>
  <c r="D59" i="39"/>
  <c r="F42" i="39"/>
  <c r="F36" i="39"/>
  <c r="B34" i="39"/>
  <c r="B31" i="39"/>
  <c r="F48" i="39"/>
  <c r="D33" i="39"/>
  <c r="F39" i="39"/>
  <c r="F37" i="39"/>
  <c r="F43" i="39"/>
  <c r="F49" i="39"/>
  <c r="F41" i="39"/>
  <c r="D36" i="39"/>
  <c r="F33" i="39"/>
  <c r="F25" i="39"/>
  <c r="F40" i="39"/>
  <c r="B36" i="39"/>
  <c r="F47" i="39"/>
  <c r="F35" i="39"/>
  <c r="B33" i="39"/>
  <c r="F34" i="39"/>
  <c r="D37" i="39"/>
  <c r="D31" i="39"/>
  <c r="F46" i="39"/>
  <c r="F38" i="39"/>
  <c r="D35" i="39"/>
  <c r="F32" i="39"/>
  <c r="F45" i="39"/>
  <c r="D38" i="39"/>
  <c r="B35" i="39"/>
  <c r="B32" i="39"/>
  <c r="F44" i="39"/>
  <c r="F31" i="39"/>
  <c r="D34" i="39"/>
  <c r="F17" i="39"/>
  <c r="F11" i="39"/>
  <c r="B9" i="39"/>
  <c r="D6" i="39"/>
  <c r="D10" i="39"/>
  <c r="N57" i="49"/>
  <c r="D13" i="39"/>
  <c r="F19" i="39"/>
  <c r="B7" i="39"/>
  <c r="D9" i="39"/>
  <c r="F24" i="39"/>
  <c r="F16" i="39"/>
  <c r="D11" i="39"/>
  <c r="F8" i="39"/>
  <c r="B6" i="39"/>
  <c r="F23" i="39"/>
  <c r="F15" i="39"/>
  <c r="B11" i="39"/>
  <c r="D8" i="39"/>
  <c r="D7" i="39"/>
  <c r="F9" i="39"/>
  <c r="D12" i="39"/>
  <c r="F6" i="39"/>
  <c r="F22" i="39"/>
  <c r="F14" i="39"/>
  <c r="F10" i="39"/>
  <c r="B8" i="39"/>
  <c r="N58" i="49"/>
  <c r="F21" i="39"/>
  <c r="F13" i="39"/>
  <c r="F7" i="39"/>
  <c r="F20" i="39"/>
  <c r="B10" i="39"/>
  <c r="F12" i="39"/>
  <c r="F18" i="39"/>
  <c r="F26" i="39" l="1"/>
  <c r="F51" i="39"/>
  <c r="F76" i="39"/>
  <c r="F101" i="39"/>
  <c r="F124" i="39"/>
  <c r="F146" i="39"/>
  <c r="O156" i="39"/>
  <c r="P156" i="39"/>
  <c r="B158" i="39"/>
  <c r="B156" i="39"/>
  <c r="O157" i="39"/>
  <c r="P157" i="39" s="1"/>
  <c r="G157" i="39"/>
  <c r="O158" i="39"/>
  <c r="P158" i="39" s="1"/>
  <c r="G158" i="39"/>
  <c r="O159" i="39"/>
  <c r="P159" i="39"/>
  <c r="G159" i="39"/>
  <c r="O160" i="39"/>
  <c r="P160" i="39" s="1"/>
  <c r="G160" i="39"/>
  <c r="O161" i="39"/>
  <c r="P161" i="39" s="1"/>
  <c r="G161" i="39"/>
  <c r="O162" i="39"/>
  <c r="P162" i="39" s="1"/>
  <c r="G162" i="39"/>
  <c r="O163" i="39"/>
  <c r="P163" i="39" s="1"/>
  <c r="G163" i="39"/>
  <c r="G165" i="39"/>
  <c r="P165" i="39"/>
  <c r="F167" i="39"/>
  <c r="L154" i="39"/>
  <c r="O164" i="39"/>
  <c r="O165" i="39" s="1"/>
  <c r="O166" i="39" s="1"/>
  <c r="O167" i="39" s="1"/>
  <c r="O168" i="39" s="1"/>
  <c r="O169" i="39" s="1"/>
  <c r="O170" i="39" s="1"/>
  <c r="O171" i="39" s="1"/>
  <c r="O172" i="39" s="1"/>
  <c r="G164" i="39"/>
  <c r="P164" i="39"/>
  <c r="B183" i="39"/>
  <c r="B188" i="39"/>
  <c r="F190" i="39"/>
  <c r="F192" i="39"/>
  <c r="F193" i="39"/>
  <c r="F198" i="39"/>
  <c r="F199" i="39" s="1"/>
  <c r="F200" i="39" s="1"/>
  <c r="F201" i="39" s="1"/>
  <c r="F195" i="39"/>
  <c r="F196" i="39"/>
  <c r="AT13" i="47"/>
  <c r="AT14" i="47" s="1"/>
  <c r="AT15" i="47" s="1"/>
  <c r="AT16" i="47" s="1"/>
  <c r="AT17" i="47" s="1"/>
  <c r="AT18" i="47" s="1"/>
  <c r="AT19" i="47" s="1"/>
  <c r="AT20" i="47" s="1"/>
  <c r="AT21" i="47" s="1"/>
  <c r="AT22" i="47" s="1"/>
  <c r="AT23" i="47" s="1"/>
  <c r="AT24" i="47" s="1"/>
  <c r="AT25" i="47" s="1"/>
  <c r="AT26" i="47" s="1"/>
  <c r="AT27" i="47" s="1"/>
  <c r="AT28" i="47" s="1"/>
  <c r="AT29" i="47" s="1"/>
  <c r="AT30" i="47" s="1"/>
  <c r="AT31" i="47" s="1"/>
  <c r="AT32" i="47" s="1"/>
  <c r="AT33" i="47" s="1"/>
  <c r="AT34" i="47" s="1"/>
  <c r="AT35" i="47" s="1"/>
  <c r="AT36" i="47" s="1"/>
  <c r="AT37" i="47" s="1"/>
  <c r="AT38" i="47" s="1"/>
  <c r="AT39" i="47" s="1"/>
  <c r="AT40" i="47" s="1"/>
  <c r="AT41" i="47" s="1"/>
  <c r="AT42" i="47" s="1"/>
  <c r="AT43" i="47" s="1"/>
  <c r="AT44" i="47" s="1"/>
  <c r="AT45" i="47" s="1"/>
  <c r="AT46" i="47" s="1"/>
  <c r="AT47" i="47" s="1"/>
  <c r="AT48" i="47" s="1"/>
  <c r="D32" i="39"/>
  <c r="B8" i="49"/>
  <c r="B9" i="49"/>
  <c r="B134" i="49"/>
  <c r="B60" i="49"/>
  <c r="B132" i="49"/>
  <c r="B186" i="49"/>
  <c r="B181" i="49" s="1"/>
  <c r="B10" i="49"/>
  <c r="D57" i="39"/>
  <c r="B11" i="49"/>
  <c r="B59" i="49"/>
  <c r="B106" i="49"/>
  <c r="B135" i="49"/>
  <c r="B107" i="49"/>
  <c r="D82" i="39"/>
  <c r="B32" i="49"/>
  <c r="B61" i="49"/>
  <c r="B109" i="49"/>
  <c r="B157" i="49"/>
  <c r="B6" i="49"/>
  <c r="B34" i="49"/>
  <c r="B81" i="49"/>
  <c r="B110" i="49"/>
  <c r="B159" i="49"/>
  <c r="D107" i="39"/>
  <c r="B7" i="49"/>
  <c r="B35" i="49"/>
  <c r="B82" i="49"/>
  <c r="B111" i="49"/>
  <c r="B160" i="49"/>
  <c r="D132" i="39"/>
  <c r="B36" i="49"/>
  <c r="B84" i="49"/>
  <c r="B131" i="49"/>
  <c r="B161" i="49"/>
  <c r="B56" i="49"/>
  <c r="B85" i="49"/>
  <c r="B57" i="49"/>
  <c r="B86" i="49"/>
  <c r="B31" i="49"/>
  <c r="B136" i="49"/>
  <c r="B187" i="49"/>
  <c r="B184" i="49"/>
  <c r="B185" i="49"/>
  <c r="B182" i="49"/>
  <c r="F168" i="39" l="1"/>
  <c r="P167" i="39"/>
  <c r="B188" i="49"/>
  <c r="B183" i="49"/>
  <c r="B156" i="49"/>
  <c r="T164" i="50"/>
  <c r="F164" i="50"/>
  <c r="T163" i="50"/>
  <c r="F163" i="50"/>
  <c r="G164" i="50" s="1"/>
  <c r="T162" i="50"/>
  <c r="F162" i="50"/>
  <c r="G163" i="50" s="1"/>
  <c r="T161" i="50"/>
  <c r="F161" i="50"/>
  <c r="G162" i="50" s="1"/>
  <c r="T160" i="50"/>
  <c r="F160" i="50"/>
  <c r="G161" i="50" s="1"/>
  <c r="T159" i="50"/>
  <c r="F159" i="50"/>
  <c r="G160" i="50" s="1"/>
  <c r="T158" i="50"/>
  <c r="F158" i="50"/>
  <c r="G159" i="50" s="1"/>
  <c r="T157" i="50"/>
  <c r="F157" i="50"/>
  <c r="G158" i="50" s="1"/>
  <c r="T156" i="50"/>
  <c r="F156" i="50"/>
  <c r="G157" i="50" s="1"/>
  <c r="M135" i="50"/>
  <c r="B58" i="49"/>
  <c r="B133" i="49"/>
  <c r="M134" i="50"/>
  <c r="M133" i="50"/>
  <c r="M142" i="50"/>
  <c r="M138" i="50"/>
  <c r="M139" i="50"/>
  <c r="M131" i="50"/>
  <c r="B83" i="49"/>
  <c r="M136" i="50"/>
  <c r="M140" i="50"/>
  <c r="B158" i="49"/>
  <c r="P131" i="50"/>
  <c r="B33" i="49"/>
  <c r="B108" i="49"/>
  <c r="M141" i="50"/>
  <c r="M137" i="50"/>
  <c r="P168" i="39" l="1"/>
  <c r="F169" i="39"/>
  <c r="B7" i="48"/>
  <c r="B8" i="48"/>
  <c r="M132" i="50"/>
  <c r="C81" i="39"/>
  <c r="D9" i="49"/>
  <c r="D35" i="49"/>
  <c r="D61" i="49"/>
  <c r="D86" i="49"/>
  <c r="D112" i="49"/>
  <c r="D138" i="49"/>
  <c r="F12" i="49"/>
  <c r="F22" i="49"/>
  <c r="F34" i="49"/>
  <c r="F43" i="49"/>
  <c r="F57" i="49"/>
  <c r="F65" i="49"/>
  <c r="F73" i="49"/>
  <c r="F85" i="49"/>
  <c r="F93" i="49"/>
  <c r="C106" i="49"/>
  <c r="F113" i="49"/>
  <c r="F121" i="49"/>
  <c r="F135" i="49"/>
  <c r="F143" i="49"/>
  <c r="F160" i="49"/>
  <c r="F168" i="49"/>
  <c r="M122" i="50"/>
  <c r="F86" i="49"/>
  <c r="F144" i="49"/>
  <c r="F59" i="49"/>
  <c r="F115" i="49"/>
  <c r="C156" i="49"/>
  <c r="C106" i="39"/>
  <c r="D10" i="49"/>
  <c r="D36" i="49"/>
  <c r="D62" i="49"/>
  <c r="D87" i="49"/>
  <c r="D113" i="49"/>
  <c r="C6" i="49"/>
  <c r="F13" i="49"/>
  <c r="F23" i="49"/>
  <c r="F35" i="49"/>
  <c r="F44" i="49"/>
  <c r="F58" i="49"/>
  <c r="F74" i="49"/>
  <c r="F94" i="49"/>
  <c r="F122" i="49"/>
  <c r="F169" i="49"/>
  <c r="F75" i="49"/>
  <c r="F137" i="49"/>
  <c r="F108" i="49"/>
  <c r="F171" i="49"/>
  <c r="C131" i="39"/>
  <c r="D11" i="49"/>
  <c r="D37" i="49"/>
  <c r="D63" i="49"/>
  <c r="D88" i="49"/>
  <c r="D131" i="49"/>
  <c r="F6" i="49"/>
  <c r="F14" i="49"/>
  <c r="F24" i="49"/>
  <c r="F36" i="49"/>
  <c r="F45" i="49"/>
  <c r="F67" i="49"/>
  <c r="F95" i="49"/>
  <c r="F145" i="49"/>
  <c r="C131" i="49"/>
  <c r="C156" i="39"/>
  <c r="D12" i="49"/>
  <c r="D38" i="49"/>
  <c r="D81" i="49"/>
  <c r="D106" i="49"/>
  <c r="D133" i="49"/>
  <c r="F7" i="49"/>
  <c r="F15" i="49"/>
  <c r="F25" i="49"/>
  <c r="F37" i="49"/>
  <c r="F47" i="49"/>
  <c r="F60" i="49"/>
  <c r="F68" i="49"/>
  <c r="C81" i="49"/>
  <c r="F88" i="49"/>
  <c r="F138" i="49"/>
  <c r="C181" i="39"/>
  <c r="D13" i="49"/>
  <c r="D56" i="49"/>
  <c r="D82" i="49"/>
  <c r="D108" i="49"/>
  <c r="D134" i="49"/>
  <c r="F8" i="49"/>
  <c r="F16" i="49"/>
  <c r="C31" i="49"/>
  <c r="F38" i="49"/>
  <c r="F48" i="49"/>
  <c r="F61" i="49"/>
  <c r="F69" i="49"/>
  <c r="F81" i="49"/>
  <c r="F89" i="49"/>
  <c r="F97" i="49"/>
  <c r="F109" i="49"/>
  <c r="F117" i="49"/>
  <c r="F131" i="49"/>
  <c r="F139" i="49"/>
  <c r="F156" i="49"/>
  <c r="F164" i="49"/>
  <c r="F172" i="49"/>
  <c r="F189" i="49"/>
  <c r="F106" i="49"/>
  <c r="F136" i="49"/>
  <c r="F107" i="49"/>
  <c r="F170" i="49"/>
  <c r="F116" i="49"/>
  <c r="C6" i="39"/>
  <c r="F181" i="49"/>
  <c r="D31" i="49"/>
  <c r="D58" i="49"/>
  <c r="D83" i="49"/>
  <c r="D109" i="49"/>
  <c r="D135" i="49"/>
  <c r="F9" i="49"/>
  <c r="F17" i="49"/>
  <c r="F31" i="49"/>
  <c r="F39" i="49"/>
  <c r="F50" i="49"/>
  <c r="F62" i="49"/>
  <c r="F70" i="49"/>
  <c r="F82" i="49"/>
  <c r="F90" i="49"/>
  <c r="F98" i="49"/>
  <c r="F110" i="49"/>
  <c r="F118" i="49"/>
  <c r="F132" i="49"/>
  <c r="F140" i="49"/>
  <c r="F157" i="49"/>
  <c r="F165" i="49"/>
  <c r="C181" i="49"/>
  <c r="F191" i="49"/>
  <c r="C31" i="39"/>
  <c r="D6" i="49"/>
  <c r="D33" i="49"/>
  <c r="D59" i="49"/>
  <c r="D84" i="49"/>
  <c r="D110" i="49"/>
  <c r="D136" i="49"/>
  <c r="F10" i="49"/>
  <c r="F18" i="49"/>
  <c r="F32" i="49"/>
  <c r="F40" i="49"/>
  <c r="C56" i="49"/>
  <c r="F63" i="49"/>
  <c r="F71" i="49"/>
  <c r="F83" i="49"/>
  <c r="F91" i="49"/>
  <c r="F99" i="49"/>
  <c r="F111" i="49"/>
  <c r="F119" i="49"/>
  <c r="F133" i="49"/>
  <c r="F141" i="49"/>
  <c r="F158" i="49"/>
  <c r="F166" i="49"/>
  <c r="F194" i="49"/>
  <c r="C56" i="39"/>
  <c r="D8" i="49"/>
  <c r="D34" i="49"/>
  <c r="D60" i="49"/>
  <c r="D85" i="49"/>
  <c r="D111" i="49"/>
  <c r="D137" i="49"/>
  <c r="F11" i="49"/>
  <c r="F19" i="49"/>
  <c r="F33" i="49"/>
  <c r="F42" i="49"/>
  <c r="F56" i="49"/>
  <c r="F64" i="49"/>
  <c r="F72" i="49"/>
  <c r="F84" i="49"/>
  <c r="F92" i="49"/>
  <c r="F100" i="49"/>
  <c r="F112" i="49"/>
  <c r="F120" i="49"/>
  <c r="F134" i="49"/>
  <c r="F142" i="49"/>
  <c r="F159" i="49"/>
  <c r="F167" i="49"/>
  <c r="F184" i="49"/>
  <c r="F197" i="49"/>
  <c r="F66" i="49"/>
  <c r="F114" i="49"/>
  <c r="F161" i="49"/>
  <c r="F186" i="49"/>
  <c r="F87" i="49"/>
  <c r="F123" i="49"/>
  <c r="F162" i="49"/>
  <c r="F96" i="49"/>
  <c r="F163" i="49"/>
  <c r="F21" i="49"/>
  <c r="F20" i="49"/>
  <c r="F185" i="49"/>
  <c r="F187" i="49"/>
  <c r="F188" i="49" s="1"/>
  <c r="P169" i="39" l="1"/>
  <c r="F170" i="39"/>
  <c r="A188" i="39"/>
  <c r="A187" i="39"/>
  <c r="A186" i="39"/>
  <c r="A185" i="39"/>
  <c r="A184" i="39"/>
  <c r="A183" i="39"/>
  <c r="A182" i="39"/>
  <c r="E181" i="39"/>
  <c r="E182" i="39" s="1"/>
  <c r="E183" i="39" s="1"/>
  <c r="E184" i="39" s="1"/>
  <c r="E185" i="39" s="1"/>
  <c r="E186" i="39" s="1"/>
  <c r="E187" i="39" s="1"/>
  <c r="E188" i="39" s="1"/>
  <c r="E189" i="39" s="1"/>
  <c r="E190" i="39" s="1"/>
  <c r="E191" i="39" s="1"/>
  <c r="E192" i="39" s="1"/>
  <c r="E193" i="39" s="1"/>
  <c r="E194" i="39" s="1"/>
  <c r="E195" i="39" s="1"/>
  <c r="E196" i="39" s="1"/>
  <c r="E197" i="39" s="1"/>
  <c r="E198" i="39" s="1"/>
  <c r="E199" i="39" s="1"/>
  <c r="E200" i="39" s="1"/>
  <c r="E201" i="39" s="1"/>
  <c r="A181" i="39"/>
  <c r="A157" i="39"/>
  <c r="A158" i="39" s="1"/>
  <c r="A159" i="39" s="1"/>
  <c r="A160" i="39" s="1"/>
  <c r="A161" i="39" s="1"/>
  <c r="E156" i="39"/>
  <c r="E157" i="39" s="1"/>
  <c r="E158" i="39" s="1"/>
  <c r="E159" i="39" s="1"/>
  <c r="E160" i="39" s="1"/>
  <c r="E161" i="39" s="1"/>
  <c r="E162" i="39" s="1"/>
  <c r="E163" i="39" s="1"/>
  <c r="E164" i="39" s="1"/>
  <c r="E165" i="39" s="1"/>
  <c r="E166" i="39" s="1"/>
  <c r="A156" i="39"/>
  <c r="A136" i="39"/>
  <c r="A135" i="39"/>
  <c r="A134" i="39"/>
  <c r="A133" i="39"/>
  <c r="A132" i="39"/>
  <c r="E131" i="39"/>
  <c r="E132" i="39" s="1"/>
  <c r="E133" i="39" s="1"/>
  <c r="E134" i="39" s="1"/>
  <c r="E135" i="39" s="1"/>
  <c r="E136" i="39" s="1"/>
  <c r="E137" i="39" s="1"/>
  <c r="E138" i="39" s="1"/>
  <c r="E139" i="39" s="1"/>
  <c r="E140" i="39" s="1"/>
  <c r="E141" i="39" s="1"/>
  <c r="E142" i="39" s="1"/>
  <c r="E143" i="39" s="1"/>
  <c r="E144" i="39" s="1"/>
  <c r="E145" i="39" s="1"/>
  <c r="E146" i="39" s="1"/>
  <c r="A131" i="39"/>
  <c r="A111" i="39"/>
  <c r="A110" i="39"/>
  <c r="A109" i="39"/>
  <c r="A108" i="39"/>
  <c r="A107" i="39"/>
  <c r="E106" i="39"/>
  <c r="E107" i="39" s="1"/>
  <c r="E108" i="39" s="1"/>
  <c r="E109" i="39" s="1"/>
  <c r="E110" i="39" s="1"/>
  <c r="E111" i="39" s="1"/>
  <c r="E112" i="39" s="1"/>
  <c r="E113" i="39" s="1"/>
  <c r="E114" i="39" s="1"/>
  <c r="E115" i="39" s="1"/>
  <c r="E116" i="39" s="1"/>
  <c r="E117" i="39" s="1"/>
  <c r="E118" i="39" s="1"/>
  <c r="E119" i="39" s="1"/>
  <c r="E120" i="39" s="1"/>
  <c r="E121" i="39" s="1"/>
  <c r="E122" i="39" s="1"/>
  <c r="E123" i="39" s="1"/>
  <c r="E124" i="39" s="1"/>
  <c r="A106" i="39"/>
  <c r="A86" i="39"/>
  <c r="A85" i="39"/>
  <c r="A84" i="39"/>
  <c r="A83" i="39"/>
  <c r="A82" i="39"/>
  <c r="E81" i="39"/>
  <c r="E82" i="39" s="1"/>
  <c r="E83" i="39" s="1"/>
  <c r="E84" i="39" s="1"/>
  <c r="E85" i="39" s="1"/>
  <c r="E86" i="39" s="1"/>
  <c r="E87" i="39" s="1"/>
  <c r="E88" i="39" s="1"/>
  <c r="E89" i="39" s="1"/>
  <c r="E90" i="39" s="1"/>
  <c r="E91" i="39" s="1"/>
  <c r="E92" i="39" s="1"/>
  <c r="E93" i="39" s="1"/>
  <c r="E94" i="39" s="1"/>
  <c r="E95" i="39" s="1"/>
  <c r="E96" i="39" s="1"/>
  <c r="E97" i="39" s="1"/>
  <c r="E98" i="39" s="1"/>
  <c r="E99" i="39" s="1"/>
  <c r="E100" i="39" s="1"/>
  <c r="E101" i="39" s="1"/>
  <c r="A81" i="39"/>
  <c r="A61" i="39"/>
  <c r="A60" i="39"/>
  <c r="A59" i="39"/>
  <c r="A58" i="39"/>
  <c r="A57" i="39"/>
  <c r="E56" i="39"/>
  <c r="E57" i="39" s="1"/>
  <c r="E58" i="39" s="1"/>
  <c r="E59" i="39" s="1"/>
  <c r="E60" i="39" s="1"/>
  <c r="E61" i="39" s="1"/>
  <c r="E62" i="39" s="1"/>
  <c r="E63" i="39" s="1"/>
  <c r="E64" i="39" s="1"/>
  <c r="E65" i="39" s="1"/>
  <c r="E66" i="39" s="1"/>
  <c r="E67" i="39" s="1"/>
  <c r="E68" i="39" s="1"/>
  <c r="E69" i="39" s="1"/>
  <c r="E70" i="39" s="1"/>
  <c r="E71" i="39" s="1"/>
  <c r="E72" i="39" s="1"/>
  <c r="E73" i="39" s="1"/>
  <c r="E74" i="39" s="1"/>
  <c r="E75" i="39" s="1"/>
  <c r="E76" i="39" s="1"/>
  <c r="A56" i="39"/>
  <c r="A36" i="39"/>
  <c r="A35" i="39"/>
  <c r="A34" i="39"/>
  <c r="A33" i="39"/>
  <c r="A32" i="39"/>
  <c r="E31" i="39"/>
  <c r="E32" i="39" s="1"/>
  <c r="E33" i="39" s="1"/>
  <c r="E34" i="39" s="1"/>
  <c r="E35" i="39" s="1"/>
  <c r="E36" i="39" s="1"/>
  <c r="E37" i="39" s="1"/>
  <c r="E38" i="39" s="1"/>
  <c r="E39" i="39" s="1"/>
  <c r="E40" i="39" s="1"/>
  <c r="E41" i="39" s="1"/>
  <c r="E42" i="39" s="1"/>
  <c r="E43" i="39" s="1"/>
  <c r="E44" i="39" s="1"/>
  <c r="E45" i="39" s="1"/>
  <c r="E46" i="39" s="1"/>
  <c r="E47" i="39" s="1"/>
  <c r="E48" i="39" s="1"/>
  <c r="E49" i="39" s="1"/>
  <c r="E50" i="39" s="1"/>
  <c r="E51" i="39" s="1"/>
  <c r="A31" i="39"/>
  <c r="A11" i="39"/>
  <c r="A10" i="39"/>
  <c r="A9" i="39"/>
  <c r="A8" i="39"/>
  <c r="A7" i="39"/>
  <c r="E6" i="39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A6" i="39"/>
  <c r="F198" i="49"/>
  <c r="F199" i="49" s="1"/>
  <c r="F200" i="49" s="1"/>
  <c r="F201" i="49" s="1"/>
  <c r="F196" i="49"/>
  <c r="F195" i="49"/>
  <c r="F193" i="49"/>
  <c r="F192" i="49"/>
  <c r="F190" i="49"/>
  <c r="G165" i="49"/>
  <c r="L154" i="49"/>
  <c r="O164" i="49"/>
  <c r="O165" i="49" s="1"/>
  <c r="O166" i="49" s="1"/>
  <c r="O167" i="49" s="1"/>
  <c r="O168" i="49" s="1"/>
  <c r="O169" i="49" s="1"/>
  <c r="O170" i="49" s="1"/>
  <c r="O171" i="49" s="1"/>
  <c r="O172" i="49" s="1"/>
  <c r="P172" i="49" s="1"/>
  <c r="G164" i="49"/>
  <c r="O163" i="49"/>
  <c r="P163" i="49" s="1"/>
  <c r="G163" i="49"/>
  <c r="O162" i="49"/>
  <c r="P162" i="49" s="1"/>
  <c r="G162" i="49"/>
  <c r="O161" i="49"/>
  <c r="P161" i="49" s="1"/>
  <c r="G161" i="49"/>
  <c r="O160" i="49"/>
  <c r="P160" i="49" s="1"/>
  <c r="G160" i="49"/>
  <c r="O159" i="49"/>
  <c r="P159" i="49" s="1"/>
  <c r="G159" i="49"/>
  <c r="O158" i="49"/>
  <c r="P158" i="49" s="1"/>
  <c r="G158" i="49"/>
  <c r="O157" i="49"/>
  <c r="P157" i="49" s="1"/>
  <c r="G157" i="49"/>
  <c r="O156" i="49"/>
  <c r="P156" i="49" s="1"/>
  <c r="F146" i="49"/>
  <c r="F124" i="49"/>
  <c r="F101" i="49"/>
  <c r="F76" i="49"/>
  <c r="F51" i="49"/>
  <c r="F26" i="49"/>
  <c r="A188" i="49"/>
  <c r="A187" i="49"/>
  <c r="A186" i="49"/>
  <c r="A185" i="49"/>
  <c r="A184" i="49"/>
  <c r="A183" i="49"/>
  <c r="A182" i="49"/>
  <c r="E181" i="49"/>
  <c r="E182" i="49" s="1"/>
  <c r="E183" i="49" s="1"/>
  <c r="E184" i="49" s="1"/>
  <c r="E185" i="49" s="1"/>
  <c r="E186" i="49" s="1"/>
  <c r="E187" i="49" s="1"/>
  <c r="E188" i="49" s="1"/>
  <c r="E189" i="49" s="1"/>
  <c r="E190" i="49" s="1"/>
  <c r="E191" i="49" s="1"/>
  <c r="E192" i="49" s="1"/>
  <c r="E193" i="49" s="1"/>
  <c r="E194" i="49" s="1"/>
  <c r="E195" i="49" s="1"/>
  <c r="E196" i="49" s="1"/>
  <c r="E197" i="49" s="1"/>
  <c r="E198" i="49" s="1"/>
  <c r="E199" i="49" s="1"/>
  <c r="E200" i="49" s="1"/>
  <c r="E201" i="49" s="1"/>
  <c r="A181" i="49"/>
  <c r="A157" i="49"/>
  <c r="A158" i="49" s="1"/>
  <c r="A159" i="49" s="1"/>
  <c r="A160" i="49" s="1"/>
  <c r="A161" i="49" s="1"/>
  <c r="E156" i="49"/>
  <c r="E157" i="49" s="1"/>
  <c r="E158" i="49" s="1"/>
  <c r="E159" i="49" s="1"/>
  <c r="E160" i="49" s="1"/>
  <c r="E161" i="49" s="1"/>
  <c r="E162" i="49" s="1"/>
  <c r="E163" i="49" s="1"/>
  <c r="E164" i="49" s="1"/>
  <c r="E165" i="49" s="1"/>
  <c r="E166" i="49" s="1"/>
  <c r="E167" i="49" s="1"/>
  <c r="E168" i="49" s="1"/>
  <c r="E169" i="49" s="1"/>
  <c r="E170" i="49" s="1"/>
  <c r="E171" i="49" s="1"/>
  <c r="E172" i="49" s="1"/>
  <c r="A156" i="49"/>
  <c r="A136" i="49"/>
  <c r="A135" i="49"/>
  <c r="A134" i="49"/>
  <c r="A133" i="49"/>
  <c r="A132" i="49"/>
  <c r="E131" i="49"/>
  <c r="E132" i="49" s="1"/>
  <c r="E133" i="49" s="1"/>
  <c r="E134" i="49" s="1"/>
  <c r="E135" i="49" s="1"/>
  <c r="E136" i="49" s="1"/>
  <c r="E137" i="49" s="1"/>
  <c r="E138" i="49" s="1"/>
  <c r="E139" i="49" s="1"/>
  <c r="E140" i="49" s="1"/>
  <c r="E141" i="49" s="1"/>
  <c r="E142" i="49" s="1"/>
  <c r="E143" i="49" s="1"/>
  <c r="E144" i="49" s="1"/>
  <c r="E145" i="49" s="1"/>
  <c r="E146" i="49" s="1"/>
  <c r="A131" i="49"/>
  <c r="A111" i="49"/>
  <c r="A110" i="49"/>
  <c r="A109" i="49"/>
  <c r="A108" i="49"/>
  <c r="A107" i="49"/>
  <c r="E106" i="49"/>
  <c r="E107" i="49" s="1"/>
  <c r="E108" i="49" s="1"/>
  <c r="E109" i="49" s="1"/>
  <c r="E110" i="49" s="1"/>
  <c r="E111" i="49" s="1"/>
  <c r="E112" i="49" s="1"/>
  <c r="E113" i="49" s="1"/>
  <c r="E114" i="49" s="1"/>
  <c r="E115" i="49" s="1"/>
  <c r="E116" i="49" s="1"/>
  <c r="E117" i="49" s="1"/>
  <c r="E118" i="49" s="1"/>
  <c r="E119" i="49" s="1"/>
  <c r="E120" i="49" s="1"/>
  <c r="E121" i="49" s="1"/>
  <c r="E122" i="49" s="1"/>
  <c r="E123" i="49" s="1"/>
  <c r="E124" i="49" s="1"/>
  <c r="A106" i="49"/>
  <c r="A86" i="49"/>
  <c r="A85" i="49"/>
  <c r="A84" i="49"/>
  <c r="A83" i="49"/>
  <c r="A82" i="49"/>
  <c r="E81" i="49"/>
  <c r="E82" i="49" s="1"/>
  <c r="E83" i="49" s="1"/>
  <c r="E84" i="49" s="1"/>
  <c r="E85" i="49" s="1"/>
  <c r="E86" i="49" s="1"/>
  <c r="E87" i="49" s="1"/>
  <c r="E88" i="49" s="1"/>
  <c r="E89" i="49" s="1"/>
  <c r="E90" i="49" s="1"/>
  <c r="E91" i="49" s="1"/>
  <c r="E92" i="49" s="1"/>
  <c r="E93" i="49" s="1"/>
  <c r="E94" i="49" s="1"/>
  <c r="E95" i="49" s="1"/>
  <c r="E96" i="49" s="1"/>
  <c r="E97" i="49" s="1"/>
  <c r="E98" i="49" s="1"/>
  <c r="E99" i="49" s="1"/>
  <c r="E100" i="49" s="1"/>
  <c r="E101" i="49" s="1"/>
  <c r="A81" i="49"/>
  <c r="A61" i="49"/>
  <c r="A60" i="49"/>
  <c r="A59" i="49"/>
  <c r="A58" i="49"/>
  <c r="A57" i="49"/>
  <c r="E56" i="49"/>
  <c r="E57" i="49" s="1"/>
  <c r="E58" i="49" s="1"/>
  <c r="E59" i="49" s="1"/>
  <c r="E60" i="49" s="1"/>
  <c r="E61" i="49" s="1"/>
  <c r="E62" i="49" s="1"/>
  <c r="E63" i="49" s="1"/>
  <c r="E64" i="49" s="1"/>
  <c r="E65" i="49" s="1"/>
  <c r="E66" i="49" s="1"/>
  <c r="E67" i="49" s="1"/>
  <c r="E68" i="49" s="1"/>
  <c r="E69" i="49" s="1"/>
  <c r="E70" i="49" s="1"/>
  <c r="E71" i="49" s="1"/>
  <c r="E72" i="49" s="1"/>
  <c r="E73" i="49" s="1"/>
  <c r="E74" i="49" s="1"/>
  <c r="E75" i="49" s="1"/>
  <c r="E76" i="49" s="1"/>
  <c r="A56" i="49"/>
  <c r="A36" i="49"/>
  <c r="A35" i="49"/>
  <c r="A34" i="49"/>
  <c r="A33" i="49"/>
  <c r="A32" i="49"/>
  <c r="E31" i="49"/>
  <c r="E32" i="49" s="1"/>
  <c r="E33" i="49" s="1"/>
  <c r="E34" i="49" s="1"/>
  <c r="E35" i="49" s="1"/>
  <c r="E36" i="49" s="1"/>
  <c r="E37" i="49" s="1"/>
  <c r="E38" i="49" s="1"/>
  <c r="E39" i="49" s="1"/>
  <c r="E40" i="49" s="1"/>
  <c r="E41" i="49" s="1"/>
  <c r="E42" i="49" s="1"/>
  <c r="E43" i="49" s="1"/>
  <c r="E44" i="49" s="1"/>
  <c r="E45" i="49" s="1"/>
  <c r="E46" i="49" s="1"/>
  <c r="E47" i="49" s="1"/>
  <c r="E48" i="49" s="1"/>
  <c r="E49" i="49" s="1"/>
  <c r="E50" i="49" s="1"/>
  <c r="E51" i="49" s="1"/>
  <c r="A31" i="49"/>
  <c r="A11" i="49"/>
  <c r="A10" i="49"/>
  <c r="A9" i="49"/>
  <c r="A8" i="49"/>
  <c r="A7" i="49"/>
  <c r="E6" i="49"/>
  <c r="E7" i="49" s="1"/>
  <c r="E8" i="49" s="1"/>
  <c r="E9" i="49" s="1"/>
  <c r="E10" i="49" s="1"/>
  <c r="E11" i="49" s="1"/>
  <c r="E12" i="49" s="1"/>
  <c r="E13" i="49" s="1"/>
  <c r="E14" i="49" s="1"/>
  <c r="E15" i="49" s="1"/>
  <c r="E16" i="49" s="1"/>
  <c r="E17" i="49" s="1"/>
  <c r="E18" i="49" s="1"/>
  <c r="E19" i="49" s="1"/>
  <c r="E20" i="49" s="1"/>
  <c r="E21" i="49" s="1"/>
  <c r="E22" i="49" s="1"/>
  <c r="E23" i="49" s="1"/>
  <c r="E24" i="49" s="1"/>
  <c r="E25" i="49" s="1"/>
  <c r="E26" i="49" s="1"/>
  <c r="A6" i="49"/>
  <c r="M145" i="50"/>
  <c r="M144" i="50"/>
  <c r="M143" i="50"/>
  <c r="M123" i="50"/>
  <c r="F41" i="49"/>
  <c r="F49" i="49"/>
  <c r="D132" i="49"/>
  <c r="C82" i="39"/>
  <c r="M120" i="50"/>
  <c r="C32" i="49"/>
  <c r="F46" i="49"/>
  <c r="D7" i="49"/>
  <c r="D57" i="49"/>
  <c r="C157" i="39"/>
  <c r="C157" i="49"/>
  <c r="C182" i="49"/>
  <c r="C57" i="39"/>
  <c r="C7" i="39"/>
  <c r="C132" i="49"/>
  <c r="C57" i="49"/>
  <c r="C132" i="39"/>
  <c r="C82" i="49"/>
  <c r="C107" i="49"/>
  <c r="D32" i="49"/>
  <c r="D107" i="49"/>
  <c r="C7" i="49"/>
  <c r="C32" i="39"/>
  <c r="C182" i="39"/>
  <c r="C107" i="39"/>
  <c r="F182" i="49"/>
  <c r="F183" i="49" s="1"/>
  <c r="P170" i="39" l="1"/>
  <c r="F171" i="39"/>
  <c r="E167" i="39"/>
  <c r="E168" i="39" s="1"/>
  <c r="E169" i="39" s="1"/>
  <c r="E170" i="39" s="1"/>
  <c r="E171" i="39" s="1"/>
  <c r="E172" i="39" s="1"/>
  <c r="P171" i="49"/>
  <c r="P168" i="49"/>
  <c r="P165" i="49"/>
  <c r="P166" i="49"/>
  <c r="P167" i="49"/>
  <c r="P169" i="49"/>
  <c r="P164" i="49"/>
  <c r="P170" i="49"/>
  <c r="M121" i="50"/>
  <c r="C33" i="39"/>
  <c r="C58" i="39"/>
  <c r="C133" i="49"/>
  <c r="C183" i="39"/>
  <c r="C8" i="49"/>
  <c r="C183" i="49"/>
  <c r="C108" i="49"/>
  <c r="C158" i="49"/>
  <c r="M119" i="50"/>
  <c r="C83" i="49"/>
  <c r="C158" i="39"/>
  <c r="M116" i="50"/>
  <c r="C133" i="39"/>
  <c r="C33" i="49"/>
  <c r="C58" i="49"/>
  <c r="C83" i="39"/>
  <c r="C108" i="39"/>
  <c r="C8" i="39"/>
  <c r="F172" i="39" l="1"/>
  <c r="P172" i="39" s="1"/>
  <c r="P171" i="39"/>
  <c r="F166" i="39"/>
  <c r="P166" i="39" s="1"/>
  <c r="M118" i="50"/>
  <c r="M117" i="50"/>
  <c r="C9" i="39"/>
  <c r="C159" i="49"/>
  <c r="C84" i="39"/>
  <c r="C134" i="39"/>
  <c r="M114" i="50"/>
  <c r="C109" i="39"/>
  <c r="C109" i="49"/>
  <c r="C184" i="49"/>
  <c r="C59" i="49"/>
  <c r="C9" i="49"/>
  <c r="C134" i="49"/>
  <c r="C84" i="49"/>
  <c r="C34" i="39"/>
  <c r="C34" i="49"/>
  <c r="C184" i="39"/>
  <c r="C159" i="39"/>
  <c r="C59" i="39"/>
  <c r="M115" i="50" l="1"/>
  <c r="C60" i="39"/>
  <c r="C60" i="49"/>
  <c r="M109" i="50"/>
  <c r="C160" i="39"/>
  <c r="C185" i="49"/>
  <c r="M106" i="50"/>
  <c r="C185" i="39"/>
  <c r="C110" i="49"/>
  <c r="M108" i="50"/>
  <c r="C35" i="49"/>
  <c r="C110" i="39"/>
  <c r="P106" i="50"/>
  <c r="C35" i="39"/>
  <c r="C135" i="39"/>
  <c r="M113" i="50"/>
  <c r="C85" i="49"/>
  <c r="C85" i="39"/>
  <c r="M111" i="50"/>
  <c r="C135" i="49"/>
  <c r="C160" i="49"/>
  <c r="M110" i="50"/>
  <c r="C10" i="49"/>
  <c r="M112" i="50"/>
  <c r="C10" i="39"/>
  <c r="M107" i="50" l="1"/>
  <c r="C11" i="39"/>
  <c r="C111" i="39"/>
  <c r="C161" i="49"/>
  <c r="C111" i="49"/>
  <c r="M98" i="50"/>
  <c r="C136" i="39"/>
  <c r="C11" i="49"/>
  <c r="C36" i="49"/>
  <c r="M100" i="50"/>
  <c r="C136" i="49"/>
  <c r="C186" i="39"/>
  <c r="C161" i="39"/>
  <c r="C36" i="39"/>
  <c r="C86" i="39"/>
  <c r="C186" i="49"/>
  <c r="C86" i="49"/>
  <c r="C61" i="49"/>
  <c r="C61" i="39"/>
  <c r="M99" i="50" l="1"/>
  <c r="C62" i="39"/>
  <c r="C137" i="49"/>
  <c r="C62" i="49"/>
  <c r="C37" i="49"/>
  <c r="M97" i="50"/>
  <c r="C87" i="49"/>
  <c r="C12" i="49"/>
  <c r="C187" i="49"/>
  <c r="C137" i="39"/>
  <c r="C112" i="49"/>
  <c r="C37" i="39"/>
  <c r="C162" i="39"/>
  <c r="C187" i="39"/>
  <c r="M94" i="50"/>
  <c r="C87" i="39"/>
  <c r="C162" i="49"/>
  <c r="C112" i="39"/>
  <c r="C12" i="39"/>
  <c r="M96" i="50" l="1"/>
  <c r="M95" i="50"/>
  <c r="C13" i="39"/>
  <c r="C138" i="39"/>
  <c r="C113" i="39"/>
  <c r="C188" i="49"/>
  <c r="C163" i="49"/>
  <c r="C13" i="49"/>
  <c r="M91" i="50"/>
  <c r="C88" i="39"/>
  <c r="C88" i="49"/>
  <c r="C188" i="39"/>
  <c r="C38" i="49"/>
  <c r="C163" i="39"/>
  <c r="C63" i="49"/>
  <c r="C38" i="39"/>
  <c r="C138" i="49"/>
  <c r="C113" i="49"/>
  <c r="C63" i="39"/>
  <c r="M93" i="50" l="1"/>
  <c r="M92" i="50"/>
  <c r="M81" i="50"/>
  <c r="M90" i="50"/>
  <c r="P81" i="50"/>
  <c r="M89" i="50"/>
  <c r="M88" i="50"/>
  <c r="M84" i="50"/>
  <c r="M85" i="50"/>
  <c r="M83" i="50"/>
  <c r="M87" i="50"/>
  <c r="M86" i="50"/>
  <c r="M82" i="50" l="1"/>
  <c r="M69" i="50"/>
  <c r="M75" i="50"/>
  <c r="M74" i="50"/>
  <c r="M72" i="50"/>
  <c r="M73" i="50"/>
  <c r="M71" i="50" l="1"/>
  <c r="M70" i="50"/>
  <c r="M66" i="50"/>
  <c r="M68" i="50" l="1"/>
  <c r="M67" i="50"/>
  <c r="M62" i="50"/>
  <c r="P56" i="50"/>
  <c r="M64" i="50"/>
  <c r="M61" i="50"/>
  <c r="M58" i="50"/>
  <c r="M60" i="50"/>
  <c r="M57" i="50"/>
  <c r="M50" i="50"/>
  <c r="M56" i="50"/>
  <c r="M65" i="50"/>
  <c r="M63" i="50"/>
  <c r="M59" i="50"/>
  <c r="M47" i="50"/>
  <c r="M49" i="50"/>
  <c r="M44" i="50"/>
  <c r="M48" i="50"/>
  <c r="M46" i="50" l="1"/>
  <c r="M45" i="50"/>
  <c r="M41" i="50"/>
  <c r="M43" i="50" l="1"/>
  <c r="M42" i="50"/>
  <c r="M38" i="50"/>
  <c r="F197" i="42"/>
  <c r="M39" i="50"/>
  <c r="M32" i="50"/>
  <c r="M34" i="50"/>
  <c r="M31" i="50"/>
  <c r="P31" i="50"/>
  <c r="M33" i="50"/>
  <c r="M37" i="50"/>
  <c r="M35" i="50"/>
  <c r="M36" i="50"/>
  <c r="M40" i="50"/>
  <c r="F198" i="42" l="1"/>
  <c r="F199" i="42" s="1"/>
  <c r="F200" i="42" s="1"/>
  <c r="F201" i="42" s="1"/>
  <c r="F194" i="42"/>
  <c r="F196" i="42" l="1"/>
  <c r="F195" i="42"/>
  <c r="F191" i="42"/>
  <c r="F192" i="42" l="1"/>
  <c r="F193" i="42"/>
  <c r="F189" i="42"/>
  <c r="F190" i="42" l="1"/>
  <c r="B186" i="42"/>
  <c r="F188" i="42"/>
  <c r="F186" i="42"/>
  <c r="B187" i="42"/>
  <c r="F187" i="42"/>
  <c r="B188" i="42" l="1"/>
  <c r="B184" i="42"/>
  <c r="F184" i="42"/>
  <c r="B182" i="42"/>
  <c r="F182" i="42"/>
  <c r="F185" i="42"/>
  <c r="B185" i="42"/>
  <c r="F183" i="42"/>
  <c r="B183" i="42" l="1"/>
  <c r="F181" i="42"/>
  <c r="B181" i="42"/>
  <c r="I165" i="42"/>
  <c r="T164" i="42" l="1"/>
  <c r="I164" i="42"/>
  <c r="T165" i="42" l="1"/>
  <c r="F165" i="42" s="1"/>
  <c r="G165" i="42" s="1"/>
  <c r="F164" i="42"/>
  <c r="T163" i="42"/>
  <c r="F163" i="42"/>
  <c r="G164" i="42" s="1"/>
  <c r="I163" i="42"/>
  <c r="T162" i="42" l="1"/>
  <c r="F162" i="42"/>
  <c r="G163" i="42" s="1"/>
  <c r="I162" i="42"/>
  <c r="V161" i="42"/>
  <c r="V162" i="42" l="1"/>
  <c r="T161" i="42"/>
  <c r="I161" i="42"/>
  <c r="F161" i="42" l="1"/>
  <c r="G162" i="42" s="1"/>
  <c r="T160" i="42"/>
  <c r="I160" i="42"/>
  <c r="V160" i="42"/>
  <c r="I167" i="42" l="1"/>
  <c r="F160" i="42"/>
  <c r="G161" i="42" s="1"/>
  <c r="I168" i="42" l="1"/>
  <c r="T167" i="42"/>
  <c r="F167" i="42" s="1"/>
  <c r="V159" i="42"/>
  <c r="I169" i="42" l="1"/>
  <c r="T168" i="42"/>
  <c r="F168" i="42" s="1"/>
  <c r="T159" i="42"/>
  <c r="I159" i="42"/>
  <c r="T169" i="42" l="1"/>
  <c r="F169" i="42" s="1"/>
  <c r="I170" i="42"/>
  <c r="F159" i="42"/>
  <c r="G160" i="42" s="1"/>
  <c r="I171" i="42" l="1"/>
  <c r="T170" i="42"/>
  <c r="F170" i="42" s="1"/>
  <c r="T158" i="42"/>
  <c r="I158" i="42"/>
  <c r="I172" i="42" l="1"/>
  <c r="T172" i="42" s="1"/>
  <c r="F172" i="42" s="1"/>
  <c r="T171" i="42"/>
  <c r="F171" i="42" s="1"/>
  <c r="F158" i="42"/>
  <c r="G159" i="42" s="1"/>
  <c r="V157" i="42"/>
  <c r="V158" i="42" l="1"/>
  <c r="T157" i="42"/>
  <c r="M157" i="42"/>
  <c r="I157" i="42"/>
  <c r="F157" i="42" l="1"/>
  <c r="G158" i="42" s="1"/>
  <c r="M159" i="42"/>
  <c r="T156" i="42" l="1"/>
  <c r="P156" i="42"/>
  <c r="I156" i="42"/>
  <c r="M161" i="42"/>
  <c r="M156" i="42"/>
  <c r="F156" i="42" l="1"/>
  <c r="G157" i="42" s="1"/>
  <c r="M158" i="42"/>
  <c r="M163" i="42"/>
  <c r="R156" i="42" l="1"/>
  <c r="M160" i="42"/>
  <c r="M165" i="42"/>
  <c r="U161" i="42" l="1"/>
  <c r="B161" i="42" s="1"/>
  <c r="U162" i="42"/>
  <c r="B162" i="42" s="1"/>
  <c r="U160" i="42"/>
  <c r="B160" i="42" s="1"/>
  <c r="U159" i="42"/>
  <c r="B159" i="42" s="1"/>
  <c r="U157" i="42"/>
  <c r="B157" i="42" s="1"/>
  <c r="B156" i="42" s="1"/>
  <c r="U158" i="42"/>
  <c r="B158" i="42" s="1"/>
  <c r="M135" i="42"/>
  <c r="M141" i="42"/>
  <c r="M137" i="42"/>
  <c r="M131" i="42"/>
  <c r="M167" i="42"/>
  <c r="M142" i="42"/>
  <c r="M133" i="42"/>
  <c r="M139" i="42"/>
  <c r="M136" i="42"/>
  <c r="M134" i="42"/>
  <c r="P131" i="42"/>
  <c r="M140" i="42"/>
  <c r="M162" i="42"/>
  <c r="M138" i="42"/>
  <c r="M132" i="42" l="1"/>
  <c r="D133" i="42"/>
  <c r="F136" i="42"/>
  <c r="F140" i="42"/>
  <c r="F137" i="42"/>
  <c r="F132" i="42"/>
  <c r="B134" i="42"/>
  <c r="D132" i="42"/>
  <c r="F131" i="42"/>
  <c r="B132" i="42"/>
  <c r="F133" i="42"/>
  <c r="F138" i="42"/>
  <c r="D134" i="42"/>
  <c r="M122" i="42"/>
  <c r="B133" i="42"/>
  <c r="F134" i="42"/>
  <c r="F141" i="42"/>
  <c r="M164" i="42"/>
  <c r="B135" i="42"/>
  <c r="D135" i="42"/>
  <c r="B136" i="42"/>
  <c r="D136" i="42"/>
  <c r="D138" i="42"/>
  <c r="B131" i="42"/>
  <c r="D137" i="42"/>
  <c r="F139" i="42"/>
  <c r="M169" i="42"/>
  <c r="F135" i="42"/>
  <c r="F142" i="42"/>
  <c r="B137" i="42" l="1"/>
  <c r="M145" i="42"/>
  <c r="M144" i="42"/>
  <c r="M143" i="42"/>
  <c r="M123" i="42"/>
  <c r="M166" i="42"/>
  <c r="F143" i="42"/>
  <c r="F122" i="42"/>
  <c r="D131" i="42"/>
  <c r="F145" i="42"/>
  <c r="F123" i="42"/>
  <c r="M171" i="42"/>
  <c r="F144" i="42"/>
  <c r="F124" i="42" l="1"/>
  <c r="F146" i="42"/>
  <c r="M168" i="42"/>
  <c r="M120" i="42"/>
  <c r="M121" i="42" l="1"/>
  <c r="M116" i="42"/>
  <c r="M119" i="42"/>
  <c r="F120" i="42"/>
  <c r="F121" i="42"/>
  <c r="M170" i="42"/>
  <c r="M118" i="42" l="1"/>
  <c r="M117" i="42"/>
  <c r="F116" i="42"/>
  <c r="F117" i="42"/>
  <c r="M114" i="42"/>
  <c r="F118" i="42"/>
  <c r="F119" i="42"/>
  <c r="M172" i="42"/>
  <c r="M115" i="42" l="1"/>
  <c r="D113" i="42"/>
  <c r="M109" i="42"/>
  <c r="M110" i="42"/>
  <c r="F114" i="42"/>
  <c r="M108" i="42"/>
  <c r="M113" i="42"/>
  <c r="M111" i="42"/>
  <c r="P106" i="42"/>
  <c r="M106" i="42"/>
  <c r="F115" i="42"/>
  <c r="M112" i="42"/>
  <c r="M107" i="42" l="1"/>
  <c r="F108" i="42"/>
  <c r="F107" i="42"/>
  <c r="M100" i="42"/>
  <c r="F111" i="42"/>
  <c r="D108" i="42"/>
  <c r="B108" i="42"/>
  <c r="D107" i="42"/>
  <c r="F106" i="42"/>
  <c r="B106" i="42"/>
  <c r="B110" i="42"/>
  <c r="D112" i="42"/>
  <c r="B109" i="42"/>
  <c r="B111" i="42"/>
  <c r="F113" i="42"/>
  <c r="D109" i="42"/>
  <c r="F110" i="42"/>
  <c r="B107" i="42"/>
  <c r="F109" i="42"/>
  <c r="D110" i="42"/>
  <c r="F112" i="42"/>
  <c r="D111" i="42"/>
  <c r="B112" i="42" l="1"/>
  <c r="D106" i="42"/>
  <c r="F100" i="42"/>
  <c r="M98" i="42"/>
  <c r="F101" i="42" l="1"/>
  <c r="M99" i="42"/>
  <c r="F98" i="42"/>
  <c r="F99" i="42"/>
  <c r="M97" i="42"/>
  <c r="M94" i="42"/>
  <c r="M96" i="42" l="1"/>
  <c r="M95" i="42"/>
  <c r="F95" i="42"/>
  <c r="F96" i="42"/>
  <c r="M91" i="42"/>
  <c r="F94" i="42"/>
  <c r="F97" i="42"/>
  <c r="M93" i="42" l="1"/>
  <c r="M92" i="42"/>
  <c r="M81" i="42"/>
  <c r="F92" i="42"/>
  <c r="M86" i="42"/>
  <c r="M83" i="42"/>
  <c r="F93" i="42"/>
  <c r="M89" i="42"/>
  <c r="M90" i="42"/>
  <c r="M88" i="42"/>
  <c r="M85" i="42"/>
  <c r="M84" i="42"/>
  <c r="M87" i="42"/>
  <c r="F91" i="42"/>
  <c r="P81" i="42"/>
  <c r="M82" i="42" l="1"/>
  <c r="D88" i="42"/>
  <c r="B86" i="42"/>
  <c r="B82" i="42"/>
  <c r="D85" i="42"/>
  <c r="D86" i="42"/>
  <c r="F87" i="42"/>
  <c r="F90" i="42"/>
  <c r="M75" i="42"/>
  <c r="B81" i="42"/>
  <c r="F82" i="42"/>
  <c r="F89" i="42"/>
  <c r="F85" i="42"/>
  <c r="B84" i="42"/>
  <c r="F84" i="42"/>
  <c r="F81" i="42"/>
  <c r="F83" i="42"/>
  <c r="D83" i="42"/>
  <c r="F86" i="42"/>
  <c r="D87" i="42"/>
  <c r="D84" i="42"/>
  <c r="D82" i="42"/>
  <c r="B83" i="42"/>
  <c r="B85" i="42"/>
  <c r="F88" i="42"/>
  <c r="B87" i="42" l="1"/>
  <c r="M73" i="42"/>
  <c r="M69" i="42"/>
  <c r="D81" i="42"/>
  <c r="M72" i="42"/>
  <c r="F75" i="42"/>
  <c r="M74" i="42"/>
  <c r="F76" i="42" l="1"/>
  <c r="M71" i="42"/>
  <c r="M70" i="42"/>
  <c r="F73" i="42"/>
  <c r="M66" i="42"/>
  <c r="F72" i="42"/>
  <c r="F74" i="42"/>
  <c r="F69" i="42"/>
  <c r="F71" i="42"/>
  <c r="F70" i="42"/>
  <c r="M68" i="42" l="1"/>
  <c r="M67" i="42"/>
  <c r="M58" i="42"/>
  <c r="M59" i="42"/>
  <c r="M64" i="42"/>
  <c r="M60" i="42"/>
  <c r="F67" i="42"/>
  <c r="M62" i="42"/>
  <c r="F68" i="42"/>
  <c r="M56" i="42"/>
  <c r="M63" i="42"/>
  <c r="M57" i="42"/>
  <c r="F66" i="42"/>
  <c r="M65" i="42"/>
  <c r="P56" i="42"/>
  <c r="M61" i="42"/>
  <c r="C16" i="44" l="1"/>
  <c r="D16" i="44" s="1"/>
  <c r="C15" i="44"/>
  <c r="D15" i="44" s="1"/>
  <c r="C14" i="44"/>
  <c r="D14" i="44" s="1"/>
  <c r="C13" i="44"/>
  <c r="D13" i="44" s="1"/>
  <c r="C12" i="44"/>
  <c r="D12" i="44" s="1"/>
  <c r="C11" i="44"/>
  <c r="D11" i="44" s="1"/>
  <c r="C10" i="44"/>
  <c r="D10" i="44" s="1"/>
  <c r="C9" i="44"/>
  <c r="D9" i="44" s="1"/>
  <c r="A3" i="44"/>
  <c r="A4" i="44" s="1"/>
  <c r="M40" i="42"/>
  <c r="D62" i="42"/>
  <c r="F7" i="42"/>
  <c r="F19" i="42"/>
  <c r="M44" i="42"/>
  <c r="B7" i="42"/>
  <c r="M39" i="42"/>
  <c r="D59" i="42"/>
  <c r="D57" i="42"/>
  <c r="M34" i="42"/>
  <c r="D13" i="42"/>
  <c r="M41" i="42"/>
  <c r="F14" i="42"/>
  <c r="D63" i="42"/>
  <c r="E10" i="44"/>
  <c r="M38" i="42"/>
  <c r="E13" i="44"/>
  <c r="E15" i="44"/>
  <c r="B8" i="42"/>
  <c r="F21" i="42"/>
  <c r="F65" i="42"/>
  <c r="F57" i="42"/>
  <c r="F64" i="42"/>
  <c r="E14" i="44"/>
  <c r="F59" i="42"/>
  <c r="D8" i="42"/>
  <c r="E11" i="44"/>
  <c r="D61" i="42"/>
  <c r="D11" i="42"/>
  <c r="D7" i="42"/>
  <c r="M47" i="42"/>
  <c r="B10" i="42"/>
  <c r="F18" i="42"/>
  <c r="F60" i="42"/>
  <c r="F17" i="42"/>
  <c r="B9" i="42"/>
  <c r="M31" i="42"/>
  <c r="M33" i="42"/>
  <c r="B58" i="42"/>
  <c r="M48" i="42"/>
  <c r="F25" i="42"/>
  <c r="E9" i="44"/>
  <c r="B61" i="42"/>
  <c r="D60" i="42"/>
  <c r="B59" i="42"/>
  <c r="D10" i="42"/>
  <c r="M36" i="42"/>
  <c r="F58" i="42"/>
  <c r="F15" i="42"/>
  <c r="B6" i="42"/>
  <c r="B57" i="42"/>
  <c r="B56" i="42"/>
  <c r="B11" i="42"/>
  <c r="F56" i="42"/>
  <c r="F24" i="42"/>
  <c r="E16" i="44"/>
  <c r="F23" i="42"/>
  <c r="F6" i="42"/>
  <c r="M32" i="42"/>
  <c r="D58" i="42"/>
  <c r="F9" i="42"/>
  <c r="F13" i="42"/>
  <c r="F12" i="42"/>
  <c r="F10" i="42"/>
  <c r="F16" i="42"/>
  <c r="P31" i="42"/>
  <c r="M50" i="42"/>
  <c r="M49" i="42"/>
  <c r="M37" i="42"/>
  <c r="F22" i="42"/>
  <c r="F11" i="42"/>
  <c r="F8" i="42"/>
  <c r="E12" i="44"/>
  <c r="D12" i="42"/>
  <c r="F62" i="42"/>
  <c r="B60" i="42"/>
  <c r="F20" i="42"/>
  <c r="D9" i="42"/>
  <c r="F61" i="42"/>
  <c r="F63" i="42"/>
  <c r="M35" i="42"/>
  <c r="B12" i="42" l="1"/>
  <c r="F26" i="42"/>
  <c r="M43" i="42"/>
  <c r="M42" i="42"/>
  <c r="M46" i="42"/>
  <c r="M45" i="42"/>
  <c r="B62" i="42"/>
  <c r="A5" i="44"/>
  <c r="C4" i="44"/>
  <c r="D4" i="44" s="1"/>
  <c r="C3" i="44"/>
  <c r="D3" i="44" s="1"/>
  <c r="C2" i="44"/>
  <c r="D2" i="44" s="1"/>
  <c r="F64" i="50"/>
  <c r="F187" i="50"/>
  <c r="F111" i="50"/>
  <c r="C56" i="50"/>
  <c r="M162" i="50"/>
  <c r="F34" i="50"/>
  <c r="C81" i="42"/>
  <c r="F37" i="42"/>
  <c r="F65" i="50"/>
  <c r="D123" i="46"/>
  <c r="C131" i="42"/>
  <c r="D15" i="46"/>
  <c r="F35" i="42"/>
  <c r="D17" i="46"/>
  <c r="F184" i="50"/>
  <c r="F144" i="50"/>
  <c r="F14" i="50"/>
  <c r="F183" i="50"/>
  <c r="D36" i="42"/>
  <c r="D120" i="46"/>
  <c r="F46" i="50"/>
  <c r="F91" i="50"/>
  <c r="F119" i="50"/>
  <c r="D14" i="46"/>
  <c r="D32" i="46"/>
  <c r="F87" i="50"/>
  <c r="D51" i="46"/>
  <c r="F7" i="50"/>
  <c r="F36" i="50"/>
  <c r="F10" i="50"/>
  <c r="C106" i="42"/>
  <c r="D128" i="46"/>
  <c r="I159" i="50"/>
  <c r="D21" i="46"/>
  <c r="F135" i="50"/>
  <c r="F185" i="50"/>
  <c r="F60" i="50"/>
  <c r="F63" i="50"/>
  <c r="D26" i="46"/>
  <c r="D49" i="46"/>
  <c r="D37" i="42"/>
  <c r="F123" i="50"/>
  <c r="D31" i="46"/>
  <c r="F85" i="50"/>
  <c r="E2" i="44"/>
  <c r="D109" i="46"/>
  <c r="D121" i="46"/>
  <c r="I160" i="50"/>
  <c r="I167" i="50"/>
  <c r="M163" i="50"/>
  <c r="D61" i="46"/>
  <c r="I164" i="50"/>
  <c r="F8" i="50"/>
  <c r="D73" i="46"/>
  <c r="C56" i="42"/>
  <c r="D4" i="46"/>
  <c r="F23" i="50"/>
  <c r="M171" i="50"/>
  <c r="F31" i="42"/>
  <c r="F94" i="50"/>
  <c r="F17" i="50"/>
  <c r="F73" i="50"/>
  <c r="F47" i="42"/>
  <c r="F113" i="50"/>
  <c r="D116" i="46"/>
  <c r="F145" i="50"/>
  <c r="D87" i="46"/>
  <c r="D5" i="46"/>
  <c r="F141" i="50"/>
  <c r="D60" i="46"/>
  <c r="M169" i="50"/>
  <c r="M172" i="50"/>
  <c r="F182" i="50"/>
  <c r="I163" i="50"/>
  <c r="F137" i="50"/>
  <c r="I170" i="50"/>
  <c r="D56" i="46"/>
  <c r="M161" i="50"/>
  <c r="D130" i="46"/>
  <c r="F36" i="42"/>
  <c r="F84" i="50"/>
  <c r="D95" i="46"/>
  <c r="F25" i="50"/>
  <c r="D20" i="46"/>
  <c r="F37" i="50"/>
  <c r="F50" i="42"/>
  <c r="C6" i="42"/>
  <c r="D12" i="46"/>
  <c r="F109" i="50"/>
  <c r="F138" i="50"/>
  <c r="E4" i="44"/>
  <c r="D19" i="46"/>
  <c r="D105" i="46"/>
  <c r="D104" i="46"/>
  <c r="D126" i="46"/>
  <c r="M166" i="50"/>
  <c r="M158" i="50"/>
  <c r="F59" i="50"/>
  <c r="F62" i="50"/>
  <c r="C156" i="50"/>
  <c r="D98" i="46"/>
  <c r="I168" i="50"/>
  <c r="C181" i="50"/>
  <c r="D70" i="46"/>
  <c r="F47" i="50"/>
  <c r="D28" i="46"/>
  <c r="D131" i="46"/>
  <c r="D33" i="46"/>
  <c r="C81" i="50"/>
  <c r="B31" i="42"/>
  <c r="D32" i="42"/>
  <c r="F44" i="42"/>
  <c r="I169" i="50"/>
  <c r="D72" i="46"/>
  <c r="D18" i="46"/>
  <c r="F189" i="50"/>
  <c r="D94" i="46"/>
  <c r="F194" i="50"/>
  <c r="F33" i="50"/>
  <c r="D93" i="46"/>
  <c r="D52" i="46"/>
  <c r="I162" i="50"/>
  <c r="D6" i="46"/>
  <c r="I171" i="50"/>
  <c r="E3" i="44"/>
  <c r="F114" i="50"/>
  <c r="D58" i="46"/>
  <c r="D74" i="46"/>
  <c r="D99" i="46"/>
  <c r="F35" i="50"/>
  <c r="F57" i="50"/>
  <c r="D48" i="46"/>
  <c r="B36" i="42"/>
  <c r="D36" i="46"/>
  <c r="C131" i="50"/>
  <c r="I166" i="50"/>
  <c r="D7" i="46"/>
  <c r="F44" i="50"/>
  <c r="I172" i="50"/>
  <c r="D9" i="46"/>
  <c r="F98" i="50"/>
  <c r="F100" i="50"/>
  <c r="D119" i="46"/>
  <c r="D29" i="46"/>
  <c r="F83" i="50"/>
  <c r="F39" i="42"/>
  <c r="F11" i="50"/>
  <c r="M168" i="50"/>
  <c r="F48" i="50"/>
  <c r="D77" i="46"/>
  <c r="B32" i="42"/>
  <c r="F134" i="50"/>
  <c r="F58" i="50"/>
  <c r="F48" i="42"/>
  <c r="D63" i="46"/>
  <c r="D82" i="46"/>
  <c r="D38" i="42"/>
  <c r="F118" i="50"/>
  <c r="F197" i="50"/>
  <c r="M156" i="50"/>
  <c r="F71" i="50"/>
  <c r="D71" i="46"/>
  <c r="D101" i="46"/>
  <c r="F99" i="50"/>
  <c r="D27" i="46"/>
  <c r="D85" i="46"/>
  <c r="F191" i="50"/>
  <c r="F22" i="50"/>
  <c r="F68" i="50"/>
  <c r="D39" i="46"/>
  <c r="D64" i="46"/>
  <c r="D34" i="46"/>
  <c r="F43" i="50"/>
  <c r="F61" i="50"/>
  <c r="F140" i="50"/>
  <c r="D75" i="46"/>
  <c r="F75" i="50"/>
  <c r="B35" i="42"/>
  <c r="D129" i="46"/>
  <c r="D65" i="46"/>
  <c r="F69" i="50"/>
  <c r="D13" i="46"/>
  <c r="F9" i="50"/>
  <c r="F186" i="50"/>
  <c r="D33" i="42"/>
  <c r="D59" i="46"/>
  <c r="D10" i="46"/>
  <c r="F95" i="50"/>
  <c r="D11" i="46"/>
  <c r="M170" i="50"/>
  <c r="I158" i="50"/>
  <c r="D78" i="46"/>
  <c r="I161" i="50"/>
  <c r="D8" i="46"/>
  <c r="F110" i="50"/>
  <c r="D80" i="46"/>
  <c r="F106" i="50"/>
  <c r="F93" i="50"/>
  <c r="F38" i="50"/>
  <c r="F43" i="42"/>
  <c r="D40" i="46"/>
  <c r="M167" i="50"/>
  <c r="D92" i="46"/>
  <c r="D124" i="46"/>
  <c r="F74" i="50"/>
  <c r="F49" i="42"/>
  <c r="F56" i="50"/>
  <c r="F33" i="42"/>
  <c r="F16" i="50"/>
  <c r="D37" i="46"/>
  <c r="D122" i="46"/>
  <c r="F108" i="50"/>
  <c r="F18" i="50"/>
  <c r="F88" i="50"/>
  <c r="F72" i="50"/>
  <c r="F181" i="50"/>
  <c r="F50" i="50"/>
  <c r="F121" i="50"/>
  <c r="F41" i="50"/>
  <c r="F122" i="50"/>
  <c r="D34" i="42"/>
  <c r="D103" i="46"/>
  <c r="D35" i="46"/>
  <c r="D41" i="46"/>
  <c r="M157" i="50"/>
  <c r="D106" i="46"/>
  <c r="D96" i="46"/>
  <c r="D43" i="46"/>
  <c r="F90" i="50"/>
  <c r="D35" i="42"/>
  <c r="F6" i="50"/>
  <c r="D81" i="46"/>
  <c r="F40" i="50"/>
  <c r="F15" i="50"/>
  <c r="D79" i="46"/>
  <c r="F82" i="50"/>
  <c r="D117" i="46"/>
  <c r="D107" i="46"/>
  <c r="F131" i="50"/>
  <c r="D16" i="46"/>
  <c r="F142" i="50"/>
  <c r="D53" i="46"/>
  <c r="F39" i="50"/>
  <c r="F115" i="50"/>
  <c r="F32" i="42"/>
  <c r="F12" i="50"/>
  <c r="C6" i="50"/>
  <c r="F19" i="50"/>
  <c r="F31" i="50"/>
  <c r="F45" i="42"/>
  <c r="D86" i="46"/>
  <c r="B34" i="42"/>
  <c r="F136" i="50"/>
  <c r="M160" i="50"/>
  <c r="F42" i="50"/>
  <c r="I157" i="50"/>
  <c r="C31" i="42"/>
  <c r="F13" i="50"/>
  <c r="I165" i="50"/>
  <c r="F116" i="50"/>
  <c r="F133" i="50"/>
  <c r="D50" i="46"/>
  <c r="D102" i="46"/>
  <c r="F89" i="50"/>
  <c r="F32" i="50"/>
  <c r="F97" i="50"/>
  <c r="F107" i="50"/>
  <c r="D115" i="46"/>
  <c r="D62" i="46"/>
  <c r="F112" i="50"/>
  <c r="F40" i="42"/>
  <c r="M165" i="50"/>
  <c r="F120" i="50"/>
  <c r="D76" i="46"/>
  <c r="D127" i="46"/>
  <c r="M164" i="50"/>
  <c r="D42" i="46"/>
  <c r="C106" i="50"/>
  <c r="F86" i="50"/>
  <c r="D54" i="46"/>
  <c r="D125" i="46"/>
  <c r="F92" i="50"/>
  <c r="F143" i="50"/>
  <c r="F49" i="50"/>
  <c r="F24" i="50"/>
  <c r="D55" i="46"/>
  <c r="F117" i="50"/>
  <c r="F38" i="42"/>
  <c r="M159" i="50"/>
  <c r="D38" i="46"/>
  <c r="C31" i="50"/>
  <c r="F81" i="50"/>
  <c r="F67" i="50"/>
  <c r="D108" i="46"/>
  <c r="F139" i="50"/>
  <c r="F66" i="50"/>
  <c r="D83" i="46"/>
  <c r="D57" i="46"/>
  <c r="F188" i="50"/>
  <c r="F70" i="50"/>
  <c r="F96" i="50"/>
  <c r="D118" i="46"/>
  <c r="D97" i="46"/>
  <c r="F45" i="50"/>
  <c r="D6" i="42"/>
  <c r="D30" i="46"/>
  <c r="I156" i="50"/>
  <c r="F132" i="50"/>
  <c r="B33" i="42"/>
  <c r="C181" i="42"/>
  <c r="C156" i="42"/>
  <c r="D56" i="42"/>
  <c r="F41" i="42"/>
  <c r="D100" i="46"/>
  <c r="D84" i="46"/>
  <c r="D114" i="46"/>
  <c r="F34" i="42"/>
  <c r="F42" i="42"/>
  <c r="F46" i="42"/>
  <c r="B37" i="42" l="1"/>
  <c r="F51" i="42"/>
  <c r="F198" i="50"/>
  <c r="F199" i="50" s="1"/>
  <c r="F200" i="50" s="1"/>
  <c r="F201" i="50" s="1"/>
  <c r="F196" i="50"/>
  <c r="F195" i="50"/>
  <c r="F192" i="50"/>
  <c r="F193" i="50"/>
  <c r="F190" i="50"/>
  <c r="T172" i="50"/>
  <c r="F172" i="50" s="1"/>
  <c r="T171" i="50"/>
  <c r="F171" i="50" s="1"/>
  <c r="T170" i="50"/>
  <c r="F170" i="50" s="1"/>
  <c r="T169" i="50"/>
  <c r="F169" i="50" s="1"/>
  <c r="T168" i="50"/>
  <c r="F168" i="50" s="1"/>
  <c r="T167" i="50"/>
  <c r="F167" i="50" s="1"/>
  <c r="T166" i="50"/>
  <c r="F166" i="50" s="1"/>
  <c r="T165" i="50"/>
  <c r="F165" i="50" s="1"/>
  <c r="G165" i="50" s="1"/>
  <c r="R156" i="50"/>
  <c r="F146" i="50"/>
  <c r="F124" i="50"/>
  <c r="F101" i="50"/>
  <c r="F76" i="50"/>
  <c r="F51" i="50"/>
  <c r="F26" i="50"/>
  <c r="A188" i="50"/>
  <c r="A187" i="50"/>
  <c r="A186" i="50"/>
  <c r="A185" i="50"/>
  <c r="A184" i="50"/>
  <c r="A183" i="50"/>
  <c r="A182" i="50"/>
  <c r="E181" i="50"/>
  <c r="E182" i="50" s="1"/>
  <c r="E183" i="50" s="1"/>
  <c r="E184" i="50" s="1"/>
  <c r="E185" i="50" s="1"/>
  <c r="E186" i="50" s="1"/>
  <c r="E187" i="50" s="1"/>
  <c r="E188" i="50" s="1"/>
  <c r="E189" i="50" s="1"/>
  <c r="E190" i="50" s="1"/>
  <c r="E191" i="50" s="1"/>
  <c r="E192" i="50" s="1"/>
  <c r="E193" i="50" s="1"/>
  <c r="E194" i="50" s="1"/>
  <c r="E195" i="50" s="1"/>
  <c r="E196" i="50" s="1"/>
  <c r="E197" i="50" s="1"/>
  <c r="E198" i="50" s="1"/>
  <c r="E199" i="50" s="1"/>
  <c r="E200" i="50" s="1"/>
  <c r="E201" i="50" s="1"/>
  <c r="A181" i="50"/>
  <c r="A161" i="50"/>
  <c r="A162" i="50" s="1"/>
  <c r="A160" i="50"/>
  <c r="A159" i="50"/>
  <c r="A158" i="50"/>
  <c r="A157" i="50"/>
  <c r="E156" i="50"/>
  <c r="E157" i="50" s="1"/>
  <c r="E158" i="50" s="1"/>
  <c r="E159" i="50" s="1"/>
  <c r="E160" i="50" s="1"/>
  <c r="E161" i="50" s="1"/>
  <c r="E162" i="50" s="1"/>
  <c r="E163" i="50" s="1"/>
  <c r="E164" i="50" s="1"/>
  <c r="E165" i="50" s="1"/>
  <c r="E166" i="50" s="1"/>
  <c r="E167" i="50" s="1"/>
  <c r="E168" i="50" s="1"/>
  <c r="E169" i="50" s="1"/>
  <c r="E170" i="50" s="1"/>
  <c r="E171" i="50" s="1"/>
  <c r="E172" i="50" s="1"/>
  <c r="A156" i="50"/>
  <c r="A136" i="50"/>
  <c r="A137" i="50" s="1"/>
  <c r="A135" i="50"/>
  <c r="A134" i="50"/>
  <c r="A133" i="50"/>
  <c r="A132" i="50"/>
  <c r="E131" i="50"/>
  <c r="E132" i="50" s="1"/>
  <c r="E133" i="50" s="1"/>
  <c r="E134" i="50" s="1"/>
  <c r="E135" i="50" s="1"/>
  <c r="E136" i="50" s="1"/>
  <c r="E137" i="50" s="1"/>
  <c r="E138" i="50" s="1"/>
  <c r="E139" i="50" s="1"/>
  <c r="E140" i="50" s="1"/>
  <c r="E141" i="50" s="1"/>
  <c r="E142" i="50" s="1"/>
  <c r="E143" i="50" s="1"/>
  <c r="E144" i="50" s="1"/>
  <c r="E145" i="50" s="1"/>
  <c r="E146" i="50" s="1"/>
  <c r="A131" i="50"/>
  <c r="A111" i="50"/>
  <c r="A112" i="50" s="1"/>
  <c r="A110" i="50"/>
  <c r="A109" i="50"/>
  <c r="A108" i="50"/>
  <c r="A107" i="50"/>
  <c r="E106" i="50"/>
  <c r="E107" i="50" s="1"/>
  <c r="E108" i="50" s="1"/>
  <c r="E109" i="50" s="1"/>
  <c r="E110" i="50" s="1"/>
  <c r="E111" i="50" s="1"/>
  <c r="E112" i="50" s="1"/>
  <c r="E113" i="50" s="1"/>
  <c r="E114" i="50" s="1"/>
  <c r="E115" i="50" s="1"/>
  <c r="E116" i="50" s="1"/>
  <c r="E117" i="50" s="1"/>
  <c r="E118" i="50" s="1"/>
  <c r="E119" i="50" s="1"/>
  <c r="E120" i="50" s="1"/>
  <c r="E121" i="50" s="1"/>
  <c r="E122" i="50" s="1"/>
  <c r="E123" i="50" s="1"/>
  <c r="E124" i="50" s="1"/>
  <c r="A106" i="50"/>
  <c r="A86" i="50"/>
  <c r="A87" i="50" s="1"/>
  <c r="A85" i="50"/>
  <c r="A84" i="50"/>
  <c r="A83" i="50"/>
  <c r="A82" i="50"/>
  <c r="E81" i="50"/>
  <c r="E82" i="50" s="1"/>
  <c r="E83" i="50" s="1"/>
  <c r="E84" i="50" s="1"/>
  <c r="E85" i="50" s="1"/>
  <c r="E86" i="50" s="1"/>
  <c r="E87" i="50" s="1"/>
  <c r="E88" i="50" s="1"/>
  <c r="E89" i="50" s="1"/>
  <c r="E90" i="50" s="1"/>
  <c r="E91" i="50" s="1"/>
  <c r="E92" i="50" s="1"/>
  <c r="E93" i="50" s="1"/>
  <c r="E94" i="50" s="1"/>
  <c r="E95" i="50" s="1"/>
  <c r="E96" i="50" s="1"/>
  <c r="E97" i="50" s="1"/>
  <c r="E98" i="50" s="1"/>
  <c r="E99" i="50" s="1"/>
  <c r="E100" i="50" s="1"/>
  <c r="E101" i="50" s="1"/>
  <c r="A81" i="50"/>
  <c r="A61" i="50"/>
  <c r="A62" i="50" s="1"/>
  <c r="A60" i="50"/>
  <c r="A59" i="50"/>
  <c r="A58" i="50"/>
  <c r="A57" i="50"/>
  <c r="E56" i="50"/>
  <c r="E57" i="50" s="1"/>
  <c r="E58" i="50" s="1"/>
  <c r="E59" i="50" s="1"/>
  <c r="E60" i="50" s="1"/>
  <c r="E61" i="50" s="1"/>
  <c r="E62" i="50" s="1"/>
  <c r="E63" i="50" s="1"/>
  <c r="E64" i="50" s="1"/>
  <c r="E65" i="50" s="1"/>
  <c r="E66" i="50" s="1"/>
  <c r="E67" i="50" s="1"/>
  <c r="E68" i="50" s="1"/>
  <c r="E69" i="50" s="1"/>
  <c r="E70" i="50" s="1"/>
  <c r="E71" i="50" s="1"/>
  <c r="E72" i="50" s="1"/>
  <c r="E73" i="50" s="1"/>
  <c r="E74" i="50" s="1"/>
  <c r="E75" i="50" s="1"/>
  <c r="E76" i="50" s="1"/>
  <c r="A56" i="50"/>
  <c r="A36" i="50"/>
  <c r="A37" i="50" s="1"/>
  <c r="A35" i="50"/>
  <c r="A34" i="50"/>
  <c r="A33" i="50"/>
  <c r="A32" i="50"/>
  <c r="E31" i="50"/>
  <c r="E32" i="50" s="1"/>
  <c r="E33" i="50" s="1"/>
  <c r="E34" i="50" s="1"/>
  <c r="E35" i="50" s="1"/>
  <c r="E36" i="50" s="1"/>
  <c r="E37" i="50" s="1"/>
  <c r="E38" i="50" s="1"/>
  <c r="E39" i="50" s="1"/>
  <c r="E40" i="50" s="1"/>
  <c r="E41" i="50" s="1"/>
  <c r="E42" i="50" s="1"/>
  <c r="E43" i="50" s="1"/>
  <c r="E44" i="50" s="1"/>
  <c r="E45" i="50" s="1"/>
  <c r="E46" i="50" s="1"/>
  <c r="E47" i="50" s="1"/>
  <c r="E48" i="50" s="1"/>
  <c r="E49" i="50" s="1"/>
  <c r="E50" i="50" s="1"/>
  <c r="E51" i="50" s="1"/>
  <c r="A31" i="50"/>
  <c r="A11" i="50"/>
  <c r="A12" i="50" s="1"/>
  <c r="A10" i="50"/>
  <c r="A9" i="50"/>
  <c r="A8" i="50"/>
  <c r="A7" i="50"/>
  <c r="E6" i="50"/>
  <c r="E7" i="50" s="1"/>
  <c r="E8" i="50" s="1"/>
  <c r="E9" i="50" s="1"/>
  <c r="E10" i="50" s="1"/>
  <c r="E11" i="50" s="1"/>
  <c r="E12" i="50" s="1"/>
  <c r="E13" i="50" s="1"/>
  <c r="E14" i="50" s="1"/>
  <c r="E15" i="50" s="1"/>
  <c r="E16" i="50" s="1"/>
  <c r="E17" i="50" s="1"/>
  <c r="E18" i="50" s="1"/>
  <c r="E19" i="50" s="1"/>
  <c r="E20" i="50" s="1"/>
  <c r="E21" i="50" s="1"/>
  <c r="E22" i="50" s="1"/>
  <c r="E23" i="50" s="1"/>
  <c r="E24" i="50" s="1"/>
  <c r="E25" i="50" s="1"/>
  <c r="E26" i="50" s="1"/>
  <c r="A6" i="50"/>
  <c r="A188" i="42"/>
  <c r="A187" i="42"/>
  <c r="A186" i="42"/>
  <c r="A185" i="42"/>
  <c r="A184" i="42"/>
  <c r="A183" i="42"/>
  <c r="A182" i="42"/>
  <c r="E181" i="42"/>
  <c r="E182" i="42" s="1"/>
  <c r="E183" i="42" s="1"/>
  <c r="E184" i="42" s="1"/>
  <c r="E185" i="42" s="1"/>
  <c r="E186" i="42" s="1"/>
  <c r="E187" i="42" s="1"/>
  <c r="E188" i="42" s="1"/>
  <c r="E189" i="42" s="1"/>
  <c r="E190" i="42" s="1"/>
  <c r="E191" i="42" s="1"/>
  <c r="E192" i="42" s="1"/>
  <c r="E193" i="42" s="1"/>
  <c r="E194" i="42" s="1"/>
  <c r="E195" i="42" s="1"/>
  <c r="E196" i="42" s="1"/>
  <c r="E197" i="42" s="1"/>
  <c r="E198" i="42" s="1"/>
  <c r="E199" i="42" s="1"/>
  <c r="E200" i="42" s="1"/>
  <c r="E201" i="42" s="1"/>
  <c r="A181" i="42"/>
  <c r="A161" i="42"/>
  <c r="A162" i="42" s="1"/>
  <c r="A160" i="42"/>
  <c r="A159" i="42"/>
  <c r="A158" i="42"/>
  <c r="A157" i="42"/>
  <c r="E156" i="42"/>
  <c r="E157" i="42" s="1"/>
  <c r="E158" i="42" s="1"/>
  <c r="E159" i="42" s="1"/>
  <c r="E160" i="42" s="1"/>
  <c r="E161" i="42" s="1"/>
  <c r="E162" i="42" s="1"/>
  <c r="E163" i="42" s="1"/>
  <c r="E164" i="42" s="1"/>
  <c r="E165" i="42" s="1"/>
  <c r="E166" i="42" s="1"/>
  <c r="A156" i="42"/>
  <c r="A136" i="42"/>
  <c r="A137" i="42" s="1"/>
  <c r="A135" i="42"/>
  <c r="A134" i="42"/>
  <c r="A133" i="42"/>
  <c r="A132" i="42"/>
  <c r="E131" i="42"/>
  <c r="E132" i="42" s="1"/>
  <c r="E133" i="42" s="1"/>
  <c r="E134" i="42" s="1"/>
  <c r="E135" i="42" s="1"/>
  <c r="E136" i="42" s="1"/>
  <c r="E137" i="42" s="1"/>
  <c r="E138" i="42" s="1"/>
  <c r="E139" i="42" s="1"/>
  <c r="E140" i="42" s="1"/>
  <c r="E141" i="42" s="1"/>
  <c r="E142" i="42" s="1"/>
  <c r="E143" i="42" s="1"/>
  <c r="E144" i="42" s="1"/>
  <c r="E145" i="42" s="1"/>
  <c r="E146" i="42" s="1"/>
  <c r="A131" i="42"/>
  <c r="A111" i="42"/>
  <c r="A112" i="42" s="1"/>
  <c r="A110" i="42"/>
  <c r="A109" i="42"/>
  <c r="A108" i="42"/>
  <c r="A107" i="42"/>
  <c r="E106" i="42"/>
  <c r="E107" i="42" s="1"/>
  <c r="E108" i="42" s="1"/>
  <c r="E109" i="42" s="1"/>
  <c r="E110" i="42" s="1"/>
  <c r="E111" i="42" s="1"/>
  <c r="E112" i="42" s="1"/>
  <c r="E113" i="42" s="1"/>
  <c r="E114" i="42" s="1"/>
  <c r="E115" i="42" s="1"/>
  <c r="E116" i="42" s="1"/>
  <c r="E117" i="42" s="1"/>
  <c r="E118" i="42" s="1"/>
  <c r="E119" i="42" s="1"/>
  <c r="E120" i="42" s="1"/>
  <c r="E121" i="42" s="1"/>
  <c r="E122" i="42" s="1"/>
  <c r="E123" i="42" s="1"/>
  <c r="E124" i="42" s="1"/>
  <c r="A106" i="42"/>
  <c r="A86" i="42"/>
  <c r="A87" i="42" s="1"/>
  <c r="A85" i="42"/>
  <c r="A84" i="42"/>
  <c r="A83" i="42"/>
  <c r="A82" i="42"/>
  <c r="E81" i="42"/>
  <c r="E82" i="42" s="1"/>
  <c r="E83" i="42" s="1"/>
  <c r="E84" i="42" s="1"/>
  <c r="E85" i="42" s="1"/>
  <c r="E86" i="42" s="1"/>
  <c r="E87" i="42" s="1"/>
  <c r="E88" i="42" s="1"/>
  <c r="E89" i="42" s="1"/>
  <c r="E90" i="42" s="1"/>
  <c r="E91" i="42" s="1"/>
  <c r="E92" i="42" s="1"/>
  <c r="E93" i="42" s="1"/>
  <c r="E94" i="42" s="1"/>
  <c r="E95" i="42" s="1"/>
  <c r="E96" i="42" s="1"/>
  <c r="E97" i="42" s="1"/>
  <c r="E98" i="42" s="1"/>
  <c r="E99" i="42" s="1"/>
  <c r="E100" i="42" s="1"/>
  <c r="E101" i="42" s="1"/>
  <c r="A81" i="42"/>
  <c r="A61" i="42"/>
  <c r="A62" i="42" s="1"/>
  <c r="A60" i="42"/>
  <c r="A59" i="42"/>
  <c r="A58" i="42"/>
  <c r="A57" i="42"/>
  <c r="E56" i="42"/>
  <c r="E57" i="42" s="1"/>
  <c r="E58" i="42" s="1"/>
  <c r="E59" i="42" s="1"/>
  <c r="E60" i="42" s="1"/>
  <c r="E61" i="42" s="1"/>
  <c r="E62" i="42" s="1"/>
  <c r="E63" i="42" s="1"/>
  <c r="E64" i="42" s="1"/>
  <c r="E65" i="42" s="1"/>
  <c r="E66" i="42" s="1"/>
  <c r="E67" i="42" s="1"/>
  <c r="E68" i="42" s="1"/>
  <c r="E69" i="42" s="1"/>
  <c r="E70" i="42" s="1"/>
  <c r="E71" i="42" s="1"/>
  <c r="E72" i="42" s="1"/>
  <c r="E73" i="42" s="1"/>
  <c r="E74" i="42" s="1"/>
  <c r="E75" i="42" s="1"/>
  <c r="E76" i="42" s="1"/>
  <c r="A56" i="42"/>
  <c r="A36" i="42"/>
  <c r="A37" i="42" s="1"/>
  <c r="A35" i="42"/>
  <c r="A34" i="42"/>
  <c r="A33" i="42"/>
  <c r="A32" i="42"/>
  <c r="E31" i="42"/>
  <c r="E32" i="42" s="1"/>
  <c r="E33" i="42" s="1"/>
  <c r="E34" i="42" s="1"/>
  <c r="E35" i="42" s="1"/>
  <c r="E36" i="42" s="1"/>
  <c r="E37" i="42" s="1"/>
  <c r="E38" i="42" s="1"/>
  <c r="E39" i="42" s="1"/>
  <c r="E40" i="42" s="1"/>
  <c r="E41" i="42" s="1"/>
  <c r="E42" i="42" s="1"/>
  <c r="E43" i="42" s="1"/>
  <c r="E44" i="42" s="1"/>
  <c r="E45" i="42" s="1"/>
  <c r="E46" i="42" s="1"/>
  <c r="E47" i="42" s="1"/>
  <c r="E48" i="42" s="1"/>
  <c r="E49" i="42" s="1"/>
  <c r="E50" i="42" s="1"/>
  <c r="E51" i="42" s="1"/>
  <c r="A31" i="42"/>
  <c r="A11" i="42"/>
  <c r="A12" i="42" s="1"/>
  <c r="A10" i="42"/>
  <c r="A9" i="42"/>
  <c r="A8" i="42"/>
  <c r="A7" i="42"/>
  <c r="E6" i="42"/>
  <c r="E7" i="42" s="1"/>
  <c r="E8" i="42" s="1"/>
  <c r="E9" i="42" s="1"/>
  <c r="E10" i="42" s="1"/>
  <c r="E11" i="42" s="1"/>
  <c r="E12" i="42" s="1"/>
  <c r="E13" i="42" s="1"/>
  <c r="E14" i="42" s="1"/>
  <c r="E15" i="42" s="1"/>
  <c r="E16" i="42" s="1"/>
  <c r="E17" i="42" s="1"/>
  <c r="E18" i="42" s="1"/>
  <c r="E19" i="42" s="1"/>
  <c r="E20" i="42" s="1"/>
  <c r="E21" i="42" s="1"/>
  <c r="E22" i="42" s="1"/>
  <c r="E23" i="42" s="1"/>
  <c r="E24" i="42" s="1"/>
  <c r="E25" i="42" s="1"/>
  <c r="E26" i="42" s="1"/>
  <c r="A6" i="42"/>
  <c r="C9" i="52"/>
  <c r="A115" i="46"/>
  <c r="A116" i="46" s="1"/>
  <c r="A117" i="46" s="1"/>
  <c r="A118" i="46" s="1"/>
  <c r="A119" i="46" s="1"/>
  <c r="A120" i="46" s="1"/>
  <c r="A121" i="46" s="1"/>
  <c r="A122" i="46" s="1"/>
  <c r="A123" i="46" s="1"/>
  <c r="A124" i="46" s="1"/>
  <c r="A125" i="46" s="1"/>
  <c r="A126" i="46" s="1"/>
  <c r="A127" i="46" s="1"/>
  <c r="A128" i="46" s="1"/>
  <c r="A129" i="46" s="1"/>
  <c r="A130" i="46" s="1"/>
  <c r="A131" i="46" s="1"/>
  <c r="A114" i="46"/>
  <c r="A93" i="46"/>
  <c r="A94" i="46" s="1"/>
  <c r="A95" i="46" s="1"/>
  <c r="A96" i="46" s="1"/>
  <c r="A97" i="46" s="1"/>
  <c r="A98" i="46" s="1"/>
  <c r="A99" i="46" s="1"/>
  <c r="A100" i="46" s="1"/>
  <c r="A101" i="46" s="1"/>
  <c r="A102" i="46" s="1"/>
  <c r="A103" i="46" s="1"/>
  <c r="A104" i="46" s="1"/>
  <c r="A105" i="46" s="1"/>
  <c r="A106" i="46" s="1"/>
  <c r="A107" i="46" s="1"/>
  <c r="A108" i="46" s="1"/>
  <c r="A109" i="46" s="1"/>
  <c r="A92" i="46"/>
  <c r="A71" i="46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A86" i="46" s="1"/>
  <c r="A87" i="46" s="1"/>
  <c r="A70" i="46"/>
  <c r="A49" i="46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48" i="46"/>
  <c r="A27" i="46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26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4" i="46"/>
  <c r="C5" i="52"/>
  <c r="A6" i="44"/>
  <c r="C5" i="44"/>
  <c r="D5" i="44" s="1"/>
  <c r="D136" i="50"/>
  <c r="D135" i="50"/>
  <c r="C182" i="50"/>
  <c r="D107" i="50"/>
  <c r="D110" i="50"/>
  <c r="D138" i="50"/>
  <c r="B11" i="50"/>
  <c r="D113" i="50"/>
  <c r="V161" i="50"/>
  <c r="B56" i="50"/>
  <c r="D134" i="50"/>
  <c r="D8" i="50"/>
  <c r="C157" i="42"/>
  <c r="D108" i="50"/>
  <c r="D37" i="50"/>
  <c r="D36" i="50"/>
  <c r="C82" i="50"/>
  <c r="C132" i="50"/>
  <c r="D31" i="42"/>
  <c r="V160" i="50"/>
  <c r="D57" i="50"/>
  <c r="B185" i="50"/>
  <c r="C57" i="50"/>
  <c r="D82" i="50"/>
  <c r="B59" i="50"/>
  <c r="B57" i="50"/>
  <c r="B31" i="50"/>
  <c r="D84" i="50"/>
  <c r="B35" i="50"/>
  <c r="B84" i="50"/>
  <c r="D60" i="50"/>
  <c r="C132" i="42"/>
  <c r="B82" i="50"/>
  <c r="V157" i="50"/>
  <c r="C7" i="50"/>
  <c r="D13" i="50"/>
  <c r="D9" i="50"/>
  <c r="C57" i="42"/>
  <c r="P156" i="50"/>
  <c r="D59" i="50"/>
  <c r="B61" i="50"/>
  <c r="F21" i="50"/>
  <c r="B131" i="50"/>
  <c r="E5" i="44"/>
  <c r="D34" i="50"/>
  <c r="D62" i="50"/>
  <c r="B109" i="50"/>
  <c r="B81" i="50"/>
  <c r="B34" i="50"/>
  <c r="B136" i="50"/>
  <c r="D87" i="50"/>
  <c r="D10" i="50"/>
  <c r="D137" i="50"/>
  <c r="B133" i="50"/>
  <c r="D63" i="50"/>
  <c r="B187" i="50"/>
  <c r="B36" i="50"/>
  <c r="B60" i="50"/>
  <c r="B110" i="50"/>
  <c r="D38" i="50"/>
  <c r="D111" i="50"/>
  <c r="C182" i="42"/>
  <c r="C32" i="50"/>
  <c r="D85" i="50"/>
  <c r="B58" i="50"/>
  <c r="B135" i="50"/>
  <c r="B107" i="50"/>
  <c r="D61" i="50"/>
  <c r="C157" i="50"/>
  <c r="D7" i="50"/>
  <c r="D58" i="50"/>
  <c r="D12" i="50"/>
  <c r="B106" i="50"/>
  <c r="V159" i="50"/>
  <c r="F20" i="50"/>
  <c r="D88" i="50"/>
  <c r="B9" i="50"/>
  <c r="C107" i="42"/>
  <c r="D32" i="50"/>
  <c r="B134" i="50"/>
  <c r="B7" i="50"/>
  <c r="B86" i="50"/>
  <c r="C82" i="42"/>
  <c r="B111" i="50"/>
  <c r="D112" i="50"/>
  <c r="C107" i="50"/>
  <c r="D86" i="50"/>
  <c r="B108" i="50"/>
  <c r="B184" i="50"/>
  <c r="D35" i="50"/>
  <c r="D132" i="50"/>
  <c r="B186" i="50"/>
  <c r="B132" i="50"/>
  <c r="D133" i="50"/>
  <c r="C32" i="42"/>
  <c r="B8" i="50"/>
  <c r="D83" i="50"/>
  <c r="B85" i="50"/>
  <c r="B10" i="50"/>
  <c r="D109" i="50"/>
  <c r="D11" i="50"/>
  <c r="B83" i="50"/>
  <c r="D33" i="50"/>
  <c r="C7" i="42"/>
  <c r="B6" i="50"/>
  <c r="B32" i="50"/>
  <c r="B182" i="50"/>
  <c r="B188" i="50" l="1"/>
  <c r="B183" i="50"/>
  <c r="U161" i="50"/>
  <c r="B161" i="50" s="1"/>
  <c r="U160" i="50"/>
  <c r="B160" i="50" s="1"/>
  <c r="U159" i="50"/>
  <c r="B159" i="50" s="1"/>
  <c r="U157" i="50"/>
  <c r="B157" i="50" s="1"/>
  <c r="B156" i="50" s="1"/>
  <c r="B137" i="50"/>
  <c r="B112" i="50"/>
  <c r="B87" i="50"/>
  <c r="B62" i="50"/>
  <c r="B37" i="50"/>
  <c r="B12" i="50"/>
  <c r="E167" i="42"/>
  <c r="E168" i="42" s="1"/>
  <c r="E169" i="42" s="1"/>
  <c r="E170" i="42" s="1"/>
  <c r="E171" i="42" s="1"/>
  <c r="E172" i="42" s="1"/>
  <c r="C8" i="52"/>
  <c r="A7" i="44"/>
  <c r="C6" i="44"/>
  <c r="D6" i="44" s="1"/>
  <c r="C7" i="52"/>
  <c r="C108" i="50"/>
  <c r="C133" i="42"/>
  <c r="C158" i="50"/>
  <c r="D131" i="50"/>
  <c r="D56" i="50"/>
  <c r="B181" i="50"/>
  <c r="D6" i="50"/>
  <c r="D81" i="50"/>
  <c r="C58" i="50"/>
  <c r="C33" i="42"/>
  <c r="C8" i="42"/>
  <c r="C83" i="50"/>
  <c r="C183" i="50"/>
  <c r="C33" i="50"/>
  <c r="V162" i="50"/>
  <c r="C133" i="50"/>
  <c r="C183" i="42"/>
  <c r="E6" i="44"/>
  <c r="C8" i="50"/>
  <c r="C108" i="42"/>
  <c r="C158" i="42"/>
  <c r="D106" i="50"/>
  <c r="V158" i="50"/>
  <c r="D31" i="50"/>
  <c r="C58" i="42"/>
  <c r="B33" i="50"/>
  <c r="C83" i="42"/>
  <c r="U162" i="50" l="1"/>
  <c r="B162" i="50" s="1"/>
  <c r="U158" i="50"/>
  <c r="B158" i="50" s="1"/>
  <c r="I166" i="42"/>
  <c r="T166" i="42" s="1"/>
  <c r="F166" i="42" s="1"/>
  <c r="A8" i="44"/>
  <c r="C8" i="44" s="1"/>
  <c r="D8" i="44" s="1"/>
  <c r="C7" i="44"/>
  <c r="D7" i="44" s="1"/>
  <c r="C134" i="50"/>
  <c r="C9" i="50"/>
  <c r="C184" i="50"/>
  <c r="C184" i="42"/>
  <c r="C109" i="50"/>
  <c r="C159" i="50"/>
  <c r="C34" i="50"/>
  <c r="C59" i="50"/>
  <c r="C9" i="42"/>
  <c r="C84" i="50"/>
  <c r="C84" i="42"/>
  <c r="C134" i="42"/>
  <c r="E7" i="44"/>
  <c r="C159" i="42"/>
  <c r="C59" i="42"/>
  <c r="C109" i="42"/>
  <c r="C34" i="42"/>
  <c r="C135" i="50" l="1"/>
  <c r="C185" i="42"/>
  <c r="C135" i="42"/>
  <c r="C10" i="50"/>
  <c r="C110" i="42"/>
  <c r="C60" i="42"/>
  <c r="C160" i="42"/>
  <c r="C85" i="42"/>
  <c r="C60" i="50"/>
  <c r="C35" i="50"/>
  <c r="C110" i="50"/>
  <c r="C185" i="50"/>
  <c r="C85" i="50"/>
  <c r="C160" i="50"/>
  <c r="C10" i="42"/>
  <c r="C35" i="42"/>
  <c r="C36" i="42" l="1"/>
  <c r="C86" i="42"/>
  <c r="C186" i="50"/>
  <c r="C136" i="42"/>
  <c r="C186" i="42"/>
  <c r="C136" i="50"/>
  <c r="C11" i="42"/>
  <c r="C161" i="42"/>
  <c r="C161" i="50"/>
  <c r="C61" i="42"/>
  <c r="C86" i="50"/>
  <c r="C111" i="42"/>
  <c r="C11" i="50"/>
  <c r="C111" i="50"/>
  <c r="C36" i="50"/>
  <c r="C61" i="50"/>
  <c r="C62" i="50" l="1"/>
  <c r="C162" i="42"/>
  <c r="C137" i="42"/>
  <c r="C187" i="50"/>
  <c r="C162" i="50"/>
  <c r="C37" i="50"/>
  <c r="C12" i="42"/>
  <c r="C112" i="50"/>
  <c r="C137" i="50"/>
  <c r="C12" i="50"/>
  <c r="C187" i="42"/>
  <c r="C112" i="42"/>
  <c r="C87" i="50"/>
  <c r="C62" i="42"/>
  <c r="C87" i="42"/>
  <c r="C37" i="42"/>
  <c r="C38" i="42"/>
  <c r="C113" i="50"/>
  <c r="C88" i="42"/>
  <c r="C13" i="42"/>
  <c r="C63" i="42"/>
  <c r="C38" i="50"/>
  <c r="C88" i="50"/>
  <c r="C163" i="50"/>
  <c r="C113" i="42"/>
  <c r="C188" i="50"/>
  <c r="C163" i="42"/>
  <c r="C138" i="50"/>
  <c r="C188" i="42"/>
  <c r="C138" i="42"/>
  <c r="C13" i="50"/>
  <c r="C63" i="50"/>
</calcChain>
</file>

<file path=xl/sharedStrings.xml><?xml version="1.0" encoding="utf-8"?>
<sst xmlns="http://schemas.openxmlformats.org/spreadsheetml/2006/main" count="3362" uniqueCount="672">
  <si>
    <t>JY00S/N Index</t>
  </si>
  <si>
    <t>JY0001M Index</t>
  </si>
  <si>
    <t>JY0002M Index</t>
  </si>
  <si>
    <t>JY0003M Index</t>
  </si>
  <si>
    <t>JY0006M Index</t>
  </si>
  <si>
    <t>JY0012M Index</t>
  </si>
  <si>
    <t>EUSWEC Curncy</t>
  </si>
  <si>
    <t>Base</t>
  </si>
  <si>
    <t>Foreign</t>
  </si>
  <si>
    <t>Code</t>
  </si>
  <si>
    <t>Bloomberg ticker</t>
  </si>
  <si>
    <t>FX Live</t>
  </si>
  <si>
    <t>USD</t>
  </si>
  <si>
    <t>EUR</t>
  </si>
  <si>
    <t>GBP</t>
  </si>
  <si>
    <t>KRW</t>
  </si>
  <si>
    <t>NOK</t>
  </si>
  <si>
    <t>SEK</t>
  </si>
  <si>
    <t>TWD</t>
  </si>
  <si>
    <t>JPY</t>
  </si>
  <si>
    <t>NZD</t>
  </si>
  <si>
    <t>CAD</t>
  </si>
  <si>
    <t>AUD</t>
  </si>
  <si>
    <t>SAR</t>
  </si>
  <si>
    <t>Dates</t>
  </si>
  <si>
    <t>type</t>
  </si>
  <si>
    <t>USSW10 Index</t>
  </si>
  <si>
    <t>EUSA10 Index</t>
  </si>
  <si>
    <t>BPSW10 Index</t>
  </si>
  <si>
    <t>cash</t>
  </si>
  <si>
    <t>Cash Rates</t>
  </si>
  <si>
    <t>future</t>
  </si>
  <si>
    <t>Future Rates</t>
  </si>
  <si>
    <t>swap</t>
  </si>
  <si>
    <t>Swap Rates</t>
  </si>
  <si>
    <t>Tickers</t>
  </si>
  <si>
    <t>US00o/n Index</t>
  </si>
  <si>
    <t>US0001m Index</t>
  </si>
  <si>
    <t>US0002m Index</t>
  </si>
  <si>
    <t>US0003m Index</t>
  </si>
  <si>
    <t>US0006m Index</t>
  </si>
  <si>
    <t>US0012m Index</t>
  </si>
  <si>
    <t>EDU8 Comdty</t>
  </si>
  <si>
    <t>EDZ8 Comdty</t>
  </si>
  <si>
    <t>EDH9 Comdty</t>
  </si>
  <si>
    <t>EDM9 Comdty</t>
  </si>
  <si>
    <t>EDU9 Comdty</t>
  </si>
  <si>
    <t>EDZ9 Comdty</t>
  </si>
  <si>
    <t>EDH0 Comdty</t>
  </si>
  <si>
    <t>EDM0 Comdty</t>
  </si>
  <si>
    <t>USSW2 Index</t>
  </si>
  <si>
    <t>USSW3 Index</t>
  </si>
  <si>
    <t>USSW4 Index</t>
  </si>
  <si>
    <t>USSW5 Index</t>
  </si>
  <si>
    <t>USSW6 Index</t>
  </si>
  <si>
    <t>USSW7 Index</t>
  </si>
  <si>
    <t>USSW8 Index</t>
  </si>
  <si>
    <t>USSW9 Index</t>
  </si>
  <si>
    <t>USSW11 Index</t>
  </si>
  <si>
    <t>USSW12 Index</t>
  </si>
  <si>
    <t>USSW13 Index</t>
  </si>
  <si>
    <t>USSW14 Index</t>
  </si>
  <si>
    <t>USSW15 Index</t>
  </si>
  <si>
    <t>USSW16 Index</t>
  </si>
  <si>
    <t>USSW17 Index</t>
  </si>
  <si>
    <t>USSW20 Index</t>
  </si>
  <si>
    <t>USSW25 Index</t>
  </si>
  <si>
    <t>USSW30 Index</t>
  </si>
  <si>
    <t>USSW40 Index</t>
  </si>
  <si>
    <t>Current Date</t>
  </si>
  <si>
    <t>Settlement Date</t>
  </si>
  <si>
    <t>Previous Date</t>
  </si>
  <si>
    <t>EUR001m Index</t>
  </si>
  <si>
    <t>EUR002m Index</t>
  </si>
  <si>
    <t>EUR003m Index</t>
  </si>
  <si>
    <t>EUR006m Index</t>
  </si>
  <si>
    <t>EUR012m Index</t>
  </si>
  <si>
    <t>ERU8 Comdty</t>
  </si>
  <si>
    <t>ERZ8 Comdty</t>
  </si>
  <si>
    <t>ERH9 Comdty</t>
  </si>
  <si>
    <t>ERM9 Comdty</t>
  </si>
  <si>
    <t>ERU9 Comdty</t>
  </si>
  <si>
    <t>ERZ9 Comdty</t>
  </si>
  <si>
    <t>ERH0 Comdty</t>
  </si>
  <si>
    <t>ERM0 Comdty</t>
  </si>
  <si>
    <t>EUSA2 Index</t>
  </si>
  <si>
    <t>EUSA3 Index</t>
  </si>
  <si>
    <t>EUSA5 Index</t>
  </si>
  <si>
    <t>EUSA7 Index</t>
  </si>
  <si>
    <t>EUSA4 Index</t>
  </si>
  <si>
    <t>EUSA6 Index</t>
  </si>
  <si>
    <t>EUSA8 Index</t>
  </si>
  <si>
    <t>EUSA9 Index</t>
  </si>
  <si>
    <t>EUSA11 Index</t>
  </si>
  <si>
    <t>EUSA12 Index</t>
  </si>
  <si>
    <t>EUSA13 Index</t>
  </si>
  <si>
    <t>EUSA14 Index</t>
  </si>
  <si>
    <t>EUSA15 Index</t>
  </si>
  <si>
    <t>EUSA16 Index</t>
  </si>
  <si>
    <t>EUSA17 Index</t>
  </si>
  <si>
    <t>EUSA20 Index</t>
  </si>
  <si>
    <t>EUSA25 Index</t>
  </si>
  <si>
    <t>EUSA30 Index</t>
  </si>
  <si>
    <t>EUSA40 Index</t>
  </si>
  <si>
    <t>YEU8 Comdty</t>
  </si>
  <si>
    <t>YEZ8 Comdty</t>
  </si>
  <si>
    <t>YEH9 Comdty</t>
  </si>
  <si>
    <t>YEM9 Comdty</t>
  </si>
  <si>
    <t>YEU9 Comdty</t>
  </si>
  <si>
    <t>YEZ9 Comdty</t>
  </si>
  <si>
    <t>YEH0 Comdty</t>
  </si>
  <si>
    <t>YEM0 Comdty</t>
  </si>
  <si>
    <t>JYSW2 Index</t>
  </si>
  <si>
    <t>JYSW3 Index</t>
  </si>
  <si>
    <t>JYSW4 Index</t>
  </si>
  <si>
    <t>JYSW5 Index</t>
  </si>
  <si>
    <t>JYSW6 Index</t>
  </si>
  <si>
    <t>JYSW7 Index</t>
  </si>
  <si>
    <t>JYSW8 Index</t>
  </si>
  <si>
    <t>JYSW9 Index</t>
  </si>
  <si>
    <t>JYSW10 Index</t>
  </si>
  <si>
    <t>JYSW11 Index</t>
  </si>
  <si>
    <t>JYSW12 Index</t>
  </si>
  <si>
    <t>JYSW13 Index</t>
  </si>
  <si>
    <t>JYSW14 Index</t>
  </si>
  <si>
    <t>JYSW15 Index</t>
  </si>
  <si>
    <t>JYSW16 Index</t>
  </si>
  <si>
    <t>JYSW17 Index</t>
  </si>
  <si>
    <t>JYSW20 Index</t>
  </si>
  <si>
    <t>JYSW25 Index</t>
  </si>
  <si>
    <t>JYSW30 Index</t>
  </si>
  <si>
    <t>JYSW40 Index</t>
  </si>
  <si>
    <t>Special Case for JPY</t>
  </si>
  <si>
    <t>1 Year Adjustment</t>
  </si>
  <si>
    <t>2 Year Adjustment</t>
  </si>
  <si>
    <t>BP00O/N Index</t>
  </si>
  <si>
    <t>BP0001M Index</t>
  </si>
  <si>
    <t>BP0002M Index</t>
  </si>
  <si>
    <t>BP0003M Index</t>
  </si>
  <si>
    <t>BP0006M Index</t>
  </si>
  <si>
    <t>BP0012M Index</t>
  </si>
  <si>
    <t>L U8 Comdty</t>
  </si>
  <si>
    <t>L Z8 Comdty</t>
  </si>
  <si>
    <t>L H9 Comdty</t>
  </si>
  <si>
    <t>L M9 Comdty</t>
  </si>
  <si>
    <t>L U9 Comdty</t>
  </si>
  <si>
    <t>L Z9 Comdty</t>
  </si>
  <si>
    <t>L H0 Comdty</t>
  </si>
  <si>
    <t>L M0 Comdty</t>
  </si>
  <si>
    <t>BPSW2 Index</t>
  </si>
  <si>
    <t>BPSW3 Index</t>
  </si>
  <si>
    <t>BPSW4 Index</t>
  </si>
  <si>
    <t>BPSW5 Index</t>
  </si>
  <si>
    <t>BPSW6 Index</t>
  </si>
  <si>
    <t>BPSW7 Index</t>
  </si>
  <si>
    <t>BPSW8 Index</t>
  </si>
  <si>
    <t>BPSW9 Index</t>
  </si>
  <si>
    <t>BPSW11 Index</t>
  </si>
  <si>
    <t>BPSW12 Index</t>
  </si>
  <si>
    <t>BPSW13 Index</t>
  </si>
  <si>
    <t>BPSW14 Index</t>
  </si>
  <si>
    <t>BPSW15 Index</t>
  </si>
  <si>
    <t>BPSW16 Index</t>
  </si>
  <si>
    <t>BPSW17 Index</t>
  </si>
  <si>
    <t>BPSW20 Index</t>
  </si>
  <si>
    <t>BPSW25 Index</t>
  </si>
  <si>
    <t>BPSW30 Index</t>
  </si>
  <si>
    <t>BPSW40 Index</t>
  </si>
  <si>
    <t>SF00S/N Index</t>
  </si>
  <si>
    <t>SF0001M Index</t>
  </si>
  <si>
    <t>SF0002M Index</t>
  </si>
  <si>
    <t>SF0003M Index</t>
  </si>
  <si>
    <t>SF0006M Index</t>
  </si>
  <si>
    <t>SF0012M Index</t>
  </si>
  <si>
    <t>ESU8 Comdty</t>
  </si>
  <si>
    <t>ESZ8 Comdty</t>
  </si>
  <si>
    <t>ESH9 Comdty</t>
  </si>
  <si>
    <t>ESM9 Comdty</t>
  </si>
  <si>
    <t>ESU9 Comdty</t>
  </si>
  <si>
    <t>ESZ9 Comdty</t>
  </si>
  <si>
    <t>ESH0 Comdty</t>
  </si>
  <si>
    <t>ESM0 Comdty</t>
  </si>
  <si>
    <t>SFSW2 Index</t>
  </si>
  <si>
    <t>SFSW3 Index</t>
  </si>
  <si>
    <t>SFSW4 Index</t>
  </si>
  <si>
    <t>SFSW5 Index</t>
  </si>
  <si>
    <t>SFSW6 Index</t>
  </si>
  <si>
    <t>SFSW7 Index</t>
  </si>
  <si>
    <t>SFSW8 Index</t>
  </si>
  <si>
    <t>SFSW9 Index</t>
  </si>
  <si>
    <t>SFSW10 Index</t>
  </si>
  <si>
    <t>SFSW11 Index</t>
  </si>
  <si>
    <t>SFSW12 Index</t>
  </si>
  <si>
    <t>SFSW13 Index</t>
  </si>
  <si>
    <t>SFSW14 Index</t>
  </si>
  <si>
    <t>SFSW15 Index</t>
  </si>
  <si>
    <t>SFSW20 Index</t>
  </si>
  <si>
    <t>SFSW25 Index</t>
  </si>
  <si>
    <t>SFSW30 Index</t>
  </si>
  <si>
    <t>SFSW40 Index</t>
  </si>
  <si>
    <t>CABROVER Index</t>
  </si>
  <si>
    <t>CDOR01 Index</t>
  </si>
  <si>
    <t>CDOR02 Index</t>
  </si>
  <si>
    <t>CDOR03 Index</t>
  </si>
  <si>
    <t>CDOR06 Index</t>
  </si>
  <si>
    <t>CDOR12 Index</t>
  </si>
  <si>
    <t>BAU8 Comdty</t>
  </si>
  <si>
    <t>BAZ8 Comdty</t>
  </si>
  <si>
    <t>BAH9 Comdty</t>
  </si>
  <si>
    <t>BAM9 Comdty</t>
  </si>
  <si>
    <t>BAU9 Comdty</t>
  </si>
  <si>
    <t>BAZ9 Comdty</t>
  </si>
  <si>
    <t>BAH0 Comdty</t>
  </si>
  <si>
    <t>BAM0 Comdty</t>
  </si>
  <si>
    <t>CDSW2 Index</t>
  </si>
  <si>
    <t>CDSW3 Index</t>
  </si>
  <si>
    <t>CDSW4 Index</t>
  </si>
  <si>
    <t>CDSW5 Index</t>
  </si>
  <si>
    <t>CDSW6 Index</t>
  </si>
  <si>
    <t>CDSW7 Index</t>
  </si>
  <si>
    <t>CDSW8 Index</t>
  </si>
  <si>
    <t>CDSW9 Index</t>
  </si>
  <si>
    <t>CDSW10 Index</t>
  </si>
  <si>
    <t>CDSW12 Index</t>
  </si>
  <si>
    <t>CDSW15 Index</t>
  </si>
  <si>
    <t>CDSW20 Index</t>
  </si>
  <si>
    <t>CDSW25 Index</t>
  </si>
  <si>
    <t>CDSW30 Index</t>
  </si>
  <si>
    <t>CDSW40 Index</t>
  </si>
  <si>
    <t>Currency</t>
  </si>
  <si>
    <t>BRL</t>
  </si>
  <si>
    <t>HASWDI1M Index</t>
  </si>
  <si>
    <t>HASWDI2M Index</t>
  </si>
  <si>
    <t>HASWDI3M Index</t>
  </si>
  <si>
    <t>HASWDI6M Index</t>
  </si>
  <si>
    <t>HASWDI9M Index</t>
  </si>
  <si>
    <t>HASWDI1Y Index</t>
  </si>
  <si>
    <t>HASWDI2Y Index</t>
  </si>
  <si>
    <t>HASWDI3Y Index</t>
  </si>
  <si>
    <t>HASWDI4Y Index</t>
  </si>
  <si>
    <t>HASWDI5Y Index</t>
  </si>
  <si>
    <t>HASWDI6Y Index</t>
  </si>
  <si>
    <t>HASWDI7Y Index</t>
  </si>
  <si>
    <t>HASWDI8Y Index</t>
  </si>
  <si>
    <t>HASWDI9Y Index</t>
  </si>
  <si>
    <t>HASWDI10Y Index</t>
  </si>
  <si>
    <t>NAN</t>
  </si>
  <si>
    <t>CHF</t>
  </si>
  <si>
    <t>B.S. Adjustments</t>
  </si>
  <si>
    <t>EUBS2 Index</t>
  </si>
  <si>
    <t>EUBS3 Index</t>
  </si>
  <si>
    <t>EUBS4 Index</t>
  </si>
  <si>
    <t>EUBS5 Index</t>
  </si>
  <si>
    <t>EUBS6 Index</t>
  </si>
  <si>
    <t>EUBS7 Index</t>
  </si>
  <si>
    <t>EUBS8 Index</t>
  </si>
  <si>
    <t>EUBS9 Index</t>
  </si>
  <si>
    <t>EUBS10 Index</t>
  </si>
  <si>
    <t>EUBS11 Index</t>
  </si>
  <si>
    <t>EUBS12 Index</t>
  </si>
  <si>
    <t>EUBS13 Index</t>
  </si>
  <si>
    <t>EUBS14 Index</t>
  </si>
  <si>
    <t>EUBS15 Index</t>
  </si>
  <si>
    <t>EUBS16 Index</t>
  </si>
  <si>
    <t>EUBS17 Index</t>
  </si>
  <si>
    <t>EUBS20 Index</t>
  </si>
  <si>
    <t>EUBS25 Index</t>
  </si>
  <si>
    <t>EUBS30 Index</t>
  </si>
  <si>
    <t>EUBS40 Index</t>
  </si>
  <si>
    <t>JYBS2 Index</t>
  </si>
  <si>
    <t>JYBS3 Index</t>
  </si>
  <si>
    <t>JYBS4 Index</t>
  </si>
  <si>
    <t>JYBS5 Index</t>
  </si>
  <si>
    <t>JYBS6 Index</t>
  </si>
  <si>
    <t>JYBS7 Index</t>
  </si>
  <si>
    <t>JYBS8 Index</t>
  </si>
  <si>
    <t>JYBS9 Index</t>
  </si>
  <si>
    <t>JYBS10 Index</t>
  </si>
  <si>
    <t>JYBS11 Index</t>
  </si>
  <si>
    <t>JYBS12 Index</t>
  </si>
  <si>
    <t>JYBS13 Index</t>
  </si>
  <si>
    <t>JYBS14 Index</t>
  </si>
  <si>
    <t>JYBS15 Index</t>
  </si>
  <si>
    <t>JYBS16 Index</t>
  </si>
  <si>
    <t>JYBS17 Index</t>
  </si>
  <si>
    <t>JYBS20 Index</t>
  </si>
  <si>
    <t>JYBS25 Index</t>
  </si>
  <si>
    <t>JYBS30 Index</t>
  </si>
  <si>
    <t>JYBS40 Index</t>
  </si>
  <si>
    <t>BPBS3 Index</t>
  </si>
  <si>
    <t>BPBS4 Index</t>
  </si>
  <si>
    <t>BPBS5 Index</t>
  </si>
  <si>
    <t>BPBS6 Index</t>
  </si>
  <si>
    <t>BPBS7 Index</t>
  </si>
  <si>
    <t>BPBS8 Index</t>
  </si>
  <si>
    <t>BPBS9 Index</t>
  </si>
  <si>
    <t>BPBS10 Index</t>
  </si>
  <si>
    <t>BPBS11 Index</t>
  </si>
  <si>
    <t>BPBS12 Index</t>
  </si>
  <si>
    <t>BPBS13 Index</t>
  </si>
  <si>
    <t>BPBS14 Index</t>
  </si>
  <si>
    <t>BPBS15 Index</t>
  </si>
  <si>
    <t>BPBS16 Index</t>
  </si>
  <si>
    <t>BPBS17 Index</t>
  </si>
  <si>
    <t>BPBS20 Index</t>
  </si>
  <si>
    <t>BPBS25 Index</t>
  </si>
  <si>
    <t>BPBS30 Index</t>
  </si>
  <si>
    <t>BPBS40 Index</t>
  </si>
  <si>
    <t>BPBS2 Index</t>
  </si>
  <si>
    <t>SFBS2 Index</t>
  </si>
  <si>
    <t>SFBS3 Index</t>
  </si>
  <si>
    <t>SFBS4 Index</t>
  </si>
  <si>
    <t>SFBS5 Index</t>
  </si>
  <si>
    <t>SFBS6 Index</t>
  </si>
  <si>
    <t>SFBS7 Index</t>
  </si>
  <si>
    <t>SFBS8 Index</t>
  </si>
  <si>
    <t>SFBS9 Index</t>
  </si>
  <si>
    <t>SFBS10 Index</t>
  </si>
  <si>
    <t>SFBS11 Index</t>
  </si>
  <si>
    <t>SFBS12 Index</t>
  </si>
  <si>
    <t>SFBS13 Index</t>
  </si>
  <si>
    <t>SFBS14 Index</t>
  </si>
  <si>
    <t>SFBS15 Index</t>
  </si>
  <si>
    <t>SFBS20 Index</t>
  </si>
  <si>
    <t>SFBS25 Index</t>
  </si>
  <si>
    <t>SFBS30 Index</t>
  </si>
  <si>
    <t>SFBS40 Index</t>
  </si>
  <si>
    <t>CDBS2 Index</t>
  </si>
  <si>
    <t>CDBS3 Index</t>
  </si>
  <si>
    <t>CDBS4 Index</t>
  </si>
  <si>
    <t>CDBS5 Index</t>
  </si>
  <si>
    <t>CDBS6 Index</t>
  </si>
  <si>
    <t>CDBS7 Index</t>
  </si>
  <si>
    <t>CDBS8 Index</t>
  </si>
  <si>
    <t>CDBS9 Index</t>
  </si>
  <si>
    <t>CDBS10 Index</t>
  </si>
  <si>
    <t>CDBS12 Index</t>
  </si>
  <si>
    <t>CDBS15 Index</t>
  </si>
  <si>
    <t>CDBS20 Index</t>
  </si>
  <si>
    <t>CDBS25 Index</t>
  </si>
  <si>
    <t>CDBS30 Index</t>
  </si>
  <si>
    <t>CDBS40 Index</t>
  </si>
  <si>
    <t>BLBS2 Index</t>
  </si>
  <si>
    <t>BLBS3 Index</t>
  </si>
  <si>
    <t>BLBS4 Index</t>
  </si>
  <si>
    <t>BLBS5 Index</t>
  </si>
  <si>
    <t>BLBS6 Index</t>
  </si>
  <si>
    <t>BLBS7 Index</t>
  </si>
  <si>
    <t>BLBS8 Index</t>
  </si>
  <si>
    <t>BLBS9 Index</t>
  </si>
  <si>
    <t>BLBS10 Index</t>
  </si>
  <si>
    <t>BLBS11 Index</t>
  </si>
  <si>
    <t>BLBS12 Index</t>
  </si>
  <si>
    <t>BLBS13 Index</t>
  </si>
  <si>
    <t>BLBS14 Index</t>
  </si>
  <si>
    <t>BLBS15 Index</t>
  </si>
  <si>
    <t>BLBS16 Index</t>
  </si>
  <si>
    <t>BLBS17 Index</t>
  </si>
  <si>
    <t>BLBS20 Index</t>
  </si>
  <si>
    <t>BLBS25 Index</t>
  </si>
  <si>
    <t>BLBS30 Index</t>
  </si>
  <si>
    <t>BLBS40 Index</t>
  </si>
  <si>
    <t>EUBS1 Index</t>
  </si>
  <si>
    <t>JYBS1 Index</t>
  </si>
  <si>
    <t>SFBS1 Index</t>
  </si>
  <si>
    <t>CDBS1 Index</t>
  </si>
  <si>
    <t>BPBS1 curncy</t>
  </si>
  <si>
    <t>BLBS1 Curncy</t>
  </si>
  <si>
    <t>Synthetic BRL curve inputs</t>
  </si>
  <si>
    <t>Delta 5-10 years</t>
  </si>
  <si>
    <t>BCN1W BGN Curncy</t>
  </si>
  <si>
    <t>BCN1M BGN Curncy</t>
  </si>
  <si>
    <t>BCN2M BGN Curncy</t>
  </si>
  <si>
    <t>BCN3M BGN Curncy</t>
  </si>
  <si>
    <t>BCN4M BGN Curncy</t>
  </si>
  <si>
    <t>BCN5M BGN Curncy</t>
  </si>
  <si>
    <t>BCN6M BGN Curncy</t>
  </si>
  <si>
    <t>BCN9M BGN Curncy</t>
  </si>
  <si>
    <t>BCN12M BGN Curncy</t>
  </si>
  <si>
    <t>BCN2Y BGN Curncy</t>
  </si>
  <si>
    <t>BCN3Y BGN Curncy</t>
  </si>
  <si>
    <t>BCN4Y BGN Curncy</t>
  </si>
  <si>
    <t>BCN5Y BGN Curncy</t>
  </si>
  <si>
    <t>BCN6Y BGN Curncy</t>
  </si>
  <si>
    <t>BCN7Y BGN Curncy</t>
  </si>
  <si>
    <t>BCN8Y BGN Curncy</t>
  </si>
  <si>
    <t>BCN9Y BGN Curncy</t>
  </si>
  <si>
    <t>BCN10Y BGN Curncy</t>
  </si>
  <si>
    <t>SEC ID</t>
  </si>
  <si>
    <t>Basis Points</t>
  </si>
  <si>
    <t>EUR1W BGN Curncy</t>
  </si>
  <si>
    <t>EUR1M BGN Curncy</t>
  </si>
  <si>
    <t>EUR2M BGN Curncy</t>
  </si>
  <si>
    <t>EUR3M BGN Curncy</t>
  </si>
  <si>
    <t>EUR4M BGN Curncy</t>
  </si>
  <si>
    <t>EUR5M BGN Curncy</t>
  </si>
  <si>
    <t>EUR6M BGN Curncy</t>
  </si>
  <si>
    <t>EUR9M BGN Curncy</t>
  </si>
  <si>
    <t>EUR12M BGN Curncy</t>
  </si>
  <si>
    <t>EUR2Y BGN Curncy</t>
  </si>
  <si>
    <t>EUR3Y BGN Curncy</t>
  </si>
  <si>
    <t>EUR4Y BGN Curncy</t>
  </si>
  <si>
    <t>EUR5Y BGN Curncy</t>
  </si>
  <si>
    <t>EUR6Y BGN Curncy</t>
  </si>
  <si>
    <t>EUR7Y BGN Curncy</t>
  </si>
  <si>
    <t>EUR8Y BGN Curncy</t>
  </si>
  <si>
    <t>EUR9Y BGN Curncy</t>
  </si>
  <si>
    <t>EUR10Y BGN Curncy</t>
  </si>
  <si>
    <t>GBP1W BGN Curncy</t>
  </si>
  <si>
    <t>GBP1M BGN Curncy</t>
  </si>
  <si>
    <t>GBP2M BGN Curncy</t>
  </si>
  <si>
    <t>GBP3M BGN Curncy</t>
  </si>
  <si>
    <t>GBP4M BGN Curncy</t>
  </si>
  <si>
    <t>GBP5M BGN Curncy</t>
  </si>
  <si>
    <t>GBP6M BGN Curncy</t>
  </si>
  <si>
    <t>GBP9M BGN Curncy</t>
  </si>
  <si>
    <t>GBP12M BGN Curncy</t>
  </si>
  <si>
    <t>GBP2Y BGN Curncy</t>
  </si>
  <si>
    <t>GBP3Y BGN Curncy</t>
  </si>
  <si>
    <t>GBP4Y BGN Curncy</t>
  </si>
  <si>
    <t>GBP5Y BGN Curncy</t>
  </si>
  <si>
    <t>GBP6Y BGN Curncy</t>
  </si>
  <si>
    <t>GBP7Y BGN Curncy</t>
  </si>
  <si>
    <t>GBP8Y BGN Curncy</t>
  </si>
  <si>
    <t>GBP9Y BGN Curncy</t>
  </si>
  <si>
    <t>GBP10Y BGN Curncy</t>
  </si>
  <si>
    <t>Forward Rates Adjustments Basis Points</t>
  </si>
  <si>
    <t>JPY1W BGN Curncy</t>
  </si>
  <si>
    <t>JPY1M BGN Curncy</t>
  </si>
  <si>
    <t>JPY2M BGN Curncy</t>
  </si>
  <si>
    <t>JPY3M BGN Curncy</t>
  </si>
  <si>
    <t>JPY4M BGN Curncy</t>
  </si>
  <si>
    <t>JPY5M BGN Curncy</t>
  </si>
  <si>
    <t>JPY6M BGN Curncy</t>
  </si>
  <si>
    <t>JPY9M BGN Curncy</t>
  </si>
  <si>
    <t>JPY12M BGN Curncy</t>
  </si>
  <si>
    <t>JPY2Y BGN Curncy</t>
  </si>
  <si>
    <t>JPY3Y BGN Curncy</t>
  </si>
  <si>
    <t>JPY4Y BGN Curncy</t>
  </si>
  <si>
    <t>JPY5Y BGN Curncy</t>
  </si>
  <si>
    <t>JPY6Y BGN Curncy</t>
  </si>
  <si>
    <t>JPY7Y BGN Curncy</t>
  </si>
  <si>
    <t>JPY8Y BGN Curncy</t>
  </si>
  <si>
    <t>JPY9Y BGN Curncy</t>
  </si>
  <si>
    <t>JPY10Y BGN Curncy</t>
  </si>
  <si>
    <t>CAD1W BGN Curncy</t>
  </si>
  <si>
    <t>CAD1M BGN Curncy</t>
  </si>
  <si>
    <t>CAD2M BGN Curncy</t>
  </si>
  <si>
    <t>CAD3M BGN Curncy</t>
  </si>
  <si>
    <t>CAD4M BGN Curncy</t>
  </si>
  <si>
    <t>CAD5M BGN Curncy</t>
  </si>
  <si>
    <t>CAD6M BGN Curncy</t>
  </si>
  <si>
    <t>CAD9M BGN Curncy</t>
  </si>
  <si>
    <t>CAD12M BGN Curncy</t>
  </si>
  <si>
    <t>CAD2Y BGN Curncy</t>
  </si>
  <si>
    <t>CAD3Y BGN Curncy</t>
  </si>
  <si>
    <t>CAD4Y BGN Curncy</t>
  </si>
  <si>
    <t>CAD5Y BGN Curncy</t>
  </si>
  <si>
    <t>CAD6Y BGN Curncy</t>
  </si>
  <si>
    <t>CAD7Y BGN Curncy</t>
  </si>
  <si>
    <t>CAD8Y BGN Curncy</t>
  </si>
  <si>
    <t>CAD9Y BGN Curncy</t>
  </si>
  <si>
    <t>CAD10Y BGN Curncy</t>
  </si>
  <si>
    <t>CHF1W BGN Curncy</t>
  </si>
  <si>
    <t>CHF1M BGN Curncy</t>
  </si>
  <si>
    <t>CHF2M BGN Curncy</t>
  </si>
  <si>
    <t>CHF3M BGN Curncy</t>
  </si>
  <si>
    <t>CHF4M BGN Curncy</t>
  </si>
  <si>
    <t>CHF5M BGN Curncy</t>
  </si>
  <si>
    <t>CHF6M BGN Curncy</t>
  </si>
  <si>
    <t>CHF9M BGN Curncy</t>
  </si>
  <si>
    <t>CHF12M BGN Curncy</t>
  </si>
  <si>
    <t>CHF2Y BGN Curncy</t>
  </si>
  <si>
    <t>CHF3Y BGN Curncy</t>
  </si>
  <si>
    <t>CHF4Y BGN Curncy</t>
  </si>
  <si>
    <t>CHF5Y BGN Curncy</t>
  </si>
  <si>
    <t>CHF6Y BGN Curncy</t>
  </si>
  <si>
    <t>CHF7Y BGN Curncy</t>
  </si>
  <si>
    <t>CHF8Y BGN Curncy</t>
  </si>
  <si>
    <t>CHF9Y BGN Curncy</t>
  </si>
  <si>
    <t>CHF10Y BGN Curncy</t>
  </si>
  <si>
    <t>Implied Rates</t>
  </si>
  <si>
    <t>Update Daily</t>
  </si>
  <si>
    <t>Swap</t>
  </si>
  <si>
    <t>name</t>
  </si>
  <si>
    <t>leg1_currency</t>
  </si>
  <si>
    <t>leg2_currency</t>
  </si>
  <si>
    <t>leg1_cpn_detail</t>
  </si>
  <si>
    <t>leg2_cpn_detail</t>
  </si>
  <si>
    <t>leg1_pay_convention</t>
  </si>
  <si>
    <t>leg2_pay_convention</t>
  </si>
  <si>
    <t>day_convention</t>
  </si>
  <si>
    <t>Schedule</t>
  </si>
  <si>
    <t>Notional</t>
  </si>
  <si>
    <t>[1000,Fix,1,0,-100,100]</t>
  </si>
  <si>
    <r>
      <rPr>
        <sz val="20"/>
        <color theme="1"/>
        <rFont val="Calibri"/>
        <family val="2"/>
        <scheme val="minor"/>
      </rPr>
      <t xml:space="preserve">ADVOCATE </t>
    </r>
    <r>
      <rPr>
        <sz val="11"/>
        <color theme="1"/>
        <rFont val="Calibri"/>
        <family val="2"/>
        <scheme val="minor"/>
      </rPr>
      <t>CAPITAL MANAGEMENT, LLC</t>
    </r>
  </si>
  <si>
    <t xml:space="preserve">SWAP Pricing Engine   </t>
  </si>
  <si>
    <t>Value Date</t>
  </si>
  <si>
    <t>General Settings</t>
  </si>
  <si>
    <t>Money Market Date</t>
  </si>
  <si>
    <t>Future Market Date</t>
  </si>
  <si>
    <t>Swap Market Date</t>
  </si>
  <si>
    <t>Pricing Results</t>
  </si>
  <si>
    <t>Position Name</t>
  </si>
  <si>
    <t>Type</t>
  </si>
  <si>
    <t>Leg1 CPN</t>
  </si>
  <si>
    <t>Leg2 CPN</t>
  </si>
  <si>
    <t>Par Swap rate</t>
  </si>
  <si>
    <t>Fix:1.0</t>
  </si>
  <si>
    <t>BBG Source (Live/Historical)</t>
  </si>
  <si>
    <t>COP</t>
  </si>
  <si>
    <t>CORRRMIN Index</t>
  </si>
  <si>
    <t>CLSWIB2 Index</t>
  </si>
  <si>
    <t>CLSWIB3 Index</t>
  </si>
  <si>
    <t>CLSWIB4 Index</t>
  </si>
  <si>
    <t>CLSWIB5 Index</t>
  </si>
  <si>
    <t>CLSWIB6 Index</t>
  </si>
  <si>
    <t>CLSWIB7 Index</t>
  </si>
  <si>
    <t>CLSWIB8 Index</t>
  </si>
  <si>
    <t>CLSWIB9 Index</t>
  </si>
  <si>
    <t>CLSWIB10 Index</t>
  </si>
  <si>
    <t>CLSWIB11 Index</t>
  </si>
  <si>
    <t>CLSWIB12 Index</t>
  </si>
  <si>
    <t>CLSWIB13 Index</t>
  </si>
  <si>
    <t>CLSWIB14 Index</t>
  </si>
  <si>
    <t>CLSWIB15 Index</t>
  </si>
  <si>
    <t>CLSWIB16 Index</t>
  </si>
  <si>
    <t>CLSWIB17 Index</t>
  </si>
  <si>
    <t>CLSWIB20 Index</t>
  </si>
  <si>
    <t>LIBOR:3M</t>
  </si>
  <si>
    <t>USD:USD</t>
  </si>
  <si>
    <t>CLSWIBA Index</t>
  </si>
  <si>
    <t>CLSWIBC Index</t>
  </si>
  <si>
    <t>CLSWIBI Index</t>
  </si>
  <si>
    <t>CLSWIB1 Index</t>
  </si>
  <si>
    <t>CLSWIB1F Index</t>
  </si>
  <si>
    <t>[1000,3M]</t>
  </si>
  <si>
    <t>[1000,LIBOR,3M,0,-100,100]</t>
  </si>
  <si>
    <t>[ACT/360,ACT/360]</t>
  </si>
  <si>
    <t>PV01</t>
  </si>
  <si>
    <t>EUR Value</t>
  </si>
  <si>
    <t>LCL Value</t>
  </si>
  <si>
    <t>[ACT/360,30/360]</t>
  </si>
  <si>
    <t>Version One Forward</t>
  </si>
  <si>
    <t>Version Two Forward</t>
  </si>
  <si>
    <t>Spark Zero Actual</t>
  </si>
  <si>
    <t>Spark Zero 1B Actual</t>
  </si>
  <si>
    <t>Spark One Actual</t>
  </si>
  <si>
    <t>Spark Two Actual</t>
  </si>
  <si>
    <t>Test 1Y Forward</t>
  </si>
  <si>
    <t>Test 2Y Forward</t>
  </si>
  <si>
    <t xml:space="preserve">Discount Factors Generation   </t>
  </si>
  <si>
    <t>Discount Factors</t>
  </si>
  <si>
    <t>Date</t>
  </si>
  <si>
    <t>USD LIBOR</t>
  </si>
  <si>
    <t>USD FX</t>
  </si>
  <si>
    <t>EUR LIBOR</t>
  </si>
  <si>
    <t>EUR FX</t>
  </si>
  <si>
    <t>BRL LIBOR</t>
  </si>
  <si>
    <t>BRL FX</t>
  </si>
  <si>
    <t>General Settings(DO NOT CHANGE)</t>
  </si>
  <si>
    <t>COP LIBOR</t>
  </si>
  <si>
    <t>COP FX</t>
  </si>
  <si>
    <t>JPY LIBOR</t>
  </si>
  <si>
    <t>JPY FX</t>
  </si>
  <si>
    <t>GBP LIBOR</t>
  </si>
  <si>
    <t>GBP FX</t>
  </si>
  <si>
    <t>CHF LIBOR</t>
  </si>
  <si>
    <t>CHF FX</t>
  </si>
  <si>
    <t>CAD LIBOR</t>
  </si>
  <si>
    <t>CAD FX</t>
  </si>
  <si>
    <t>Spark 1B</t>
  </si>
  <si>
    <t>Spark 1</t>
  </si>
  <si>
    <t>Spark TwoB</t>
  </si>
  <si>
    <t>Spark TwoA</t>
  </si>
  <si>
    <t>H</t>
  </si>
  <si>
    <t>COP_USD_Swap</t>
  </si>
  <si>
    <t>COP_COP_Swap</t>
  </si>
  <si>
    <t>COP:COP</t>
  </si>
  <si>
    <t>[1000,LIBOR,3M,0.045,-100,100]</t>
  </si>
  <si>
    <t>[1000,LIBOR,3M,0.053,-100,100]</t>
  </si>
  <si>
    <t>Solárny park Bánovce nad Ondavou s.r.o.</t>
  </si>
  <si>
    <t>[1000,Fix,0.0235,0,-100,100]</t>
  </si>
  <si>
    <t>CG Bonaire BV</t>
  </si>
  <si>
    <t>CG Hydro Cascade CJCS</t>
  </si>
  <si>
    <t>Solárny park Bory s.r.o.</t>
  </si>
  <si>
    <t>Solárny park Budulov s.r.o.</t>
  </si>
  <si>
    <t>Solárny park Kalinovo s.r.o.</t>
  </si>
  <si>
    <t>Solárny park Michalovce s.r.o.</t>
  </si>
  <si>
    <t>Solárny park Paňovce s.r.o.</t>
  </si>
  <si>
    <t>Solárny park Gomboš s.r.o.</t>
  </si>
  <si>
    <t>Solárny park Rimavská Sobota s.r.o.</t>
  </si>
  <si>
    <t>ZetaPark s.r.o.</t>
  </si>
  <si>
    <t>Solárny park Zemplínsky Branč s.r.o.</t>
  </si>
  <si>
    <t>Solárny park Hodejov s.r.o.</t>
  </si>
  <si>
    <t>Solárny park Jesenské s.r.o.</t>
  </si>
  <si>
    <t>AlfaPark s.r.o.</t>
  </si>
  <si>
    <t>Druhá slnečná s.r.o.</t>
  </si>
  <si>
    <t>SL03 s.r.o.</t>
  </si>
  <si>
    <t>CG Luxembourg Sarl</t>
  </si>
  <si>
    <t>CG Saint Martin SAS</t>
  </si>
  <si>
    <t>Energies Saint-Martin</t>
  </si>
  <si>
    <t>Portoenergy SRL</t>
  </si>
  <si>
    <t>CG Helios SRL</t>
  </si>
  <si>
    <t>CG Martisa</t>
  </si>
  <si>
    <t>CG Sarda 3 SRL</t>
  </si>
  <si>
    <t>CG Sarda SRL</t>
  </si>
  <si>
    <t>PVP 2 SRL</t>
  </si>
  <si>
    <t>PVP 3 SRL</t>
  </si>
  <si>
    <t>Officine Solari Barone SRL</t>
  </si>
  <si>
    <t>Officine Solari Camporeale SRL</t>
  </si>
  <si>
    <t>Officine Solari Kaggio SRL</t>
  </si>
  <si>
    <t>ContourGlobal Energetica SRL_1</t>
  </si>
  <si>
    <t>ContourGlobal Energetica SRL_2</t>
  </si>
  <si>
    <t>Ergyca One Srl_1</t>
  </si>
  <si>
    <t>Ergyca One Srl_2</t>
  </si>
  <si>
    <t>Ergyca One Srl_3</t>
  </si>
  <si>
    <t>Ergyca One Srl_4</t>
  </si>
  <si>
    <t>Ergyca One Srl_5</t>
  </si>
  <si>
    <t>Brescia Energia New Srl</t>
  </si>
  <si>
    <t>Sungea Srl</t>
  </si>
  <si>
    <t>Campoverde Societa Agricola Srl</t>
  </si>
  <si>
    <t>Ecoenergia Srl</t>
  </si>
  <si>
    <t>Solar 5 Srl</t>
  </si>
  <si>
    <t>Solar 6 Srl</t>
  </si>
  <si>
    <t>CG Alvarado SLU_1</t>
  </si>
  <si>
    <t>CG Alvarado SLU_2</t>
  </si>
  <si>
    <t>CG Alvarado SLU_3</t>
  </si>
  <si>
    <t>CG Alvarado SLU_4</t>
  </si>
  <si>
    <t>CG Alvarado SLU_5</t>
  </si>
  <si>
    <t>[1000,LIBOR,6M,0,0.0125,1000]</t>
  </si>
  <si>
    <t>[1000,LIBOR,6M,0,-100,100]</t>
  </si>
  <si>
    <t>[1000,Fix,0.03807,0,-100,100]</t>
  </si>
  <si>
    <t>[1000,Fix,0.03166,0,-100,100]</t>
  </si>
  <si>
    <t>[1000,Fix,0.0333,0,-100,100]</t>
  </si>
  <si>
    <t>[1000,Fix,0.03095,0,-100,100]</t>
  </si>
  <si>
    <t>[1000,Fix,0.0356,0,-100,100]</t>
  </si>
  <si>
    <t>[1000,Fix,0.04068,0,-100,100]</t>
  </si>
  <si>
    <t>[1000,Fix,0.0081,0,-100,100]</t>
  </si>
  <si>
    <t>[1000,Fix,0.0107,0,-100,100]</t>
  </si>
  <si>
    <t>[1000,Fix,0.009815,0,-100,100]</t>
  </si>
  <si>
    <t>[1000,Fix,0.00653,0,-100,100]</t>
  </si>
  <si>
    <t>[1000,Fix,0.035,0,-100,100]</t>
  </si>
  <si>
    <t>[1000,Fix,0.0337,0,-100,100]</t>
  </si>
  <si>
    <t>[1000,Fix,0.01485,0,-100,100]</t>
  </si>
  <si>
    <t>[1000,Fix,0.0073,0,-100,100]</t>
  </si>
  <si>
    <t>[1000,Fix,0.0059,0,-100,100]</t>
  </si>
  <si>
    <t>[1000,Fix,0.00795,0,-100,100]</t>
  </si>
  <si>
    <t>[1000,Fix,0.0273,0,-100,100]</t>
  </si>
  <si>
    <t>[1000,Fix,0.05074,0,-100,100]</t>
  </si>
  <si>
    <t>[1000,6M]</t>
  </si>
  <si>
    <t>LIBOR:6M</t>
  </si>
  <si>
    <t>Fix:0.03807</t>
  </si>
  <si>
    <t>Fix:0.03166</t>
  </si>
  <si>
    <t>EUR:EUR</t>
  </si>
  <si>
    <t>Fix:0.0235</t>
  </si>
  <si>
    <t>Fix:0.0333</t>
  </si>
  <si>
    <t>Fix:0.03095</t>
  </si>
  <si>
    <t>Fix:0.0356</t>
  </si>
  <si>
    <t>Fix:0.04068</t>
  </si>
  <si>
    <t>Fix:0.0081</t>
  </si>
  <si>
    <t>Fix:0.0107</t>
  </si>
  <si>
    <t>Fix:0.009815</t>
  </si>
  <si>
    <t>Fix:0.00653</t>
  </si>
  <si>
    <t>Fix:0.035</t>
  </si>
  <si>
    <t>Fix:0.0337</t>
  </si>
  <si>
    <t>Fix:0.01485</t>
  </si>
  <si>
    <t>Fix:0.0073</t>
  </si>
  <si>
    <t>Fix:0.0059</t>
  </si>
  <si>
    <t>Fix:0.00795</t>
  </si>
  <si>
    <t>Fix:0.0273</t>
  </si>
  <si>
    <t>Fix:0.05074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</si>
</sst>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(* #,##0.00_);_(* \(#,##0.00\);_(* &quot;-&quot;??_);_(@_)"/>
    <numFmt numFmtId="164" formatCode="yyyy\-mm\-dd;@"/>
    <numFmt numFmtId="165" formatCode="_(* #,##0_);_(* \(#,##0\);_(* &quot;-&quot;??_);_(@_)"/>
    <numFmt numFmtId="166" formatCode="_(* #,##0.0000_);_(* \(#,##0.0000\);_(* &quot;-&quot;??_);_(@_)"/>
    <numFmt numFmtId="167" formatCode="m/d/yy;@"/>
    <numFmt numFmtId="168" formatCode="mm/dd/yy;@"/>
    <numFmt numFmtId="169" formatCode="_ * #,##0_ ;_ * \-#,##0_ ;_ * &quot;-&quot;??_ ;_ @_ "/>
    <numFmt numFmtId="170" formatCode="0.0000%"/>
    <numFmt numFmtId="171" formatCode="0.0000"/>
    <numFmt numFmtId="172" formatCode="0.000%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002060"/>
      <name val="Arial"/>
      <family val="2"/>
    </font>
    <font>
      <sz val="20"/>
      <color theme="1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FF0000"/>
      <name val="Calibri"/>
      <family val="2"/>
    </font>
    <font>
      <b/>
      <sz val="14"/>
      <color rgb="FF339966"/>
      <name val="Calibri"/>
      <family val="2"/>
    </font>
    <font>
      <b/>
      <sz val="2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6">
    <xf numFmtId="0" fontId="0" fillId="0" borderId="0" xfId="0"/>
    <xf numFmtId="167" fontId="0" fillId="0" borderId="0" xfId="0" applyNumberFormat="1"/>
    <xf numFmtId="14" fontId="0" fillId="0" borderId="0" xfId="0" applyNumberFormat="1"/>
    <xf numFmtId="0" fontId="0" fillId="0" borderId="0" xfId="0"/>
    <xf numFmtId="164" fontId="0" fillId="0" borderId="0" xfId="0" applyNumberFormat="1"/>
    <xf numFmtId="0" fontId="0" fillId="3" borderId="0" xfId="0" applyFill="1" applyAlignment="1">
      <alignment vertic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5" fillId="6" borderId="0" xfId="0" applyFont="1" applyFill="1"/>
    <xf numFmtId="0" fontId="0" fillId="6" borderId="0" xfId="0" applyFill="1"/>
    <xf numFmtId="168" fontId="0" fillId="2" borderId="0" xfId="0" applyNumberFormat="1" applyFill="1"/>
    <xf numFmtId="167" fontId="0" fillId="2" borderId="0" xfId="0" applyNumberFormat="1" applyFill="1"/>
    <xf numFmtId="0" fontId="0" fillId="2" borderId="0" xfId="0" applyFill="1"/>
    <xf numFmtId="0" fontId="2" fillId="0" borderId="0" xfId="0" applyFont="1" applyAlignment="1">
      <alignment horizontal="center" vertical="center"/>
    </xf>
    <xf numFmtId="165" fontId="2" fillId="0" borderId="0" xfId="2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6" fontId="4" fillId="0" borderId="0" xfId="2" applyNumberFormat="1" applyFont="1" applyAlignment="1">
      <alignment horizontal="center" vertical="center"/>
    </xf>
    <xf numFmtId="0" fontId="0" fillId="8" borderId="0" xfId="0" applyFill="1"/>
    <xf numFmtId="0" fontId="3" fillId="2" borderId="0" xfId="0" applyFont="1" applyFill="1"/>
    <xf numFmtId="0" fontId="7" fillId="0" borderId="0" xfId="0" applyFont="1"/>
    <xf numFmtId="0" fontId="8" fillId="0" borderId="0" xfId="0" applyFont="1"/>
    <xf numFmtId="169" fontId="0" fillId="0" borderId="0" xfId="2" applyNumberFormat="1" applyFont="1"/>
    <xf numFmtId="0" fontId="0" fillId="10" borderId="0" xfId="0" applyFill="1"/>
    <xf numFmtId="14" fontId="0" fillId="10" borderId="0" xfId="0" applyNumberFormat="1" applyFill="1"/>
    <xf numFmtId="169" fontId="0" fillId="0" borderId="0" xfId="2" applyNumberFormat="1" applyFont="1" applyFill="1"/>
    <xf numFmtId="169" fontId="0" fillId="10" borderId="0" xfId="2" applyNumberFormat="1" applyFont="1" applyFill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0" fontId="6" fillId="11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70" fontId="0" fillId="0" borderId="0" xfId="3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37" fontId="0" fillId="0" borderId="0" xfId="2" applyNumberFormat="1" applyFont="1" applyAlignment="1">
      <alignment horizontal="center" vertical="center"/>
    </xf>
    <xf numFmtId="37" fontId="0" fillId="0" borderId="0" xfId="2" applyNumberFormat="1" applyFont="1" applyAlignment="1">
      <alignment horizontal="center"/>
    </xf>
    <xf numFmtId="169" fontId="0" fillId="0" borderId="0" xfId="0" applyNumberFormat="1"/>
    <xf numFmtId="164" fontId="0" fillId="0" borderId="0" xfId="0" applyNumberFormat="1" applyAlignment="1">
      <alignment horizontal="center" vertical="center"/>
    </xf>
    <xf numFmtId="0" fontId="11" fillId="0" borderId="0" xfId="0" applyFont="1" applyAlignment="1"/>
    <xf numFmtId="0" fontId="9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14" fontId="0" fillId="2" borderId="0" xfId="0" applyNumberFormat="1" applyFill="1"/>
    <xf numFmtId="0" fontId="0" fillId="0" borderId="0" xfId="0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0" fontId="0" fillId="0" borderId="0" xfId="3" applyNumberFormat="1" applyFont="1" applyFill="1" applyAlignment="1">
      <alignment horizontal="center" vertical="center"/>
    </xf>
    <xf numFmtId="37" fontId="0" fillId="0" borderId="0" xfId="2" applyNumberFormat="1" applyFont="1" applyFill="1" applyAlignment="1">
      <alignment horizontal="center" vertical="center"/>
    </xf>
    <xf numFmtId="0" fontId="0" fillId="0" borderId="0" xfId="0" applyFill="1"/>
    <xf numFmtId="0" fontId="19" fillId="11" borderId="0" xfId="0" applyFont="1" applyFill="1" applyAlignment="1">
      <alignment horizontal="center" vertical="center"/>
    </xf>
    <xf numFmtId="14" fontId="20" fillId="0" borderId="0" xfId="0" applyNumberFormat="1" applyFont="1"/>
    <xf numFmtId="171" fontId="20" fillId="0" borderId="0" xfId="0" applyNumberFormat="1" applyFont="1" applyAlignment="1">
      <alignment horizontal="center"/>
    </xf>
    <xf numFmtId="14" fontId="21" fillId="2" borderId="0" xfId="0" applyNumberFormat="1" applyFont="1" applyFill="1" applyAlignment="1">
      <alignment horizontal="center"/>
    </xf>
    <xf numFmtId="14" fontId="0" fillId="0" borderId="0" xfId="0" applyNumberFormat="1" applyFill="1"/>
    <xf numFmtId="165" fontId="0" fillId="0" borderId="0" xfId="2" applyNumberFormat="1" applyFont="1"/>
    <xf numFmtId="172" fontId="0" fillId="0" borderId="0" xfId="0" applyNumberFormat="1"/>
    <xf numFmtId="0" fontId="18" fillId="12" borderId="0" xfId="0" applyFont="1" applyFill="1" applyAlignment="1">
      <alignment horizontal="center" vertical="center" wrapText="1"/>
    </xf>
    <xf numFmtId="0" fontId="14" fillId="12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9" fillId="10" borderId="0" xfId="0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21" fillId="2" borderId="0" xfId="0" applyFont="1" applyFill="1" applyAlignment="1">
      <alignment horizontal="center"/>
    </xf>
    <xf numFmtId="0" fontId="19" fillId="11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6" fillId="9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 2" xfId="1" xr:uid="{00000000-0005-0000-0000-000002000000}"/>
    <cellStyle name="Percent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>JYSW15 Index</stp>
        <stp>PX_LAST</stp>
        <stp>[Live Pricing.xlsm]FX_Curve_Live!R69C6</stp>
        <tr r="F69" s="42"/>
      </tp>
      <tp t="e">
        <v>#N/A</v>
        <stp/>
        <stp>##V3_BDPV12</stp>
        <stp>BPSW12 Index</stp>
        <stp>PX_LAST</stp>
        <stp>[Live Pricing.xlsm]FX_Curve_Live!R91C6</stp>
        <tr r="F91" s="42"/>
      </tp>
      <tp t="e">
        <v>#N/A</v>
        <stp/>
        <stp>##V3_BDPV12</stp>
        <stp>EUSA17 Index</stp>
        <stp>PX_LAST</stp>
        <stp>[Live Pricing.xlsm]FX_Curve_Live!R46C6</stp>
        <tr r="F46" s="42"/>
      </tp>
      <tp t="e">
        <v>#N/A</v>
        <stp/>
        <stp>##V3_BDHV12</stp>
        <stp>HASWDI10Y Index</stp>
        <stp>PX_LAST</stp>
        <stp>12/31/2018</stp>
        <stp>12/31/2018</stp>
        <stp>[Live Pricing.xlsm]FX_Curve_History!R167C9</stp>
        <tr r="I167" s="50"/>
      </tp>
      <tp t="e">
        <v>#N/A</v>
        <stp/>
        <stp>##V3_BDHV12</stp>
        <stp>SFSW20 Index</stp>
        <stp>PX_LAST</stp>
        <stp>12/31/2018</stp>
        <stp>12/31/2018</stp>
        <stp>[Live Pricing.xlsm]FX_Curve_History!R120C6</stp>
        <tr r="F120" s="50"/>
      </tp>
      <tp t="e">
        <v>#N/A</v>
        <stp/>
        <stp>##V3_BDHV12</stp>
        <stp>CDSW12 Index</stp>
        <stp>PX_LAST</stp>
        <stp>12/31/2018</stp>
        <stp>12/31/2018</stp>
        <stp>[Live Pricing.xlsm]FX_Curve_History!R140C6</stp>
        <tr r="F140" s="50"/>
      </tp>
      <tp t="e">
        <v>#N/A</v>
        <stp/>
        <stp>##V3_BDHV12</stp>
        <stp>BPSW40 Index</stp>
        <stp>PX_LAST</stp>
        <stp>12/31/2018</stp>
        <stp>12/31/2018</stp>
        <stp>[Live Pricing.xlsm]FX_Curve_History!R100C6</stp>
        <tr r="F100" s="50"/>
      </tp>
      <tp t="e">
        <v>#N/A</v>
        <stp/>
        <stp>##V3_BDPV12</stp>
        <stp>JYBS6 Index</stp>
        <stp>PX_LAST</stp>
        <stp>[Live Pricing.xlsm]FX_Curve_Live!R60C13</stp>
        <tr r="M60" s="42"/>
      </tp>
      <tp t="e">
        <v>#N/A</v>
        <stp/>
        <stp>##V3_BDPV12</stp>
        <stp>EUBS9 Index</stp>
        <stp>PX_LAST</stp>
        <stp>[Live Pricing.xlsm]FX_Curve_Live!R38C13</stp>
        <tr r="M38" s="42"/>
      </tp>
      <tp t="e">
        <v>#N/A</v>
        <stp/>
        <stp>##V3_BDPV12</stp>
        <stp>SFBS7 Index</stp>
        <stp>PX_LAST</stp>
        <stp>[Live Pricing.xlsm]FX_Curve_History!R111C13</stp>
        <tr r="M111" s="50"/>
      </tp>
      <tp t="e">
        <v>#N/A</v>
        <stp/>
        <stp>##V3_BDHV12</stp>
        <stp>CLSWIB2 Index</stp>
        <stp>PX_LAST</stp>
        <stp>12/31/2018</stp>
        <stp>12/31/2018</stp>
        <stp>[Live Pricing.xlsm]FX_Curve_History!R181C6</stp>
        <tr r="F181" s="50"/>
      </tp>
      <tp t="e">
        <v>#N/A</v>
        <stp/>
        <stp>##V3_BDPV12</stp>
        <stp>EUSA4 Index</stp>
        <stp>PX_LAST</stp>
        <stp>[Live Pricing.xlsm]Rate_Live!R33C6</stp>
        <tr r="F33" s="39"/>
      </tp>
      <tp t="e">
        <v>#N/A</v>
        <stp/>
        <stp>##V3_BDHV12</stp>
        <stp>USSW3 Index</stp>
        <stp>PX_LAST</stp>
        <stp>12/31/2018</stp>
        <stp>12/31/2018</stp>
        <stp>[Live Pricing.xlsm]FX_Curve_History!R7C6</stp>
        <tr r="F7" s="50"/>
      </tp>
      <tp t="e">
        <v>#N/A</v>
        <stp/>
        <stp>##V3_BDPV12</stp>
        <stp>US0012m Index</stp>
        <stp>PX_LAST</stp>
        <stp>[Live Pricing.xlsm]FX_Curve_Live!R11C2</stp>
        <tr r="B11" s="42"/>
      </tp>
      <tp t="e">
        <v>#N/A</v>
        <stp/>
        <stp>##V3_BDPV12</stp>
        <stp>CDBS12 Index</stp>
        <stp>PX_LAST</stp>
        <stp>[Live Pricing.xlsm]FX_Curve_History!R140C13</stp>
        <tr r="M140" s="50"/>
      </tp>
      <tp t="e">
        <v>#N/A</v>
        <stp/>
        <stp>##V3_BDPV12</stp>
        <stp>SFBS30 Index</stp>
        <stp>PX_LAST</stp>
        <stp>[Live Pricing.xlsm]FX_Curve_History!R122C13</stp>
        <tr r="M122" s="50"/>
      </tp>
      <tp t="e">
        <v>#N/A</v>
        <stp/>
        <stp>##V3_BDPV12</stp>
        <stp>SFBS20 Index</stp>
        <stp>PX_LAST</stp>
        <stp>[Live Pricing.xlsm]FX_Curve_History!R120C13</stp>
        <tr r="M120" s="50"/>
      </tp>
      <tp t="e">
        <v>#N/A</v>
        <stp/>
        <stp>##V3_BDPV12</stp>
        <stp>SFBS10 Index</stp>
        <stp>PX_LAST</stp>
        <stp>[Live Pricing.xlsm]FX_Curve_History!R114C13</stp>
        <tr r="M114" s="50"/>
      </tp>
      <tp t="e">
        <v>#N/A</v>
        <stp/>
        <stp>##V3_BDPV12</stp>
        <stp>JYSW14 Index</stp>
        <stp>PX_LAST</stp>
        <stp>[Live Pricing.xlsm]FX_Curve_Live!R68C6</stp>
        <tr r="F68" s="42"/>
      </tp>
      <tp t="e">
        <v>#N/A</v>
        <stp/>
        <stp>##V3_BDPV12</stp>
        <stp>EUR012m Index</stp>
        <stp>PX_LAST</stp>
        <stp>[Live Pricing.xlsm]FX_Curve_Live!R36C2</stp>
        <tr r="B36" s="42"/>
      </tp>
      <tp t="e">
        <v>#N/A</v>
        <stp/>
        <stp>##V3_BDPV12</stp>
        <stp>BPSW11 Index</stp>
        <stp>PX_LAST</stp>
        <stp>[Live Pricing.xlsm]FX_Curve_Live!R90C6</stp>
        <tr r="F90" s="42"/>
      </tp>
      <tp t="e">
        <v>#N/A</v>
        <stp/>
        <stp>##V3_BDHV12</stp>
        <stp>HASWDI10Y Index</stp>
        <stp>PX_LAST</stp>
        <stp>12/31/2018</stp>
        <stp>12/31/2018</stp>
        <stp>[Live Pricing.xlsm]FX_Curve_History!R166C9</stp>
        <tr r="I166" s="50"/>
      </tp>
      <tp t="e">
        <v>#N/A</v>
        <stp/>
        <stp>##V3_BDHV12</stp>
        <stp>SFSW25 Index</stp>
        <stp>PX_LAST</stp>
        <stp>12/31/2018</stp>
        <stp>12/31/2018</stp>
        <stp>[Live Pricing.xlsm]FX_Curve_History!R121C6</stp>
        <tr r="F121" s="50"/>
      </tp>
      <tp t="e">
        <v>#N/A</v>
        <stp/>
        <stp>##V3_BDHV12</stp>
        <stp>CDSW15 Index</stp>
        <stp>PX_LAST</stp>
        <stp>12/31/2018</stp>
        <stp>12/31/2018</stp>
        <stp>[Live Pricing.xlsm]FX_Curve_History!R141C6</stp>
        <tr r="F141" s="50"/>
      </tp>
      <tp t="e">
        <v>#N/A</v>
        <stp/>
        <stp>##V3_BDPV12</stp>
        <stp>JYBS7 Index</stp>
        <stp>PX_LAST</stp>
        <stp>[Live Pricing.xlsm]FX_Curve_Live!R61C13</stp>
        <tr r="M61" s="42"/>
      </tp>
      <tp t="e">
        <v>#N/A</v>
        <stp/>
        <stp>##V3_BDPV12</stp>
        <stp>EUBS8 Index</stp>
        <stp>PX_LAST</stp>
        <stp>[Live Pricing.xlsm]FX_Curve_Live!R37C13</stp>
        <tr r="M37" s="42"/>
      </tp>
      <tp t="e">
        <v>#N/A</v>
        <stp/>
        <stp>##V3_BDPV12</stp>
        <stp>SFBS6 Index</stp>
        <stp>PX_LAST</stp>
        <stp>[Live Pricing.xlsm]FX_Curve_History!R110C13</stp>
        <tr r="M110" s="50"/>
      </tp>
      <tp t="e">
        <v>#N/A</v>
        <stp/>
        <stp>##V3_BDPV12</stp>
        <stp>EUSA3 Index</stp>
        <stp>PX_LAST</stp>
        <stp>[Live Pricing.xlsm]Rate_Live!R32C6</stp>
        <tr r="F32" s="39"/>
      </tp>
      <tp t="e">
        <v>#N/A</v>
        <stp/>
        <stp>##V3_BDPV12</stp>
        <stp>BP0002M Index</stp>
        <stp>PX_LAST</stp>
        <stp>[Live Pricing.xlsm]FX_Curve_Live!R83C2</stp>
        <tr r="B83" s="42"/>
      </tp>
      <tp t="e">
        <v>#N/A</v>
        <stp/>
        <stp>##V3_BDHV12</stp>
        <stp>USSW2 Index</stp>
        <stp>PX_LAST</stp>
        <stp>12/31/2018</stp>
        <stp>12/31/2018</stp>
        <stp>[Live Pricing.xlsm]FX_Curve_History!R6C6</stp>
        <tr r="F6" s="50"/>
      </tp>
      <tp t="e">
        <v>#N/A</v>
        <stp/>
        <stp>##V3_BDPV12</stp>
        <stp>BPSW14 Index</stp>
        <stp>PX_LAST</stp>
        <stp>[Live Pricing.xlsm]FX_Curve_Live!R93C6</stp>
        <tr r="F93" s="42"/>
      </tp>
      <tp t="e">
        <v>#N/A</v>
        <stp/>
        <stp>##V3_BDPV12</stp>
        <stp>EUSA20 Index</stp>
        <stp>PX_LAST</stp>
        <stp>[Live Pricing.xlsm]FX_Curve_Live!R47C6</stp>
        <tr r="F47" s="42"/>
      </tp>
      <tp t="e">
        <v>#N/A</v>
        <stp/>
        <stp>##V3_BDPV12</stp>
        <stp>EUR003m Index</stp>
        <stp>PX_LAST</stp>
        <stp>[Live Pricing.xlsm]FX_Curve_Live!R34C2</stp>
        <tr r="B34" s="42"/>
      </tp>
      <tp t="e">
        <v>#N/A</v>
        <stp/>
        <stp>##V3_BDPV12</stp>
        <stp>EUSA15 Index</stp>
        <stp>PX_LAST</stp>
        <stp>[Live Pricing.xlsm]FX_Curve_Live!R44C6</stp>
        <tr r="F44" s="42"/>
      </tp>
      <tp t="e">
        <v>#N/A</v>
        <stp/>
        <stp>##V3_BDHV12</stp>
        <stp>HASWDI10Y Index</stp>
        <stp>PX_LAST</stp>
        <stp>12/31/2018</stp>
        <stp>12/31/2018</stp>
        <stp>[Live Pricing.xlsm]FX_Curve_History!R165C9</stp>
        <tr r="I165" s="50"/>
      </tp>
      <tp t="e">
        <v>#N/A</v>
        <stp/>
        <stp>##V3_BDHV12</stp>
        <stp>SF0003M Index</stp>
        <stp>PX_LAST</stp>
        <stp>12/31/2018</stp>
        <stp>12/31/2018</stp>
        <stp>[Live Pricing.xlsm]Rate_History!R109C2</stp>
        <tr r="B109" s="49"/>
      </tp>
      <tp t="e">
        <v>#N/A</v>
        <stp/>
        <stp>##V3_BDHV12</stp>
        <stp>SFSW30 Index</stp>
        <stp>PX_LAST</stp>
        <stp>12/31/2018</stp>
        <stp>12/31/2018</stp>
        <stp>[Live Pricing.xlsm]FX_Curve_History!R122C6</stp>
        <tr r="F122" s="50"/>
      </tp>
      <tp t="e">
        <v>#N/A</v>
        <stp/>
        <stp>##V3_BDHV12</stp>
        <stp>CDSW20 Index</stp>
        <stp>PX_LAST</stp>
        <stp>12/31/2018</stp>
        <stp>12/31/2018</stp>
        <stp>[Live Pricing.xlsm]FX_Curve_History!R142C6</stp>
        <tr r="F142" s="50"/>
      </tp>
      <tp t="e">
        <v>#N/A</v>
        <stp/>
        <stp>##V3_BDPV12</stp>
        <stp>JYBS4 Index</stp>
        <stp>PX_LAST</stp>
        <stp>[Live Pricing.xlsm]FX_Curve_Live!R58C13</stp>
        <tr r="M58" s="42"/>
      </tp>
      <tp t="e">
        <v>#N/A</v>
        <stp/>
        <stp>##V3_BDPV12</stp>
        <stp>SFBS5 Index</stp>
        <stp>PX_LAST</stp>
        <stp>[Live Pricing.xlsm]FX_Curve_History!R109C13</stp>
        <tr r="M109" s="50"/>
      </tp>
      <tp t="e">
        <v>#N/A</v>
        <stp/>
        <stp>##V3_BDHV12</stp>
        <stp>CLSWIB4 Index</stp>
        <stp>PX_LAST</stp>
        <stp>12/31/2018</stp>
        <stp>12/31/2018</stp>
        <stp>[Live Pricing.xlsm]FX_Curve_History!R183C6</stp>
        <tr r="F183" s="50"/>
      </tp>
      <tp t="e">
        <v>#N/A</v>
        <stp/>
        <stp>##V3_BDPV12</stp>
        <stp>EUSA2 Index</stp>
        <stp>PX_LAST</stp>
        <stp>[Live Pricing.xlsm]Rate_Live!R31C6</stp>
        <tr r="F31" s="39"/>
      </tp>
      <tp t="e">
        <v>#N/A</v>
        <stp/>
        <stp>##V3_BDPV12</stp>
        <stp>CLSWIB1F Index</stp>
        <stp>PX_LAST</stp>
        <stp>[Live Pricing.xlsm]Rate_Live!R187C2</stp>
        <tr r="B187" s="39"/>
      </tp>
      <tp t="e">
        <v>#N/A</v>
        <stp/>
        <stp>##V3_BDPV12</stp>
        <stp>JYBS25 Index</stp>
        <stp>PX_LAST</stp>
        <stp>[Live Pricing.xlsm]FX_Curve_Live!R73C13</stp>
        <tr r="M73" s="42"/>
      </tp>
      <tp t="e">
        <v>#N/A</v>
        <stp/>
        <stp>##V3_BDPV12</stp>
        <stp>JYBS15 Index</stp>
        <stp>PX_LAST</stp>
        <stp>[Live Pricing.xlsm]FX_Curve_Live!R69C13</stp>
        <tr r="M69" s="42"/>
      </tp>
      <tp t="e">
        <v>#N/A</v>
        <stp/>
        <stp>##V3_BDPV12</stp>
        <stp>CDBS20 Index</stp>
        <stp>PX_LAST</stp>
        <stp>[Live Pricing.xlsm]FX_Curve_History!R142C13</stp>
        <tr r="M142" s="50"/>
      </tp>
      <tp t="e">
        <v>#N/A</v>
        <stp/>
        <stp>##V3_BDPV12</stp>
        <stp>CDBS10 Index</stp>
        <stp>PX_LAST</stp>
        <stp>[Live Pricing.xlsm]FX_Curve_History!R139C13</stp>
        <tr r="M139" s="50"/>
      </tp>
      <tp t="e">
        <v>#N/A</v>
        <stp/>
        <stp>##V3_BDPV12</stp>
        <stp>SFBS12 Index</stp>
        <stp>PX_LAST</stp>
        <stp>[Live Pricing.xlsm]FX_Curve_History!R116C13</stp>
        <tr r="M116" s="50"/>
      </tp>
      <tp t="e">
        <v>#N/A</v>
        <stp/>
        <stp>##V3_BDPV12</stp>
        <stp>EUSA40 Index</stp>
        <stp>PX_LAST</stp>
        <stp>[Live Pricing.xlsm]FX_Curve_Live!R50C6</stp>
        <tr r="F50" s="42"/>
      </tp>
      <tp t="e">
        <v>#N/A</v>
        <stp/>
        <stp>##V3_BDPV12</stp>
        <stp>BPSW13 Index</stp>
        <stp>PX_LAST</stp>
        <stp>[Live Pricing.xlsm]FX_Curve_Live!R92C6</stp>
        <tr r="F92" s="42"/>
      </tp>
      <tp t="e">
        <v>#N/A</v>
        <stp/>
        <stp>##V3_BDPV12</stp>
        <stp>EUSA16 Index</stp>
        <stp>PX_LAST</stp>
        <stp>[Live Pricing.xlsm]FX_Curve_Live!R45C6</stp>
        <tr r="F45" s="42"/>
      </tp>
      <tp t="e">
        <v>#N/A</v>
        <stp/>
        <stp>##V3_BDHV12</stp>
        <stp>SF0002M Index</stp>
        <stp>PX_LAST</stp>
        <stp>12/31/2018</stp>
        <stp>12/31/2018</stp>
        <stp>[Live Pricing.xlsm]Rate_History!R108C2</stp>
        <tr r="B108" s="49"/>
        <tr r="B108" s="49"/>
      </tp>
      <tp t="e">
        <v>#N/A</v>
        <stp/>
        <stp>##V3_BDHV12</stp>
        <stp>SFSW40 Index</stp>
        <stp>PX_LAST</stp>
        <stp>12/31/2018</stp>
        <stp>12/31/2018</stp>
        <stp>[Live Pricing.xlsm]FX_Curve_History!R123C6</stp>
        <tr r="F123" s="50"/>
      </tp>
      <tp t="e">
        <v>#N/A</v>
        <stp/>
        <stp>##V3_BDHV12</stp>
        <stp>CDSW25 Index</stp>
        <stp>PX_LAST</stp>
        <stp>12/31/2018</stp>
        <stp>12/31/2018</stp>
        <stp>[Live Pricing.xlsm]FX_Curve_History!R143C6</stp>
        <tr r="F143" s="50"/>
      </tp>
      <tp t="e">
        <v>#N/A</v>
        <stp/>
        <stp>##V3_BDPV12</stp>
        <stp>JYBS5 Index</stp>
        <stp>PX_LAST</stp>
        <stp>[Live Pricing.xlsm]FX_Curve_Live!R59C13</stp>
        <tr r="M59" s="42"/>
      </tp>
      <tp t="e">
        <v>#N/A</v>
        <stp/>
        <stp>##V3_BDPV12</stp>
        <stp>SFBS4 Index</stp>
        <stp>PX_LAST</stp>
        <stp>[Live Pricing.xlsm]FX_Curve_History!R108C13</stp>
        <tr r="M108" s="50"/>
      </tp>
      <tp t="e">
        <v>#N/A</v>
        <stp/>
        <stp>##V3_BDHV12</stp>
        <stp>CLSWIBA Index</stp>
        <stp>PX_LAST</stp>
        <stp>12/31/2018</stp>
        <stp>12/31/2018</stp>
        <stp>[Live Pricing.xlsm]FX_Curve_History!R182C2</stp>
        <tr r="B182" s="50"/>
      </tp>
      <tp t="e">
        <v>#N/A</v>
        <stp/>
        <stp>##V3_BDHV12</stp>
        <stp>CLSWIB3 Index</stp>
        <stp>PX_LAST</stp>
        <stp>12/31/2018</stp>
        <stp>12/31/2018</stp>
        <stp>[Live Pricing.xlsm]FX_Curve_History!R182C6</stp>
        <tr r="F182" s="50"/>
      </tp>
      <tp t="e">
        <v>#N/A</v>
        <stp/>
        <stp>##V3_BDPV12</stp>
        <stp>BP0001M Index</stp>
        <stp>PX_LAST</stp>
        <stp>[Live Pricing.xlsm]FX_Curve_Live!R82C2</stp>
        <tr r="B82" s="42"/>
      </tp>
      <tp t="e">
        <v>#N/A</v>
        <stp/>
        <stp>##V3_BDPV12</stp>
        <stp>BP0006M Index</stp>
        <stp>PX_LAST</stp>
        <stp>[Live Pricing.xlsm]FX_Curve_Live!R85C2</stp>
        <tr r="B85" s="42"/>
      </tp>
      <tp t="e">
        <v>#N/A</v>
        <stp/>
        <stp>##V3_BDPV12</stp>
        <stp>JY0002M Index</stp>
        <stp>PX_LAST</stp>
        <stp>[Live Pricing.xlsm]FX_Curve_Live!R58C2</stp>
        <tr r="B58" s="42"/>
      </tp>
      <tp t="e">
        <v>#N/A</v>
        <stp/>
        <stp>##V3_BDPV12</stp>
        <stp>JY0003M Index</stp>
        <stp>PX_LAST</stp>
        <stp>[Live Pricing.xlsm]FX_Curve_Live!R59C2</stp>
        <tr r="B59" s="42"/>
      </tp>
      <tp t="e">
        <v>#N/A</v>
        <stp/>
        <stp>##V3_BDPV12</stp>
        <stp>US0001m Index</stp>
        <stp>PX_LAST</stp>
        <stp>[Live Pricing.xlsm]FX_Curve_Live!R7C2</stp>
        <tr r="B7" s="42"/>
      </tp>
      <tp t="e">
        <v>#N/A</v>
        <stp/>
        <stp>##V3_BDPV12</stp>
        <stp>BPSW16 Index</stp>
        <stp>PX_LAST</stp>
        <stp>[Live Pricing.xlsm]FX_Curve_Live!R95C6</stp>
        <tr r="F95" s="42"/>
      </tp>
      <tp t="e">
        <v>#N/A</v>
        <stp/>
        <stp>##V3_BDPV12</stp>
        <stp>EUSA13 Index</stp>
        <stp>PX_LAST</stp>
        <stp>[Live Pricing.xlsm]FX_Curve_Live!R42C6</stp>
        <tr r="F42" s="42"/>
      </tp>
      <tp t="e">
        <v>#N/A</v>
        <stp/>
        <stp>##V3_BDPV12</stp>
        <stp>EUR002m Index</stp>
        <stp>PX_LAST</stp>
        <stp>[Live Pricing.xlsm]FX_Curve_Live!R33C2</stp>
        <tr r="B33" s="42"/>
      </tp>
      <tp t="e">
        <v>#N/A</v>
        <stp/>
        <stp>##V3_BDHV12</stp>
        <stp>SFSW10 Index</stp>
        <stp>PX_LAST</stp>
        <stp>12/31/2018</stp>
        <stp>12/31/2018</stp>
        <stp>[Live Pricing.xlsm]FX_Curve_History!R114C6</stp>
        <tr r="F114" s="50"/>
      </tp>
      <tp t="e">
        <v>#N/A</v>
        <stp/>
        <stp>##V3_BDHV12</stp>
        <stp>CDSW30 Index</stp>
        <stp>PX_LAST</stp>
        <stp>12/31/2018</stp>
        <stp>12/31/2018</stp>
        <stp>[Live Pricing.xlsm]FX_Curve_History!R144C6</stp>
        <tr r="F144" s="50"/>
      </tp>
      <tp t="e">
        <v>#N/A</v>
        <stp/>
        <stp>##V3_BDPV12</stp>
        <stp>JYBS2 Index</stp>
        <stp>PX_LAST</stp>
        <stp>[Live Pricing.xlsm]FX_Curve_Live!R56C13</stp>
        <tr r="M56" s="42"/>
      </tp>
      <tp t="e">
        <v>#N/A</v>
        <stp/>
        <stp>##V3_BDHV12</stp>
        <stp>CLSWIBI Index</stp>
        <stp>PX_LAST</stp>
        <stp>12/31/2018</stp>
        <stp>12/31/2018</stp>
        <stp>[Live Pricing.xlsm]FX_Curve_History!R185C2</stp>
        <tr r="B185" s="50"/>
      </tp>
      <tp t="e">
        <v>#N/A</v>
        <stp/>
        <stp>##V3_BDHV12</stp>
        <stp>CLSWIB6 Index</stp>
        <stp>PX_LAST</stp>
        <stp>12/31/2018</stp>
        <stp>12/31/2018</stp>
        <stp>[Live Pricing.xlsm]FX_Curve_History!R185C6</stp>
        <tr r="F185" s="50"/>
      </tp>
      <tp t="e">
        <v>#N/A</v>
        <stp/>
        <stp>##V3_BDPV12</stp>
        <stp>EUSA8 Index</stp>
        <stp>PX_LAST</stp>
        <stp>[Live Pricing.xlsm]Rate_Live!R37C6</stp>
        <tr r="F37" s="39"/>
      </tp>
      <tp t="e">
        <v>#N/A</v>
        <stp/>
        <stp>##V3_BDPV12</stp>
        <stp>BP0012M Index</stp>
        <stp>PX_LAST</stp>
        <stp>[Live Pricing.xlsm]FX_Curve_Live!R86C2</stp>
        <tr r="B86" s="42"/>
      </tp>
      <tp t="e">
        <v>#N/A</v>
        <stp/>
        <stp>##V3_BDPV12</stp>
        <stp>BPSW15 Index</stp>
        <stp>PX_LAST</stp>
        <stp>[Live Pricing.xlsm]FX_Curve_Live!R94C6</stp>
        <tr r="F94" s="42"/>
      </tp>
      <tp t="e">
        <v>#N/A</v>
        <stp/>
        <stp>##V3_BDPV12</stp>
        <stp>BPSW20 Index</stp>
        <stp>PX_LAST</stp>
        <stp>[Live Pricing.xlsm]FX_Curve_Live!R97C6</stp>
        <tr r="F97" s="42"/>
      </tp>
      <tp t="e">
        <v>#N/A</v>
        <stp/>
        <stp>##V3_BDPV12</stp>
        <stp>EUSA14 Index</stp>
        <stp>PX_LAST</stp>
        <stp>[Live Pricing.xlsm]FX_Curve_Live!R43C6</stp>
        <tr r="F43" s="42"/>
      </tp>
      <tp t="e">
        <v>#N/A</v>
        <stp/>
        <stp>##V3_BDHV12</stp>
        <stp>HASWDI10Y Index</stp>
        <stp>PX_LAST</stp>
        <stp>12/31/2018</stp>
        <stp>12/31/2018</stp>
        <stp>[Live Pricing.xlsm]FX_Curve_History!R172C9</stp>
        <tr r="I172" s="50"/>
      </tp>
      <tp t="e">
        <v>#N/A</v>
        <stp/>
        <stp>##V3_BDHV12</stp>
        <stp>SFSW11 Index</stp>
        <stp>PX_LAST</stp>
        <stp>12/31/2018</stp>
        <stp>12/31/2018</stp>
        <stp>[Live Pricing.xlsm]FX_Curve_History!R115C6</stp>
        <tr r="F115" s="50"/>
      </tp>
      <tp t="e">
        <v>#N/A</v>
        <stp/>
        <stp>##V3_BDHV12</stp>
        <stp>CDSW40 Index</stp>
        <stp>PX_LAST</stp>
        <stp>12/31/2018</stp>
        <stp>12/31/2018</stp>
        <stp>[Live Pricing.xlsm]FX_Curve_History!R145C6</stp>
        <tr r="F145" s="50"/>
      </tp>
      <tp t="e">
        <v>#N/A</v>
        <stp/>
        <stp>##V3_BDPV12</stp>
        <stp>JYBS3 Index</stp>
        <stp>PX_LAST</stp>
        <stp>[Live Pricing.xlsm]FX_Curve_Live!R57C13</stp>
        <tr r="M57" s="42"/>
      </tp>
      <tp t="e">
        <v>#N/A</v>
        <stp/>
        <stp>##V3_BDPV12</stp>
        <stp>SFBS2 Index</stp>
        <stp>PX_LAST</stp>
        <stp>[Live Pricing.xlsm]FX_Curve_History!R106C13</stp>
        <tr r="M106" s="50"/>
      </tp>
      <tp t="e">
        <v>#N/A</v>
        <stp/>
        <stp>##V3_BDHV12</stp>
        <stp>CLSWIBC Index</stp>
        <stp>PX_LAST</stp>
        <stp>12/31/2018</stp>
        <stp>12/31/2018</stp>
        <stp>[Live Pricing.xlsm]FX_Curve_History!R184C2</stp>
        <tr r="B184" s="50"/>
      </tp>
      <tp t="e">
        <v>#N/A</v>
        <stp/>
        <stp>##V3_BDHV12</stp>
        <stp>CLSWIB5 Index</stp>
        <stp>PX_LAST</stp>
        <stp>12/31/2018</stp>
        <stp>12/31/2018</stp>
        <stp>[Live Pricing.xlsm]FX_Curve_History!R184C6</stp>
        <tr r="F184" s="50"/>
      </tp>
      <tp t="e">
        <v>#N/A</v>
        <stp/>
        <stp>##V3_BDPV12</stp>
        <stp>EUSA7 Index</stp>
        <stp>PX_LAST</stp>
        <stp>[Live Pricing.xlsm]Rate_Live!R36C6</stp>
        <tr r="F36" s="39"/>
      </tp>
      <tp t="e">
        <v>#N/A</v>
        <stp/>
        <stp>##V3_BDPV12</stp>
        <stp>JYBS12 Index</stp>
        <stp>PX_LAST</stp>
        <stp>[Live Pricing.xlsm]FX_Curve_Live!R66C13</stp>
        <tr r="M66" s="42"/>
      </tp>
      <tp t="e">
        <v>#N/A</v>
        <stp/>
        <stp>##V3_BDPV12</stp>
        <stp>US0006m Index</stp>
        <stp>PX_LAST</stp>
        <stp>[Live Pricing.xlsm]FX_Curve_Live!R10C2</stp>
        <tr r="B10" s="42"/>
      </tp>
      <tp t="e">
        <v>#N/A</v>
        <stp/>
        <stp>##V3_BDPV12</stp>
        <stp>SFBS15 Index</stp>
        <stp>PX_LAST</stp>
        <stp>[Live Pricing.xlsm]FX_Curve_History!R119C13</stp>
        <tr r="M119" s="50"/>
      </tp>
      <tp t="e">
        <v>#N/A</v>
        <stp/>
        <stp>##V3_BDPV12</stp>
        <stp>EUSA11 Index</stp>
        <stp>PX_LAST</stp>
        <stp>[Live Pricing.xlsm]FX_Curve_Live!R40C6</stp>
        <tr r="F40" s="42"/>
      </tp>
      <tp t="e">
        <v>#N/A</v>
        <stp/>
        <stp>##V3_BDPV12</stp>
        <stp>EUR001m Index</stp>
        <stp>PX_LAST</stp>
        <stp>[Live Pricing.xlsm]FX_Curve_Live!R32C2</stp>
        <tr r="B32" s="42"/>
      </tp>
      <tp t="e">
        <v>#N/A</v>
        <stp/>
        <stp>##V3_BDPV12</stp>
        <stp>EUR006m Index</stp>
        <stp>PX_LAST</stp>
        <stp>[Live Pricing.xlsm]FX_Curve_Live!R35C2</stp>
        <tr r="B35" s="42"/>
      </tp>
      <tp t="e">
        <v>#N/A</v>
        <stp/>
        <stp>##V3_BDHV12</stp>
        <stp>HASWDI10Y Index</stp>
        <stp>PX_LAST</stp>
        <stp>12/31/2018</stp>
        <stp>12/31/2018</stp>
        <stp>[Live Pricing.xlsm]FX_Curve_History!R171C9</stp>
        <tr r="I171" s="50"/>
      </tp>
      <tp t="e">
        <v>#N/A</v>
        <stp/>
        <stp>##V3_BDHV12</stp>
        <stp>SFSW12 Index</stp>
        <stp>PX_LAST</stp>
        <stp>12/31/2018</stp>
        <stp>12/31/2018</stp>
        <stp>[Live Pricing.xlsm]FX_Curve_History!R116C6</stp>
        <tr r="F116" s="50"/>
      </tp>
      <tp t="e">
        <v>#N/A</v>
        <stp/>
        <stp>##V3_BDPV12</stp>
        <stp>SFBS1 Index</stp>
        <stp>PX_LAST</stp>
        <stp>[Live Pricing.xlsm]FX_Curve_History!R106C16</stp>
        <tr r="P106" s="50"/>
      </tp>
      <tp t="e">
        <v>#N/A</v>
        <stp/>
        <stp>##V3_BDPV12</stp>
        <stp>BPBS8 Index</stp>
        <stp>PX_LAST</stp>
        <stp>[Live Pricing.xlsm]FX_Curve_Live!R87C13</stp>
        <tr r="M87" s="42"/>
      </tp>
      <tp t="e">
        <v>#N/A</v>
        <stp/>
        <stp>##V3_BDHV12</stp>
        <stp>CLSWIB8 Index</stp>
        <stp>PX_LAST</stp>
        <stp>12/31/2018</stp>
        <stp>12/31/2018</stp>
        <stp>[Live Pricing.xlsm]FX_Curve_History!R187C6</stp>
        <tr r="F187" s="50"/>
      </tp>
      <tp t="e">
        <v>#N/A</v>
        <stp/>
        <stp>##V3_BDPV12</stp>
        <stp>EUSA6 Index</stp>
        <stp>PX_LAST</stp>
        <stp>[Live Pricing.xlsm]Rate_Live!R35C6</stp>
        <tr r="F35" s="39"/>
      </tp>
      <tp t="e">
        <v>#N/A</v>
        <stp/>
        <stp>##V3_BDPV12</stp>
        <stp>JYBS11 Index</stp>
        <stp>PX_LAST</stp>
        <stp>[Live Pricing.xlsm]FX_Curve_Live!R65C13</stp>
        <tr r="M65" s="42"/>
      </tp>
      <tp t="e">
        <v>#N/A</v>
        <stp/>
        <stp>##V3_BDPV12</stp>
        <stp>BPSW17 Index</stp>
        <stp>PX_LAST</stp>
        <stp>[Live Pricing.xlsm]FX_Curve_Live!R96C6</stp>
        <tr r="F96" s="42"/>
      </tp>
      <tp t="e">
        <v>#N/A</v>
        <stp/>
        <stp>##V3_BDPV12</stp>
        <stp>EUSA12 Index</stp>
        <stp>PX_LAST</stp>
        <stp>[Live Pricing.xlsm]FX_Curve_Live!R41C6</stp>
        <tr r="F41" s="42"/>
      </tp>
      <tp t="e">
        <v>#N/A</v>
        <stp/>
        <stp>##V3_BDHV12</stp>
        <stp>HASWDI10Y Index</stp>
        <stp>PX_LAST</stp>
        <stp>12/31/2018</stp>
        <stp>12/31/2018</stp>
        <stp>[Live Pricing.xlsm]FX_Curve_History!R170C9</stp>
        <tr r="I170" s="50"/>
      </tp>
      <tp t="e">
        <v>#N/A</v>
        <stp/>
        <stp>##V3_BDHV12</stp>
        <stp>SFSW13 Index</stp>
        <stp>PX_LAST</stp>
        <stp>12/31/2018</stp>
        <stp>12/31/2018</stp>
        <stp>[Live Pricing.xlsm]FX_Curve_History!R117C6</stp>
        <tr r="F117" s="50"/>
      </tp>
      <tp t="e">
        <v>#N/A</v>
        <stp/>
        <stp>##V3_BDPV12</stp>
        <stp>JYBS1 Index</stp>
        <stp>PX_LAST</stp>
        <stp>[Live Pricing.xlsm]FX_Curve_Live!R56C16</stp>
        <tr r="P56" s="42"/>
      </tp>
      <tp t="e">
        <v>#N/A</v>
        <stp/>
        <stp>##V3_BDPV12</stp>
        <stp>BPBS9 Index</stp>
        <stp>PX_LAST</stp>
        <stp>[Live Pricing.xlsm]FX_Curve_Live!R88C13</stp>
        <tr r="M88" s="42"/>
      </tp>
      <tp t="e">
        <v>#N/A</v>
        <stp/>
        <stp>##V3_BDHV12</stp>
        <stp>CLSWIB1 Index</stp>
        <stp>PX_LAST</stp>
        <stp>12/31/2018</stp>
        <stp>12/31/2018</stp>
        <stp>[Live Pricing.xlsm]FX_Curve_History!R186C2</stp>
        <tr r="B186" s="50"/>
      </tp>
      <tp t="e">
        <v>#N/A</v>
        <stp/>
        <stp>##V3_BDHV12</stp>
        <stp>CLSWIB7 Index</stp>
        <stp>PX_LAST</stp>
        <stp>12/31/2018</stp>
        <stp>12/31/2018</stp>
        <stp>[Live Pricing.xlsm]FX_Curve_History!R186C6</stp>
        <tr r="F186" s="50"/>
      </tp>
      <tp t="e">
        <v>#N/A</v>
        <stp/>
        <stp>##V3_BDPV12</stp>
        <stp>EUSA5 Index</stp>
        <stp>PX_LAST</stp>
        <stp>[Live Pricing.xlsm]Rate_Live!R34C6</stp>
        <tr r="F34" s="39"/>
      </tp>
      <tp t="e">
        <v>#N/A</v>
        <stp/>
        <stp>##V3_BDPV12</stp>
        <stp>HASWDI3M Index</stp>
        <stp>PX_LAST</stp>
        <stp>[Live Pricing.xlsm]Rate_Live!R159C2</stp>
        <tr r="B159" s="39"/>
      </tp>
      <tp t="e">
        <v>#N/A</v>
        <stp/>
        <stp>##V3_BDPV12</stp>
        <stp>BP0003M Index</stp>
        <stp>PX_LAST</stp>
        <stp>[Live Pricing.xlsm]FX_Curve_Live!R84C2</stp>
        <tr r="B84" s="42"/>
      </tp>
      <tp t="e">
        <v>#N/A</v>
        <stp/>
        <stp>##V3_BDPV12</stp>
        <stp>JYBS40 Index</stp>
        <stp>PX_LAST</stp>
        <stp>[Live Pricing.xlsm]FX_Curve_Live!R75C13</stp>
        <tr r="M75" s="42"/>
      </tp>
      <tp t="e">
        <v>#N/A</v>
        <stp/>
        <stp>##V3_BDPV12</stp>
        <stp>JYBS20 Index</stp>
        <stp>PX_LAST</stp>
        <stp>[Live Pricing.xlsm]FX_Curve_Live!R72C13</stp>
        <tr r="M72" s="42"/>
      </tp>
      <tp t="e">
        <v>#N/A</v>
        <stp/>
        <stp>##V3_BDPV12</stp>
        <stp>JYBS30 Index</stp>
        <stp>PX_LAST</stp>
        <stp>[Live Pricing.xlsm]FX_Curve_Live!R74C13</stp>
        <tr r="M74" s="42"/>
      </tp>
      <tp t="e">
        <v>#N/A</v>
        <stp/>
        <stp>##V3_BDPV12</stp>
        <stp>JYBS10 Index</stp>
        <stp>PX_LAST</stp>
        <stp>[Live Pricing.xlsm]FX_Curve_Live!R64C13</stp>
        <tr r="M64" s="42"/>
      </tp>
      <tp t="e">
        <v>#N/A</v>
        <stp/>
        <stp>##V3_BDPV12</stp>
        <stp>CDBS15 Index</stp>
        <stp>PX_LAST</stp>
        <stp>[Live Pricing.xlsm]FX_Curve_History!R141C13</stp>
        <tr r="M141" s="50"/>
      </tp>
      <tp t="e">
        <v>#N/A</v>
        <stp/>
        <stp>##V3_BDPV12</stp>
        <stp>JYSW17 Index</stp>
        <stp>PX_LAST</stp>
        <stp>[Live Pricing.xlsm]FX_Curve_Live!R71C6</stp>
        <tr r="F71" s="42"/>
      </tp>
      <tp t="e">
        <v>#N/A</v>
        <stp/>
        <stp>##V3_BDPV12</stp>
        <stp>JYSW20 Index</stp>
        <stp>PX_LAST</stp>
        <stp>[Live Pricing.xlsm]FX_Curve_Live!R72C6</stp>
        <tr r="F72" s="42"/>
      </tp>
      <tp t="e">
        <v>#N/A</v>
        <stp/>
        <stp>##V3_BDPV12</stp>
        <stp>BPSW10 Index</stp>
        <stp>PX_LAST</stp>
        <stp>[Live Pricing.xlsm]FX_Curve_Live!R89C6</stp>
        <tr r="F89" s="42"/>
      </tp>
      <tp t="e">
        <v>#N/A</v>
        <stp/>
        <stp>##V3_BDHV12</stp>
        <stp>SFSW14 Index</stp>
        <stp>PX_LAST</stp>
        <stp>12/31/2018</stp>
        <stp>12/31/2018</stp>
        <stp>[Live Pricing.xlsm]FX_Curve_History!R118C6</stp>
        <tr r="F118" s="50"/>
      </tp>
      <tp t="e">
        <v>#N/A</v>
        <stp/>
        <stp>##V3_BDPV12</stp>
        <stp>EUBS1 Index</stp>
        <stp>PX_LAST</stp>
        <stp>[Live Pricing.xlsm]FX_Curve_Live!R31C16</stp>
        <tr r="P31" s="42"/>
      </tp>
      <tp t="e">
        <v>#N/A</v>
        <stp/>
        <stp>##V3_BDPV12</stp>
        <stp>BPBS6 Index</stp>
        <stp>PX_LAST</stp>
        <stp>[Live Pricing.xlsm]FX_Curve_Live!R85C13</stp>
        <tr r="M85" s="42"/>
      </tp>
      <tp t="e">
        <v>#N/A</v>
        <stp/>
        <stp>##V3_BDPV12</stp>
        <stp>JYSW16 Index</stp>
        <stp>PX_LAST</stp>
        <stp>[Live Pricing.xlsm]FX_Curve_Live!R70C6</stp>
        <tr r="F70" s="42"/>
      </tp>
      <tp t="e">
        <v>#N/A</v>
        <stp/>
        <stp>##V3_BDPV12</stp>
        <stp>JYSW25 Index</stp>
        <stp>PX_LAST</stp>
        <stp>[Live Pricing.xlsm]FX_Curve_Live!R73C6</stp>
        <tr r="F73" s="42"/>
      </tp>
      <tp t="e">
        <v>#N/A</v>
        <stp/>
        <stp>##V3_BDPV12</stp>
        <stp>BLBS3 Index</stp>
        <stp>PX_LAST</stp>
        <stp>[Live Pricing.xlsm]FX_Curve_Live!R157C13</stp>
        <stp>B.S. Adjustments</stp>
        <stp>B.S. Adjustments</stp>
        <tr r="M157" s="42"/>
      </tp>
      <tp t="e">
        <v>#N/A</v>
        <stp/>
        <stp>##V3_BDPV12</stp>
        <stp>JYSW40 Index</stp>
        <stp>PX_LAST</stp>
        <stp>[Live Pricing.xlsm]FX_Curve_Live!R75C6</stp>
        <tr r="F75" s="42"/>
      </tp>
      <tp t="e">
        <v>#N/A</v>
        <stp/>
        <stp>##V3_BDHV12</stp>
        <stp>SFSW15 Index</stp>
        <stp>PX_LAST</stp>
        <stp>12/31/2018</stp>
        <stp>12/31/2018</stp>
        <stp>[Live Pricing.xlsm]FX_Curve_History!R119C6</stp>
        <tr r="F119" s="50"/>
      </tp>
      <tp t="e">
        <v>#N/A</v>
        <stp/>
        <stp>##V3_BDHV12</stp>
        <stp>CDSW10 Index</stp>
        <stp>PX_LAST</stp>
        <stp>12/31/2018</stp>
        <stp>12/31/2018</stp>
        <stp>[Live Pricing.xlsm]FX_Curve_History!R139C6</stp>
        <tr r="F139" s="50"/>
      </tp>
      <tp t="e">
        <v>#N/A</v>
        <stp/>
        <stp>##V3_BDPV12</stp>
        <stp>BPBS7 Index</stp>
        <stp>PX_LAST</stp>
        <stp>[Live Pricing.xlsm]FX_Curve_Live!R86C13</stp>
        <tr r="M86" s="42"/>
      </tp>
      <tp t="e">
        <v>#N/A</v>
        <stp/>
        <stp>##V3_BDHV12</stp>
        <stp>CLSWIB9 Index</stp>
        <stp>PX_LAST</stp>
        <stp>12/31/2018</stp>
        <stp>12/31/2018</stp>
        <stp>[Live Pricing.xlsm]FX_Curve_History!R188C6</stp>
        <tr r="F188" s="50"/>
      </tp>
      <tp t="e">
        <v>#N/A</v>
        <stp/>
        <stp>##V3_BDPV12</stp>
        <stp>HASWDI1M Index</stp>
        <stp>PX_LAST</stp>
        <stp>[Live Pricing.xlsm]Rate_Live!R157C2</stp>
        <tr r="B157" s="39"/>
      </tp>
      <tp t="e">
        <v>#N/A</v>
        <stp/>
        <stp>##V3_BDPV12</stp>
        <stp>CORRRMIN Index</stp>
        <stp>PX_LAST</stp>
        <stp>[Live Pricing.xlsm]Rate_Live!R181C2</stp>
        <tr r="B181" s="39"/>
      </tp>
      <tp t="e">
        <v>#N/A</v>
        <stp/>
        <stp>##V3_BDPV12</stp>
        <stp>EUBS12 Index</stp>
        <stp>PX_LAST</stp>
        <stp>[Live Pricing.xlsm]FX_Curve_Live!R41C13</stp>
        <tr r="M41" s="42"/>
      </tp>
      <tp t="e">
        <v>#N/A</v>
        <stp/>
        <stp>##V3_BDPV12</stp>
        <stp>BPSW25 Index</stp>
        <stp>PX_LAST</stp>
        <stp>[Live Pricing.xlsm]FX_Curve_Live!R98C6</stp>
        <tr r="F98" s="42"/>
      </tp>
      <tp t="e">
        <v>#N/A</v>
        <stp/>
        <stp>##V3_BDPV12</stp>
        <stp>BPSW30 Index</stp>
        <stp>PX_LAST</stp>
        <stp>[Live Pricing.xlsm]FX_Curve_Live!R99C6</stp>
        <tr r="F99" s="42"/>
      </tp>
      <tp t="e">
        <v>#N/A</v>
        <stp/>
        <stp>##V3_BDHV12</stp>
        <stp>SF0012M Index</stp>
        <stp>PX_LAST</stp>
        <stp>12/31/2018</stp>
        <stp>12/31/2018</stp>
        <stp>[Live Pricing.xlsm]Rate_History!R111C2</stp>
        <tr r="B111" s="49"/>
      </tp>
      <tp t="e">
        <v>#N/A</v>
        <stp/>
        <stp>##V3_BDPV12</stp>
        <stp>EUBS3 Index</stp>
        <stp>PX_LAST</stp>
        <stp>[Live Pricing.xlsm]FX_Curve_Live!R32C13</stp>
        <tr r="M32" s="42"/>
      </tp>
      <tp t="e">
        <v>#N/A</v>
        <stp/>
        <stp>##V3_BDPV12</stp>
        <stp>BPBS4 Index</stp>
        <stp>PX_LAST</stp>
        <stp>[Live Pricing.xlsm]FX_Curve_Live!R83C13</stp>
        <tr r="M83" s="42"/>
      </tp>
      <tp t="e">
        <v>#N/A</v>
        <stp/>
        <stp>##V3_BDPV12</stp>
        <stp>JY0012M Index</stp>
        <stp>PX_LAST</stp>
        <stp>[Live Pricing.xlsm]FX_Curve_Live!R61C2</stp>
        <tr r="B61" s="42"/>
      </tp>
      <tp t="e">
        <v>#N/A</v>
        <stp/>
        <stp>##V3_BDPV12</stp>
        <stp>EUBS11 Index</stp>
        <stp>PX_LAST</stp>
        <stp>[Live Pricing.xlsm]FX_Curve_Live!R40C13</stp>
        <tr r="M40" s="42"/>
      </tp>
      <tp t="e">
        <v>#N/A</v>
        <stp/>
        <stp>##V3_BDPV12</stp>
        <stp>EDH9 Comdty</stp>
        <stp>PX_LAST</stp>
        <stp>[Live Pricing.xlsm]Rate_Live!R8C4</stp>
        <tr r="D8" s="39"/>
      </tp>
      <tp t="e">
        <v>#N/A</v>
        <stp/>
        <stp>##V3_BDHV12</stp>
        <stp>SF0006M Index</stp>
        <stp>PX_LAST</stp>
        <stp>12/31/2018</stp>
        <stp>12/31/2018</stp>
        <stp>[Live Pricing.xlsm]Rate_History!R110C2</stp>
        <tr r="B110" s="49"/>
      </tp>
      <tp t="e">
        <v>#N/A</v>
        <stp/>
        <stp>##V3_BDPV12</stp>
        <stp>EUBS2 Index</stp>
        <stp>PX_LAST</stp>
        <stp>[Live Pricing.xlsm]FX_Curve_Live!R31C13</stp>
        <tr r="M31" s="42"/>
      </tp>
      <tp t="e">
        <v>#N/A</v>
        <stp/>
        <stp>##V3_BDPV12</stp>
        <stp>BPBS5 Index</stp>
        <stp>PX_LAST</stp>
        <stp>[Live Pricing.xlsm]FX_Curve_Live!R84C13</stp>
        <tr r="M84" s="42"/>
      </tp>
      <tp t="e">
        <v>#N/A</v>
        <stp/>
        <stp>##V3_BDPV12</stp>
        <stp>EUSA9 Index</stp>
        <stp>PX_LAST</stp>
        <stp>[Live Pricing.xlsm]Rate_Live!R38C6</stp>
        <tr r="F38" s="39"/>
      </tp>
      <tp t="e">
        <v>#N/A</v>
        <stp/>
        <stp>##V3_BDPV12</stp>
        <stp>EUBS10 Index</stp>
        <stp>PX_LAST</stp>
        <stp>[Live Pricing.xlsm]FX_Curve_Live!R39C13</stp>
        <tr r="M39" s="42"/>
      </tp>
      <tp t="e">
        <v>#N/A</v>
        <stp/>
        <stp>##V3_BDPV12</stp>
        <stp>EUBS40 Index</stp>
        <stp>PX_LAST</stp>
        <stp>[Live Pricing.xlsm]FX_Curve_Live!R50C13</stp>
        <tr r="M50" s="42"/>
      </tp>
      <tp t="e">
        <v>#N/A</v>
        <stp/>
        <stp>##V3_BDPV12</stp>
        <stp>EUBS20 Index</stp>
        <stp>PX_LAST</stp>
        <stp>[Live Pricing.xlsm]FX_Curve_Live!R47C13</stp>
        <tr r="M47" s="42"/>
      </tp>
      <tp t="e">
        <v>#N/A</v>
        <stp/>
        <stp>##V3_BDPV12</stp>
        <stp>EUBS30 Index</stp>
        <stp>PX_LAST</stp>
        <stp>[Live Pricing.xlsm]FX_Curve_Live!R49C13</stp>
        <tr r="M49" s="42"/>
      </tp>
      <tp t="e">
        <v>#N/A</v>
        <stp/>
        <stp>##V3_BDPV12</stp>
        <stp>BPBS15 Index</stp>
        <stp>PX_LAST</stp>
        <stp>[Live Pricing.xlsm]FX_Curve_Live!R94C13</stp>
        <tr r="M94" s="42"/>
      </tp>
      <tp t="e">
        <v>#N/A</v>
        <stp/>
        <stp>##V3_BDPV12</stp>
        <stp>BPBS25 Index</stp>
        <stp>PX_LAST</stp>
        <stp>[Live Pricing.xlsm]FX_Curve_Live!R98C13</stp>
        <tr r="M98" s="42"/>
      </tp>
      <tp t="e">
        <v>#N/A</v>
        <stp/>
        <stp>##V3_BDPV12</stp>
        <stp>JYSW11 Index</stp>
        <stp>PX_LAST</stp>
        <stp>[Live Pricing.xlsm]FX_Curve_Live!R65C6</stp>
        <tr r="F65" s="42"/>
      </tp>
      <tp t="e">
        <v>#N/A</v>
        <stp/>
        <stp>##V3_BDHV12</stp>
        <stp>SF0001M Index</stp>
        <stp>PX_LAST</stp>
        <stp>12/31/2018</stp>
        <stp>12/31/2018</stp>
        <stp>[Live Pricing.xlsm]Rate_History!R107C2</stp>
        <tr r="B107" s="49"/>
      </tp>
      <tp t="e">
        <v>#N/A</v>
        <stp/>
        <stp>##V3_BDHV12</stp>
        <stp>BCN1W BGN Curncy</stp>
        <stp>PX_LAST</stp>
        <stp>1/1/2019</stp>
        <stp>1/1/2019</stp>
        <stp>[Live Pricing.xlsm]FXFR!R4C4</stp>
        <tr r="D4" s="46"/>
      </tp>
      <tp t="e">
        <v>#N/A</v>
        <stp/>
        <stp>##V3_BDPV12</stp>
        <stp>USDKRW CMPN Curncy</stp>
        <stp>PX_LAST</stp>
        <stp>[Live Pricing.xlsm]FX_Live!R4C5</stp>
        <tr r="E4" s="44"/>
      </tp>
      <tp t="e">
        <v>#N/A</v>
        <stp/>
        <stp>##V3_BDPV12</stp>
        <stp>EUBS5 Index</stp>
        <stp>PX_LAST</stp>
        <stp>[Live Pricing.xlsm]FX_Curve_Live!R34C13</stp>
        <tr r="M34" s="42"/>
      </tp>
      <tp t="e">
        <v>#N/A</v>
        <stp/>
        <stp>##V3_BDPV12</stp>
        <stp>BPBS2 Index</stp>
        <stp>PX_LAST</stp>
        <stp>[Live Pricing.xlsm]FX_Curve_Live!R81C13</stp>
        <tr r="M81" s="42"/>
      </tp>
      <tp t="e">
        <v>#N/A</v>
        <stp/>
        <stp>##V3_BDPV12</stp>
        <stp>BPBS12 Index</stp>
        <stp>PX_LAST</stp>
        <stp>[Live Pricing.xlsm]FX_Curve_Live!R91C13</stp>
        <tr r="M91" s="42"/>
      </tp>
      <tp t="e">
        <v>#N/A</v>
        <stp/>
        <stp>##V3_BDPV12</stp>
        <stp>US0002m Index</stp>
        <stp>PX_LAST</stp>
        <stp>[Live Pricing.xlsm]FX_Curve_Live!R8C2</stp>
        <tr r="B8" s="42"/>
      </tp>
      <tp t="e">
        <v>#N/A</v>
        <stp/>
        <stp>##V3_BDPV12</stp>
        <stp>JYSW10 Index</stp>
        <stp>PX_LAST</stp>
        <stp>[Live Pricing.xlsm]FX_Curve_Live!R64C6</stp>
        <tr r="F64" s="42"/>
      </tp>
      <tp t="e">
        <v>#N/A</v>
        <stp/>
        <stp>##V3_BDPV12</stp>
        <stp>EUSA30 Index</stp>
        <stp>PX_LAST</stp>
        <stp>[Live Pricing.xlsm]FX_Curve_Live!R49C6</stp>
        <tr r="F49" s="42"/>
      </tp>
      <tp t="e">
        <v>#N/A</v>
        <stp/>
        <stp>##V3_BDPV12</stp>
        <stp>EUSA25 Index</stp>
        <stp>PX_LAST</stp>
        <stp>[Live Pricing.xlsm]FX_Curve_Live!R48C6</stp>
        <tr r="F48" s="42"/>
      </tp>
      <tp t="e">
        <v>#N/A</v>
        <stp/>
        <stp>##V3_BDPV12</stp>
        <stp>EUBS4 Index</stp>
        <stp>PX_LAST</stp>
        <stp>[Live Pricing.xlsm]FX_Curve_Live!R33C13</stp>
        <tr r="M33" s="42"/>
      </tp>
      <tp t="e">
        <v>#N/A</v>
        <stp/>
        <stp>##V3_BDHV12</stp>
        <stp>CORRRMIN Index</stp>
        <stp>PX_LAST</stp>
        <stp>12/31/2018</stp>
        <stp>12/31/2018</stp>
        <stp>[Live Pricing.xlsm]FX_Curve_History!R181C2</stp>
        <tr r="B181" s="50"/>
      </tp>
      <tp t="e">
        <v>#N/A</v>
        <stp/>
        <stp>##V3_BDPV12</stp>
        <stp>US0003m Index</stp>
        <stp>PX_LAST</stp>
        <stp>[Live Pricing.xlsm]FX_Curve_Live!R9C2</stp>
        <tr r="B9" s="42"/>
      </tp>
      <tp t="e">
        <v>#N/A</v>
        <stp/>
        <stp>##V3_BDHV12</stp>
        <stp>SF00S/N Index</stp>
        <stp>PX_LAST</stp>
        <stp>12/31/2018</stp>
        <stp>12/31/2018</stp>
        <stp>[Live Pricing.xlsm]Rate_History!R106C2</stp>
        <tr r="B106" s="49"/>
      </tp>
      <tp t="e">
        <v>#N/A</v>
        <stp/>
        <stp>##V3_BDPV12</stp>
        <stp>EUSWEC Curncy</stp>
        <stp>PX_LAST</stp>
        <stp>[Live Pricing.xlsm]Rate_Live!R31C2</stp>
        <tr r="B31" s="39"/>
      </tp>
      <tp t="e">
        <v>#N/A</v>
        <stp/>
        <stp>##V3_BDPV12</stp>
        <stp>JYSW13 Index</stp>
        <stp>PX_LAST</stp>
        <stp>[Live Pricing.xlsm]FX_Curve_Live!R67C6</stp>
        <tr r="F67" s="42"/>
      </tp>
      <tp t="e">
        <v>#N/A</v>
        <stp/>
        <stp>##V3_BDHV12</stp>
        <stp>HASWDI10Y Index</stp>
        <stp>PX_LAST</stp>
        <stp>12/31/2018</stp>
        <stp>12/31/2018</stp>
        <stp>[Live Pricing.xlsm]FX_Curve_History!R169C9</stp>
        <tr r="I169" s="50"/>
      </tp>
      <tp t="e">
        <v>#N/A</v>
        <stp/>
        <stp>##V3_BDPV12</stp>
        <stp>JYBS8 Index</stp>
        <stp>PX_LAST</stp>
        <stp>[Live Pricing.xlsm]FX_Curve_Live!R62C13</stp>
        <tr r="M62" s="42"/>
      </tp>
      <tp t="e">
        <v>#N/A</v>
        <stp/>
        <stp>##V3_BDPV12</stp>
        <stp>EUBS7 Index</stp>
        <stp>PX_LAST</stp>
        <stp>[Live Pricing.xlsm]FX_Curve_Live!R36C13</stp>
        <tr r="M36" s="42"/>
      </tp>
      <tp t="e">
        <v>#N/A</v>
        <stp/>
        <stp>##V3_BDPV12</stp>
        <stp>SFBS9 Index</stp>
        <stp>PX_LAST</stp>
        <stp>[Live Pricing.xlsm]FX_Curve_History!R113C13</stp>
        <tr r="M113" s="50"/>
      </tp>
      <tp t="e">
        <v>#N/A</v>
        <stp/>
        <stp>##V3_BDPV12</stp>
        <stp>HASWDI6M Index</stp>
        <stp>PX_LAST</stp>
        <stp>[Live Pricing.xlsm]Rate_Live!R160C2</stp>
        <tr r="B160" s="39"/>
      </tp>
      <tp t="e">
        <v>#N/A</v>
        <stp/>
        <stp>##V3_BDHV12</stp>
        <stp>USSW5 Index</stp>
        <stp>PX_LAST</stp>
        <stp>12/31/2018</stp>
        <stp>12/31/2018</stp>
        <stp>[Live Pricing.xlsm]FX_Curve_History!R9C6</stp>
        <tr r="F9" s="50"/>
      </tp>
      <tp t="e">
        <v>#N/A</v>
        <stp/>
        <stp>##V3_BDPV12</stp>
        <stp>EUBS15 Index</stp>
        <stp>PX_LAST</stp>
        <stp>[Live Pricing.xlsm]FX_Curve_Live!R44C13</stp>
        <tr r="M44" s="42"/>
      </tp>
      <tp t="e">
        <v>#N/A</v>
        <stp/>
        <stp>##V3_BDPV12</stp>
        <stp>EUBS25 Index</stp>
        <stp>PX_LAST</stp>
        <stp>[Live Pricing.xlsm]FX_Curve_Live!R48C13</stp>
        <tr r="M48" s="42"/>
      </tp>
      <tp t="e">
        <v>#N/A</v>
        <stp/>
        <stp>##V3_BDPV12</stp>
        <stp>BPBS20 Index</stp>
        <stp>PX_LAST</stp>
        <stp>[Live Pricing.xlsm]FX_Curve_Live!R97C13</stp>
        <tr r="M97" s="42"/>
      </tp>
      <tp t="e">
        <v>#N/A</v>
        <stp/>
        <stp>##V3_BDPV12</stp>
        <stp>BPBS10 Index</stp>
        <stp>PX_LAST</stp>
        <stp>[Live Pricing.xlsm]FX_Curve_Live!R89C13</stp>
        <tr r="M89" s="42"/>
      </tp>
      <tp t="e">
        <v>#N/A</v>
        <stp/>
        <stp>##V3_BDPV12</stp>
        <stp>JYSW12 Index</stp>
        <stp>PX_LAST</stp>
        <stp>[Live Pricing.xlsm]FX_Curve_Live!R66C6</stp>
        <tr r="F66" s="42"/>
      </tp>
      <tp t="e">
        <v>#N/A</v>
        <stp/>
        <stp>##V3_BDPV12</stp>
        <stp>JYSW30 Index</stp>
        <stp>PX_LAST</stp>
        <stp>[Live Pricing.xlsm]FX_Curve_Live!R74C6</stp>
        <tr r="F74" s="42"/>
      </tp>
      <tp t="e">
        <v>#N/A</v>
        <stp/>
        <stp>##V3_BDPV12</stp>
        <stp>EDM9 Comdty</stp>
        <stp>PX_LAST</stp>
        <stp>[Live Pricing.xlsm]Rate_Live!R9C4</stp>
        <tr r="D9" s="39"/>
      </tp>
      <tp t="e">
        <v>#N/A</v>
        <stp/>
        <stp>##V3_BDPV12</stp>
        <stp>EUSA10 Index</stp>
        <stp>PX_LAST</stp>
        <stp>[Live Pricing.xlsm]FX_Curve_Live!R39C6</stp>
        <tr r="F39" s="42"/>
      </tp>
      <tp t="e">
        <v>#N/A</v>
        <stp/>
        <stp>##V3_BDHV12</stp>
        <stp>HASWDI10Y Index</stp>
        <stp>PX_LAST</stp>
        <stp>12/31/2018</stp>
        <stp>12/31/2018</stp>
        <stp>[Live Pricing.xlsm]FX_Curve_History!R168C9</stp>
        <tr r="I168" s="50"/>
      </tp>
      <tp t="e">
        <v>#N/A</v>
        <stp/>
        <stp>##V3_BDPV12</stp>
        <stp>JYBS9 Index</stp>
        <stp>PX_LAST</stp>
        <stp>[Live Pricing.xlsm]FX_Curve_Live!R63C13</stp>
        <tr r="M63" s="42"/>
      </tp>
      <tp t="e">
        <v>#N/A</v>
        <stp/>
        <stp>##V3_BDPV12</stp>
        <stp>EUBS6 Index</stp>
        <stp>PX_LAST</stp>
        <stp>[Live Pricing.xlsm]FX_Curve_Live!R35C13</stp>
        <tr r="M35" s="42"/>
      </tp>
      <tp t="e">
        <v>#N/A</v>
        <stp/>
        <stp>##V3_BDPV12</stp>
        <stp>SFBS8 Index</stp>
        <stp>PX_LAST</stp>
        <stp>[Live Pricing.xlsm]FX_Curve_History!R112C13</stp>
        <tr r="M112" s="50"/>
      </tp>
      <tp t="e">
        <v>#N/A</v>
        <stp/>
        <stp>##V3_BDPV12</stp>
        <stp>HASWDI9M Index</stp>
        <stp>PX_LAST</stp>
        <stp>[Live Pricing.xlsm]Rate_Live!R161C2</stp>
        <tr r="B161" s="39"/>
      </tp>
      <tp t="e">
        <v>#N/A</v>
        <stp/>
        <stp>##V3_BDPV12</stp>
        <stp>JY0006M Index</stp>
        <stp>PX_LAST</stp>
        <stp>[Live Pricing.xlsm]FX_Curve_Live!R60C2</stp>
        <tr r="B60" s="42"/>
      </tp>
      <tp t="e">
        <v>#N/A</v>
        <stp/>
        <stp>##V3_BDPV12</stp>
        <stp>JY0001M Index</stp>
        <stp>PX_LAST</stp>
        <stp>[Live Pricing.xlsm]FX_Curve_Live!R57C2</stp>
        <tr r="B57" s="42"/>
      </tp>
      <tp t="e">
        <v>#N/A</v>
        <stp/>
        <stp>##V3_BDHV12</stp>
        <stp>USSW4 Index</stp>
        <stp>PX_LAST</stp>
        <stp>12/31/2018</stp>
        <stp>12/31/2018</stp>
        <stp>[Live Pricing.xlsm]FX_Curve_History!R8C6</stp>
        <tr r="F8" s="50"/>
      </tp>
      <tp t="e">
        <v>#N/A</v>
        <stp/>
        <stp>##V3_BDPV12</stp>
        <stp>BPBS11 Index</stp>
        <stp>PX_LAST</stp>
        <stp>[Live Pricing.xlsm]FX_Curve_Live!R90C13</stp>
        <tr r="M90" s="42"/>
      </tp>
      <tp t="e">
        <v>#N/A</v>
        <stp/>
        <stp>##V3_BDPV12</stp>
        <stp>USSW30 Index</stp>
        <stp>PX_LAST</stp>
        <stp>[Live Pricing.xlsm]FX_Curve_Live!R24C6</stp>
        <tr r="F24" s="42"/>
      </tp>
      <tp t="e">
        <v>#N/A</v>
        <stp/>
        <stp>##V3_BDPV12</stp>
        <stp>USSW12 Index</stp>
        <stp>PX_LAST</stp>
        <stp>[Live Pricing.xlsm]FX_Curve_Live!R16C6</stp>
        <tr r="F16" s="42"/>
      </tp>
      <tp t="e">
        <v>#N/A</v>
        <stp/>
        <stp>##V3_BDPV12</stp>
        <stp>USDTWD CMPN Curncy</stp>
        <stp>PX_LAST</stp>
        <stp>[Live Pricing.xlsm]FX_Live!R7C5</stp>
        <tr r="E7" s="44"/>
      </tp>
      <tp t="e">
        <v>#N/A</v>
        <stp/>
        <stp>##V3_BDHV12</stp>
        <stp>CLSWIB1F Index</stp>
        <stp>PX_LAST</stp>
        <stp>12/31/2018</stp>
        <stp>12/31/2018</stp>
        <stp>[Live Pricing.xlsm]FX_Curve_History!R187C2</stp>
        <tr r="B187" s="50"/>
      </tp>
      <tp t="e">
        <v>#N/A</v>
        <stp/>
        <stp>##V3_BDHV12</stp>
        <stp>CLSWIB20 Index</stp>
        <stp>PX_LAST</stp>
        <stp>12/31/2018</stp>
        <stp>12/31/2018</stp>
        <stp>[Live Pricing.xlsm]FX_Curve_History!R197C6</stp>
        <tr r="F197" s="50"/>
      </tp>
      <tp t="e">
        <v>#N/A</v>
        <stp/>
        <stp>##V3_BDHV12</stp>
        <stp>HASWDI6Y Index</stp>
        <stp>PX_LAST</stp>
        <stp>12/31/2018</stp>
        <stp>12/31/2018</stp>
        <stp>[Live Pricing.xlsm]FX_Curve_History!R161C9</stp>
        <tr r="I161" s="50"/>
      </tp>
      <tp t="e">
        <v>#N/A</v>
        <stp/>
        <stp>##V3_BDPV12</stp>
        <stp>CDBS7 Index</stp>
        <stp>PX_LAST</stp>
        <stp>[Live Pricing.xlsm]FX_Curve_History!R136C13</stp>
        <tr r="M136" s="50"/>
      </tp>
      <tp t="e">
        <v>#N/A</v>
        <stp/>
        <stp>##V3_BDHV12</stp>
        <stp>CABROVER Index</stp>
        <stp>PX_LAST</stp>
        <stp>12/31/2018</stp>
        <stp>12/31/2018</stp>
        <stp>[Live Pricing.xlsm]FX_Curve_History!R131C2</stp>
        <tr r="B131" s="50"/>
      </tp>
      <tp t="e">
        <v>#N/A</v>
        <stp/>
        <stp>##V3_BDPV12</stp>
        <stp>BPSW6 Index</stp>
        <stp>PX_LAST</stp>
        <stp>[Live Pricing.xlsm]Rate_Live!R85C6</stp>
        <tr r="F85" s="39"/>
      </tp>
      <tp t="e">
        <v>#N/A</v>
        <stp/>
        <stp>##V3_BDPV12</stp>
        <stp>JY00S/N Index</stp>
        <stp>PX_LAST</stp>
        <stp>[Live Pricing.xlsm]FX_Curve_Live!R56C2</stp>
        <tr r="B56" s="42"/>
      </tp>
      <tp t="e">
        <v>#N/A</v>
        <stp/>
        <stp>##V3_BDHV12</stp>
        <stp>CHF12M BGN Curncy</stp>
        <stp>PX_LAST</stp>
        <stp>1/1/2019</stp>
        <stp>1/1/2019</stp>
        <stp>[Live Pricing.xlsm]FXFR!R122C4</stp>
        <tr r="D122" s="46"/>
      </tp>
      <tp t="e">
        <v>#N/A</v>
        <stp/>
        <stp>##V3_BDPV12</stp>
        <stp>USSW13 Index</stp>
        <stp>PX_LAST</stp>
        <stp>[Live Pricing.xlsm]FX_Curve_Live!R17C6</stp>
        <tr r="F17" s="42"/>
      </tp>
      <tp t="e">
        <v>#N/A</v>
        <stp/>
        <stp>##V3_BDHV12</stp>
        <stp>HASWDI5Y Index</stp>
        <stp>PX_LAST</stp>
        <stp>12/31/2018</stp>
        <stp>12/31/2018</stp>
        <stp>[Live Pricing.xlsm]FX_Curve_History!R160C9</stp>
        <tr r="I160" s="50"/>
      </tp>
      <tp t="e">
        <v>#N/A</v>
        <stp/>
        <stp>##V3_BDPV12</stp>
        <stp>CDBS6 Index</stp>
        <stp>PX_LAST</stp>
        <stp>[Live Pricing.xlsm]FX_Curve_History!R135C13</stp>
        <tr r="M135" s="50"/>
      </tp>
      <tp t="e">
        <v>#N/A</v>
        <stp/>
        <stp>##V3_BDPV12</stp>
        <stp>BPSW5 Index</stp>
        <stp>PX_LAST</stp>
        <stp>[Live Pricing.xlsm]Rate_Live!R84C6</stp>
        <tr r="F84" s="39"/>
      </tp>
      <tp t="e">
        <v>#N/A</v>
        <stp/>
        <stp>##V3_BDPV12</stp>
        <stp>HASWDI6M Index</stp>
        <stp>PX_LAST</stp>
        <stp>[Live Pricing.xlsm]FX_Curve_Live!R160C22</stp>
        <tr r="V160" s="42"/>
      </tp>
      <tp t="e">
        <v>#N/A</v>
        <stp/>
        <stp>##V3_BDPV12</stp>
        <stp>HASWDI3M Index</stp>
        <stp>PX_LAST</stp>
        <stp>[Live Pricing.xlsm]FX_Curve_Live!R159C22</stp>
        <tr r="V159" s="42"/>
      </tp>
      <tp t="e">
        <v>#N/A</v>
        <stp/>
        <stp>##V3_BDPV12</stp>
        <stp>HASWDI1M Index</stp>
        <stp>PX_LAST</stp>
        <stp>[Live Pricing.xlsm]FX_Curve_Live!R157C22</stp>
        <tr r="V157" s="42"/>
      </tp>
      <tp t="e">
        <v>#N/A</v>
        <stp/>
        <stp>##V3_BDPV12</stp>
        <stp>HASWDI9M Index</stp>
        <stp>PX_LAST</stp>
        <stp>[Live Pricing.xlsm]FX_Curve_Live!R161C22</stp>
        <tr r="V161" s="42"/>
      </tp>
      <tp t="e">
        <v>#N/A</v>
        <stp/>
        <stp>##V3_BDPV12</stp>
        <stp>SFBS15 Index</stp>
        <stp>PX_LAST</stp>
        <stp>[Live Pricing.xlsm]FX_Curve_Live!R119C13</stp>
        <tr r="M119" s="42"/>
      </tp>
      <tp t="e">
        <v>#N/A</v>
        <stp/>
        <stp>##V3_BDPV12</stp>
        <stp>SFBS20 Index</stp>
        <stp>PX_LAST</stp>
        <stp>[Live Pricing.xlsm]FX_Curve_Live!R120C13</stp>
        <tr r="M120" s="42"/>
      </tp>
      <tp t="e">
        <v>#N/A</v>
        <stp/>
        <stp>##V3_BDPV12</stp>
        <stp>SFBS10 Index</stp>
        <stp>PX_LAST</stp>
        <stp>[Live Pricing.xlsm]FX_Curve_Live!R114C13</stp>
        <tr r="M114" s="42"/>
      </tp>
      <tp t="e">
        <v>#N/A</v>
        <stp/>
        <stp>##V3_BDPV12</stp>
        <stp>SFBS12 Index</stp>
        <stp>PX_LAST</stp>
        <stp>[Live Pricing.xlsm]FX_Curve_Live!R116C13</stp>
        <tr r="M116" s="42"/>
      </tp>
      <tp t="e">
        <v>#N/A</v>
        <stp/>
        <stp>##V3_BDPV12</stp>
        <stp>SFBS30 Index</stp>
        <stp>PX_LAST</stp>
        <stp>[Live Pricing.xlsm]FX_Curve_Live!R122C13</stp>
        <tr r="M122" s="42"/>
      </tp>
      <tp t="e">
        <v>#N/A</v>
        <stp/>
        <stp>##V3_BDPV12</stp>
        <stp>CDBS12 Index</stp>
        <stp>PX_LAST</stp>
        <stp>[Live Pricing.xlsm]FX_Curve_Live!R140C13</stp>
        <tr r="M140" s="42"/>
      </tp>
      <tp t="e">
        <v>#N/A</v>
        <stp/>
        <stp>##V3_BDPV12</stp>
        <stp>CDBS15 Index</stp>
        <stp>PX_LAST</stp>
        <stp>[Live Pricing.xlsm]FX_Curve_Live!R141C13</stp>
        <tr r="M141" s="42"/>
      </tp>
      <tp t="e">
        <v>#N/A</v>
        <stp/>
        <stp>##V3_BDPV12</stp>
        <stp>BPBS40 Index</stp>
        <stp>PX_LAST</stp>
        <stp>[Live Pricing.xlsm]FX_Curve_Live!R100C13</stp>
        <tr r="M100" s="42"/>
      </tp>
      <tp t="e">
        <v>#N/A</v>
        <stp/>
        <stp>##V3_BDPV12</stp>
        <stp>CDBS20 Index</stp>
        <stp>PX_LAST</stp>
        <stp>[Live Pricing.xlsm]FX_Curve_Live!R142C13</stp>
        <tr r="M142" s="42"/>
      </tp>
      <tp t="e">
        <v>#N/A</v>
        <stp/>
        <stp>##V3_BDPV12</stp>
        <stp>CDBS10 Index</stp>
        <stp>PX_LAST</stp>
        <stp>[Live Pricing.xlsm]FX_Curve_Live!R139C13</stp>
        <tr r="M139" s="42"/>
      </tp>
      <tp t="e">
        <v>#N/A</v>
        <stp/>
        <stp>##V3_BDPV12</stp>
        <stp>USSW10 Index</stp>
        <stp>PX_LAST</stp>
        <stp>[Live Pricing.xlsm]FX_Curve_Live!R14C6</stp>
        <tr r="F14" s="42"/>
      </tp>
      <tp t="e">
        <v>#N/A</v>
        <stp/>
        <stp>##V3_BDHV12</stp>
        <stp>HASWDI8Y Index</stp>
        <stp>PX_LAST</stp>
        <stp>12/31/2018</stp>
        <stp>12/31/2018</stp>
        <stp>[Live Pricing.xlsm]FX_Curve_History!R163C9</stp>
        <tr r="I163" s="50"/>
      </tp>
      <tp t="e">
        <v>#N/A</v>
        <stp/>
        <stp>##V3_BDPV12</stp>
        <stp>CDBS5 Index</stp>
        <stp>PX_LAST</stp>
        <stp>[Live Pricing.xlsm]FX_Curve_History!R134C13</stp>
        <tr r="M134" s="50"/>
      </tp>
      <tp t="e">
        <v>#N/A</v>
        <stp/>
        <stp>##V3_BDPV12</stp>
        <stp>HASWDI3Y Index</stp>
        <stp>PX_LAST</stp>
        <stp>[Live Pricing.xlsm]Rate_Live!R158C6</stp>
        <tr r="F158" s="39"/>
      </tp>
      <tp t="e">
        <v>#N/A</v>
        <stp/>
        <stp>##V3_BDPV12</stp>
        <stp>BPSW8 Index</stp>
        <stp>PX_LAST</stp>
        <stp>[Live Pricing.xlsm]Rate_Live!R87C6</stp>
        <tr r="F87" s="39"/>
      </tp>
      <tp t="e">
        <v>#N/A</v>
        <stp/>
        <stp>##V3_BDPV12</stp>
        <stp>JYSW3 Index</stp>
        <stp>PX_LAST</stp>
        <stp>[Live Pricing.xlsm]Rate_Live!R57C6</stp>
        <tr r="F57" s="39"/>
      </tp>
      <tp t="e">
        <v>#N/A</v>
        <stp/>
        <stp>##V3_BDHV12</stp>
        <stp>CAD12M BGN Curncy</stp>
        <stp>PX_LAST</stp>
        <stp>1/1/2019</stp>
        <stp>1/1/2019</stp>
        <stp>[Live Pricing.xlsm]FXFR!R100C4</stp>
        <tr r="D100" s="46"/>
      </tp>
      <tp t="e">
        <v>#N/A</v>
        <stp/>
        <stp>##V3_BDPV12</stp>
        <stp>USSW11 Index</stp>
        <stp>PX_LAST</stp>
        <stp>[Live Pricing.xlsm]FX_Curve_Live!R15C6</stp>
        <tr r="F15" s="42"/>
      </tp>
      <tp t="e">
        <v>#N/A</v>
        <stp/>
        <stp>##V3_BDPV12</stp>
        <stp>L H0 Comdty</stp>
        <stp>PX_LAST</stp>
        <stp>[Live Pricing.xlsm]FX_Curve_Live!R87C4</stp>
        <tr r="D87" s="42"/>
      </tp>
      <tp t="e">
        <v>#N/A</v>
        <stp/>
        <stp>##V3_BDPV12</stp>
        <stp>ERH0 Comdty</stp>
        <stp>PX_LAST</stp>
        <stp>[Live Pricing.xlsm]FX_Curve_Live!R37C4</stp>
        <tr r="D37" s="42"/>
      </tp>
      <tp t="e">
        <v>#N/A</v>
        <stp/>
        <stp>##V3_BDHV12</stp>
        <stp>CLSWIB15 Index</stp>
        <stp>PX_LAST</stp>
        <stp>12/31/2018</stp>
        <stp>12/31/2018</stp>
        <stp>[Live Pricing.xlsm]FX_Curve_History!R194C6</stp>
        <tr r="F194" s="50"/>
      </tp>
      <tp t="e">
        <v>#N/A</v>
        <stp/>
        <stp>##V3_BDHV12</stp>
        <stp>HASWDI7Y Index</stp>
        <stp>PX_LAST</stp>
        <stp>12/31/2018</stp>
        <stp>12/31/2018</stp>
        <stp>[Live Pricing.xlsm]FX_Curve_History!R162C9</stp>
        <tr r="I162" s="50"/>
      </tp>
      <tp t="e">
        <v>#N/A</v>
        <stp/>
        <stp>##V3_BDPV12</stp>
        <stp>CDBS4 Index</stp>
        <stp>PX_LAST</stp>
        <stp>[Live Pricing.xlsm]FX_Curve_History!R133C13</stp>
        <tr r="M133" s="50"/>
      </tp>
      <tp t="e">
        <v>#N/A</v>
        <stp/>
        <stp>##V3_BDPV12</stp>
        <stp>BPSW7 Index</stp>
        <stp>PX_LAST</stp>
        <stp>[Live Pricing.xlsm]Rate_Live!R86C6</stp>
        <tr r="F86" s="39"/>
      </tp>
      <tp t="e">
        <v>#N/A</v>
        <stp/>
        <stp>##V3_BDPV12</stp>
        <stp>HASWDI4Y Index</stp>
        <stp>PX_LAST</stp>
        <stp>[Live Pricing.xlsm]Rate_Live!R159C6</stp>
        <tr r="F159" s="39"/>
      </tp>
      <tp t="e">
        <v>#N/A</v>
        <stp/>
        <stp>##V3_BDPV12</stp>
        <stp>JYSW2 Index</stp>
        <stp>PX_LAST</stp>
        <stp>[Live Pricing.xlsm]Rate_Live!R56C6</stp>
        <tr r="F56" s="39"/>
      </tp>
      <tp t="e">
        <v>#N/A</v>
        <stp/>
        <stp>##V3_BDHV12</stp>
        <stp>CHF10Y BGN Curncy</stp>
        <stp>PX_LAST</stp>
        <stp>1/1/2019</stp>
        <stp>1/1/2019</stp>
        <stp>[Live Pricing.xlsm]FXFR!R131C4</stp>
        <tr r="D131" s="46"/>
      </tp>
      <tp t="e">
        <v>#N/A</v>
        <stp/>
        <stp>##V3_BDPV12</stp>
        <stp>YEM9 Comdty</stp>
        <stp>PX_LAST</stp>
        <stp>[Live Pricing.xlsm]FX_Curve_Live!R59C4</stp>
        <tr r="D59" s="42"/>
      </tp>
      <tp t="e">
        <v>#N/A</v>
        <stp/>
        <stp>##V3_BDHV12</stp>
        <stp>BCN2M BGN Curncy</stp>
        <stp>PX_LAST</stp>
        <stp>1/1/2019</stp>
        <stp>1/1/2019</stp>
        <stp>[Live Pricing.xlsm]FXFR!R6C4</stp>
        <tr r="D6" s="46"/>
      </tp>
      <tp t="e">
        <v>#N/A</v>
        <stp/>
        <stp>##V3_BDPV12</stp>
        <stp>BPBS1 curncy</stp>
        <stp>PX_LAST</stp>
        <stp>[Live Pricing.xlsm]FX_Curve_Live!R81C16</stp>
        <tr r="P81" s="42"/>
      </tp>
      <tp t="e">
        <v>#N/A</v>
        <stp/>
        <stp>##V3_BDPV12</stp>
        <stp>BPSW2 Index</stp>
        <stp>PX_LAST</stp>
        <stp>[Live Pricing.xlsm]Rate_Live!R81C6</stp>
        <tr r="F81" s="39"/>
      </tp>
      <tp t="e">
        <v>#N/A</v>
        <stp/>
        <stp>##V3_BDPV12</stp>
        <stp>JYSW7 Index</stp>
        <stp>PX_LAST</stp>
        <stp>[Live Pricing.xlsm]Rate_Live!R61C6</stp>
        <tr r="F61" s="39"/>
      </tp>
      <tp t="e">
        <v>#N/A</v>
        <stp/>
        <stp>##V3_BDPV12</stp>
        <stp>USSW7 Index</stp>
        <stp>PX_LAST</stp>
        <stp>[Live Pricing.xlsm]Rate_Live!R11C6</stp>
        <tr r="F11" s="39"/>
      </tp>
      <tp t="e">
        <v>#N/A</v>
        <stp/>
        <stp>##V3_BDPV12</stp>
        <stp>HASWDI10Y Index</stp>
        <stp>PX_LAST</stp>
        <stp>[Live Pricing.xlsm]Rate_Live!R165C6</stp>
        <tr r="F165" s="39"/>
      </tp>
      <tp t="e">
        <v>#N/A</v>
        <stp/>
        <stp>##V3_BDPV12</stp>
        <stp>YEH9 Comdty</stp>
        <stp>PX_LAST</stp>
        <stp>[Live Pricing.xlsm]FX_Curve_Live!R58C4</stp>
        <tr r="D58" s="42"/>
      </tp>
      <tp t="e">
        <v>#N/A</v>
        <stp/>
        <stp>##V3_BDHV12</stp>
        <stp>BCN3M BGN Curncy</stp>
        <stp>PX_LAST</stp>
        <stp>1/1/2019</stp>
        <stp>1/1/2019</stp>
        <stp>[Live Pricing.xlsm]FXFR!R7C4</stp>
        <tr r="D7" s="46"/>
      </tp>
      <tp t="e">
        <v>#N/A</v>
        <stp/>
        <stp>##V3_BDHV12</stp>
        <stp>HASWDI9Y Index</stp>
        <stp>PX_LAST</stp>
        <stp>12/31/2018</stp>
        <stp>12/31/2018</stp>
        <stp>[Live Pricing.xlsm]FX_Curve_History!R164C9</stp>
        <tr r="I164" s="50"/>
      </tp>
      <tp t="e">
        <v>#N/A</v>
        <stp/>
        <stp>##V3_BDPV12</stp>
        <stp>CDBS2 Index</stp>
        <stp>PX_LAST</stp>
        <stp>[Live Pricing.xlsm]FX_Curve_History!R131C13</stp>
        <tr r="M131" s="50"/>
      </tp>
      <tp t="e">
        <v>#N/A</v>
        <stp/>
        <stp>##V3_BDPV12</stp>
        <stp>CLSWIBI Index</stp>
        <stp>PX_LAST</stp>
        <stp>[Live Pricing.xlsm]Rate_Live!R185C2</stp>
        <tr r="B185" s="39"/>
      </tp>
      <tp t="e">
        <v>#N/A</v>
        <stp/>
        <stp>##V3_BDPV12</stp>
        <stp>JYSW6 Index</stp>
        <stp>PX_LAST</stp>
        <stp>[Live Pricing.xlsm]Rate_Live!R60C6</stp>
        <tr r="F60" s="39"/>
      </tp>
      <tp t="e">
        <v>#N/A</v>
        <stp/>
        <stp>##V3_BDPV12</stp>
        <stp>CABROVER Index</stp>
        <stp>PX_LAST</stp>
        <stp>[Live Pricing.xlsm]Rate_Live!R131C2</stp>
        <tr r="B131" s="39"/>
      </tp>
      <tp t="e">
        <v>#N/A</v>
        <stp/>
        <stp>##V3_BDPV12</stp>
        <stp>USSW6 Index</stp>
        <stp>PX_LAST</stp>
        <stp>[Live Pricing.xlsm]Rate_Live!R10C6</stp>
        <tr r="F10" s="39"/>
      </tp>
      <tp t="e">
        <v>#N/A</v>
        <stp/>
        <stp>##V3_BDPV12</stp>
        <stp>YEH0 Comdty</stp>
        <stp>PX_LAST</stp>
        <stp>[Live Pricing.xlsm]FX_Curve_Live!R62C4</stp>
        <tr r="D62" s="42"/>
      </tp>
      <tp t="e">
        <v>#N/A</v>
        <stp/>
        <stp>##V3_BDPV12</stp>
        <stp>USSW25 Index</stp>
        <stp>PX_LAST</stp>
        <stp>[Live Pricing.xlsm]FX_Curve_Live!R23C6</stp>
        <tr r="F23" s="42"/>
      </tp>
      <tp t="e">
        <v>#N/A</v>
        <stp/>
        <stp>##V3_BDPV12</stp>
        <stp>EDZ8 Comdty</stp>
        <stp>PX_LAST</stp>
        <stp>[Live Pricing.xlsm]Rate_Live!R7C4</stp>
        <tr r="D7" s="39"/>
      </tp>
      <tp t="e">
        <v>#N/A</v>
        <stp/>
        <stp>##V3_BDPV12</stp>
        <stp>USSW16 Index</stp>
        <stp>PX_LAST</stp>
        <stp>[Live Pricing.xlsm]FX_Curve_Live!R20C6</stp>
        <tr r="F20" s="42"/>
      </tp>
      <tp t="e">
        <v>#N/A</v>
        <stp/>
        <stp>##V3_BDPV12</stp>
        <stp>USSW40 Index</stp>
        <stp>PX_LAST</stp>
        <stp>[Live Pricing.xlsm]FX_Curve_Live!R25C6</stp>
        <tr r="F25" s="42"/>
      </tp>
      <tp t="e">
        <v>#N/A</v>
        <stp/>
        <stp>##V3_BDPV12</stp>
        <stp>EDH0 Comdty</stp>
        <stp>PX_LAST</stp>
        <stp>[Live Pricing.xlsm]FX_Curve_Live!R12C4</stp>
        <tr r="D12" s="42"/>
      </tp>
      <tp t="e">
        <v>#N/A</v>
        <stp/>
        <stp>##V3_BDHV12</stp>
        <stp>CLSWIB12 Index</stp>
        <stp>PX_LAST</stp>
        <stp>12/31/2018</stp>
        <stp>12/31/2018</stp>
        <stp>[Live Pricing.xlsm]FX_Curve_History!R191C6</stp>
        <tr r="F191" s="50"/>
      </tp>
      <tp t="e">
        <v>#N/A</v>
        <stp/>
        <stp>##V3_BDHV12</stp>
        <stp>HASWDI2Y Index</stp>
        <stp>PX_LAST</stp>
        <stp>12/31/2018</stp>
        <stp>12/31/2018</stp>
        <stp>[Live Pricing.xlsm]FX_Curve_History!R157C9</stp>
        <tr r="I157" s="50"/>
      </tp>
      <tp t="e">
        <v>#N/A</v>
        <stp/>
        <stp>##V3_BDPV12</stp>
        <stp>CDBS1 Index</stp>
        <stp>PX_LAST</stp>
        <stp>[Live Pricing.xlsm]FX_Curve_History!R131C16</stp>
        <tr r="P131" s="50"/>
      </tp>
      <tp t="e">
        <v>#N/A</v>
        <stp/>
        <stp>##V3_BDPV12</stp>
        <stp>BPSW4 Index</stp>
        <stp>PX_LAST</stp>
        <stp>[Live Pricing.xlsm]Rate_Live!R83C6</stp>
        <tr r="F83" s="39"/>
      </tp>
      <tp t="e">
        <v>#N/A</v>
        <stp/>
        <stp>##V3_BDPV12</stp>
        <stp>JYSW9 Index</stp>
        <stp>PX_LAST</stp>
        <stp>[Live Pricing.xlsm]Rate_Live!R63C6</stp>
        <tr r="F63" s="39"/>
      </tp>
      <tp t="e">
        <v>#N/A</v>
        <stp/>
        <stp>##V3_BDPV12</stp>
        <stp>USSW9 Index</stp>
        <stp>PX_LAST</stp>
        <stp>[Live Pricing.xlsm]Rate_Live!R13C6</stp>
        <tr r="F13" s="39"/>
      </tp>
      <tp t="e">
        <v>#N/A</v>
        <stp/>
        <stp>##V3_BDPV12</stp>
        <stp>BPBS40 Index</stp>
        <stp>PX_LAST</stp>
        <stp>[Live Pricing.xlsm]FX_Curve_History!R100C13</stp>
        <tr r="M100" s="50"/>
      </tp>
      <tp t="e">
        <v>#N/A</v>
        <stp/>
        <stp>##V3_BDHV12</stp>
        <stp>US0006m Index</stp>
        <stp>PX_LAST</stp>
        <stp>12/31/2018</stp>
        <stp>12/31/2018</stp>
        <stp>[Live Pricing.xlsm]Rate_History!R10C2</stp>
        <tr r="B10" s="49"/>
      </tp>
      <tp t="e">
        <v>#N/A</v>
        <stp/>
        <stp>##V3_BDPV12</stp>
        <stp>YEM0 Comdty</stp>
        <stp>PX_LAST</stp>
        <stp>[Live Pricing.xlsm]FX_Curve_Live!R63C4</stp>
        <tr r="D63" s="42"/>
      </tp>
      <tp t="e">
        <v>#N/A</v>
        <stp/>
        <stp>##V3_BDPV12</stp>
        <stp>USSW17 Index</stp>
        <stp>PX_LAST</stp>
        <stp>[Live Pricing.xlsm]FX_Curve_Live!R21C6</stp>
        <tr r="F21" s="42"/>
      </tp>
      <tp t="e">
        <v>#N/A</v>
        <stp/>
        <stp>##V3_BDPV12</stp>
        <stp>USSW20 Index</stp>
        <stp>PX_LAST</stp>
        <stp>[Live Pricing.xlsm]FX_Curve_Live!R22C6</stp>
        <tr r="F22" s="42"/>
      </tp>
      <tp t="e">
        <v>#N/A</v>
        <stp/>
        <stp>##V3_BDPV12</stp>
        <stp>EDM0 Comdty</stp>
        <stp>PX_LAST</stp>
        <stp>[Live Pricing.xlsm]FX_Curve_Live!R13C4</stp>
        <tr r="D13" s="42"/>
      </tp>
      <tp t="e">
        <v>#N/A</v>
        <stp/>
        <stp>##V3_BDHV12</stp>
        <stp>BCN1M BGN Curncy</stp>
        <stp>PX_LAST</stp>
        <stp>1/1/2019</stp>
        <stp>1/1/2019</stp>
        <stp>[Live Pricing.xlsm]FXFR!R5C4</stp>
        <tr r="D5" s="46"/>
      </tp>
      <tp t="e">
        <v>#N/A</v>
        <stp/>
        <stp>##V3_BDHV12</stp>
        <stp>HASWDI1Y Index</stp>
        <stp>PX_LAST</stp>
        <stp>12/31/2018</stp>
        <stp>12/31/2018</stp>
        <stp>[Live Pricing.xlsm]FX_Curve_History!R156C9</stp>
        <tr r="I156" s="50"/>
      </tp>
      <tp t="e">
        <v>#N/A</v>
        <stp/>
        <stp>##V3_BDPV12</stp>
        <stp>JYSW8 Index</stp>
        <stp>PX_LAST</stp>
        <stp>[Live Pricing.xlsm]Rate_Live!R62C6</stp>
        <tr r="F62" s="39"/>
      </tp>
      <tp t="e">
        <v>#N/A</v>
        <stp/>
        <stp>##V3_BDPV12</stp>
        <stp>BPSW3 Index</stp>
        <stp>PX_LAST</stp>
        <stp>[Live Pricing.xlsm]Rate_Live!R82C6</stp>
        <tr r="F82" s="39"/>
      </tp>
      <tp t="e">
        <v>#N/A</v>
        <stp/>
        <stp>##V3_BDPV12</stp>
        <stp>USSW8 Index</stp>
        <stp>PX_LAST</stp>
        <stp>[Live Pricing.xlsm]Rate_Live!R12C6</stp>
        <tr r="F12" s="39"/>
      </tp>
      <tp t="e">
        <v>#N/A</v>
        <stp/>
        <stp>##V3_BDHV12</stp>
        <stp>US0012m Index</stp>
        <stp>PX_LAST</stp>
        <stp>12/31/2018</stp>
        <stp>12/31/2018</stp>
        <stp>[Live Pricing.xlsm]Rate_History!R11C2</stp>
        <tr r="B11" s="49"/>
      </tp>
      <tp t="e">
        <v>#N/A</v>
        <stp/>
        <stp>##V3_BDPV12</stp>
        <stp>EDU8 Comdty</stp>
        <stp>PX_LAST</stp>
        <stp>[Live Pricing.xlsm]Rate_Live!R6C4</stp>
        <tr r="D6" s="39"/>
        <tr r="D6" s="39"/>
      </tp>
      <tp t="e">
        <v>#N/A</v>
        <stp/>
        <stp>##V3_BDPV12</stp>
        <stp>L U9 Comdty</stp>
        <stp>PX_LAST</stp>
        <stp>[Live Pricing.xlsm]FX_Curve_Live!R85C4</stp>
        <tr r="D85" s="42"/>
      </tp>
      <tp t="e">
        <v>#N/A</v>
        <stp/>
        <stp>##V3_BDPV12</stp>
        <stp>ERU9 Comdty</stp>
        <stp>PX_LAST</stp>
        <stp>[Live Pricing.xlsm]FX_Curve_Live!R35C4</stp>
        <tr r="D35" s="42"/>
      </tp>
      <tp t="e">
        <v>#N/A</v>
        <stp/>
        <stp>##V3_BDHV12</stp>
        <stp>HASWDI4Y Index</stp>
        <stp>PX_LAST</stp>
        <stp>12/31/2018</stp>
        <stp>12/31/2018</stp>
        <stp>[Live Pricing.xlsm]FX_Curve_History!R159C9</stp>
        <tr r="I159" s="50"/>
      </tp>
      <tp t="e">
        <v>#N/A</v>
        <stp/>
        <stp>##V3_BDHV12</stp>
        <stp>CDOR03 Index</stp>
        <stp>PX_LAST</stp>
        <stp>12/31/2018</stp>
        <stp>12/31/2018</stp>
        <stp>[Live Pricing.xlsm]FX_Curve_History!R134C2</stp>
        <tr r="B134" s="50"/>
      </tp>
      <tp t="e">
        <v>#N/A</v>
        <stp/>
        <stp>##V3_BDPV12</stp>
        <stp>JYSSTL2 index</stp>
        <stp>PX_LAST</stp>
        <stp>[Live Pricing.xlsm]Rate_Live!R58C14</stp>
        <tr r="N58" s="39"/>
      </tp>
      <tp t="e">
        <v>#N/A</v>
        <stp/>
        <stp>##V3_BDPV12</stp>
        <stp>HASWDI7Y Index</stp>
        <stp>PX_LAST</stp>
        <stp>[Live Pricing.xlsm]Rate_Live!R162C6</stp>
        <tr r="F162" s="39"/>
      </tp>
      <tp t="e">
        <v>#N/A</v>
        <stp/>
        <stp>##V3_BDPV12</stp>
        <stp>L M9 Comdty</stp>
        <stp>PX_LAST</stp>
        <stp>[Live Pricing.xlsm]FX_Curve_Live!R84C4</stp>
        <tr r="D84" s="42"/>
      </tp>
      <tp t="e">
        <v>#N/A</v>
        <stp/>
        <stp>##V3_BDPV12</stp>
        <stp>ERM9 Comdty</stp>
        <stp>PX_LAST</stp>
        <stp>[Live Pricing.xlsm]FX_Curve_Live!R34C4</stp>
        <tr r="D34" s="42"/>
      </tp>
      <tp t="e">
        <v>#N/A</v>
        <stp/>
        <stp>##V3_BDHV12</stp>
        <stp>HASWDI3Y Index</stp>
        <stp>PX_LAST</stp>
        <stp>12/31/2018</stp>
        <stp>12/31/2018</stp>
        <stp>[Live Pricing.xlsm]FX_Curve_History!R158C9</stp>
        <tr r="I158" s="50"/>
      </tp>
      <tp t="e">
        <v>#N/A</v>
        <stp/>
        <stp>##V3_BDHV12</stp>
        <stp>CDOR06 Index</stp>
        <stp>PX_LAST</stp>
        <stp>12/31/2018</stp>
        <stp>12/31/2018</stp>
        <stp>[Live Pricing.xlsm]FX_Curve_History!R135C2</stp>
        <tr r="B135" s="50"/>
      </tp>
      <tp t="e">
        <v>#N/A</v>
        <stp/>
        <stp>##V3_BDPV12</stp>
        <stp>HASWDI8Y Index</stp>
        <stp>PX_LAST</stp>
        <stp>[Live Pricing.xlsm]Rate_Live!R163C6</stp>
        <tr r="F163" s="39"/>
      </tp>
      <tp t="e">
        <v>#N/A</v>
        <stp/>
        <stp>##V3_BDPV12</stp>
        <stp>YEU8 Comdty</stp>
        <stp>PX_LAST</stp>
        <stp>[Live Pricing.xlsm]FX_Curve_Live!R56C4</stp>
        <tr r="D56" s="42"/>
      </tp>
      <tp t="e">
        <v>#N/A</v>
        <stp/>
        <stp>##V3_BDHV12</stp>
        <stp>BCN4M BGN Curncy</stp>
        <stp>PX_LAST</stp>
        <stp>1/1/2019</stp>
        <stp>1/1/2019</stp>
        <stp>[Live Pricing.xlsm]FXFR!R8C4</stp>
        <tr r="D8" s="46"/>
      </tp>
      <tp t="e">
        <v>#N/A</v>
        <stp/>
        <stp>##V3_BDHV12</stp>
        <stp>CDOR12 Index</stp>
        <stp>PX_LAST</stp>
        <stp>12/31/2018</stp>
        <stp>12/31/2018</stp>
        <stp>[Live Pricing.xlsm]FX_Curve_History!R136C2</stp>
        <tr r="B136" s="50"/>
      </tp>
      <tp t="e">
        <v>#N/A</v>
        <stp/>
        <stp>##V3_BDPV12</stp>
        <stp>CLSWIBA Index</stp>
        <stp>PX_LAST</stp>
        <stp>[Live Pricing.xlsm]Rate_Live!R182C2</stp>
        <tr r="B182" s="39"/>
      </tp>
      <tp t="e">
        <v>#N/A</v>
        <stp/>
        <stp>##V3_BDPV12</stp>
        <stp>HASWDI5Y Index</stp>
        <stp>PX_LAST</stp>
        <stp>[Live Pricing.xlsm]Rate_Live!R160C6</stp>
        <tr r="F160" s="39"/>
      </tp>
      <tp t="e">
        <v>#N/A</v>
        <stp/>
        <stp>##V3_BDPV12</stp>
        <stp>YEZ8 Comdty</stp>
        <stp>PX_LAST</stp>
        <stp>[Live Pricing.xlsm]FX_Curve_Live!R57C4</stp>
        <tr r="D57" s="42"/>
      </tp>
      <tp t="e">
        <v>#N/A</v>
        <stp/>
        <stp>##V3_BDPV12</stp>
        <stp>L Z9 Comdty</stp>
        <stp>PX_LAST</stp>
        <stp>[Live Pricing.xlsm]FX_Curve_Live!R86C4</stp>
        <tr r="D86" s="42"/>
      </tp>
      <tp t="e">
        <v>#N/A</v>
        <stp/>
        <stp>##V3_BDPV12</stp>
        <stp>ERZ9 Comdty</stp>
        <stp>PX_LAST</stp>
        <stp>[Live Pricing.xlsm]FX_Curve_Live!R36C4</stp>
        <tr r="D36" s="42"/>
      </tp>
      <tp t="e">
        <v>#N/A</v>
        <stp/>
        <stp>##V3_BDHV12</stp>
        <stp>BCN5M BGN Curncy</stp>
        <stp>PX_LAST</stp>
        <stp>1/1/2019</stp>
        <stp>1/1/2019</stp>
        <stp>[Live Pricing.xlsm]FXFR!R9C4</stp>
        <tr r="D9" s="46"/>
      </tp>
      <tp t="e">
        <v>#N/A</v>
        <stp/>
        <stp>##V3_BDPV12</stp>
        <stp>JYSSTL1 index</stp>
        <stp>PX_LAST</stp>
        <stp>[Live Pricing.xlsm]Rate_Live!R57C14</stp>
        <tr r="N57" s="39"/>
      </tp>
      <tp t="e">
        <v>#N/A</v>
        <stp/>
        <stp>##V3_BDHV12</stp>
        <stp>BLBS1 Curncy</stp>
        <stp>PX_LAST</stp>
        <stp>12/31/2018</stp>
        <stp>12/31/2018</stp>
        <stp>[Live Pricing.xlsm]FX_Curve_History!R156C16</stp>
        <tr r="P156" s="50"/>
      </tp>
      <tp t="e">
        <v>#N/A</v>
        <stp/>
        <stp>##V3_BDPV12</stp>
        <stp>HASWDI6Y Index</stp>
        <stp>PX_LAST</stp>
        <stp>[Live Pricing.xlsm]Rate_Live!R161C6</stp>
        <tr r="F161" s="39"/>
      </tp>
      <tp t="e">
        <v>#N/A</v>
        <stp/>
        <stp>##V3_BDHV12</stp>
        <stp>CAD10Y BGN Curncy</stp>
        <stp>PX_LAST</stp>
        <stp>1/1/2019</stp>
        <stp>1/1/2019</stp>
        <stp>[Live Pricing.xlsm]FXFR!R109C4</stp>
        <tr r="D109" s="46"/>
      </tp>
      <tp t="e">
        <v>#N/A</v>
        <stp/>
        <stp>##V3_BDPV12</stp>
        <stp>YEZ9 Comdty</stp>
        <stp>PX_LAST</stp>
        <stp>[Live Pricing.xlsm]FX_Curve_Live!R61C4</stp>
        <tr r="D61" s="42"/>
      </tp>
      <tp t="e">
        <v>#N/A</v>
        <stp/>
        <stp>##V3_BDPV12</stp>
        <stp>L M0 Comdty</stp>
        <stp>PX_LAST</stp>
        <stp>[Live Pricing.xlsm]FX_Curve_Live!R88C4</stp>
        <tr r="D88" s="42"/>
      </tp>
      <tp t="e">
        <v>#N/A</v>
        <stp/>
        <stp>##V3_BDPV12</stp>
        <stp>EDZ9 Comdty</stp>
        <stp>PX_LAST</stp>
        <stp>[Live Pricing.xlsm]FX_Curve_Live!R11C4</stp>
        <tr r="D11" s="42"/>
      </tp>
      <tp t="e">
        <v>#N/A</v>
        <stp/>
        <stp>##V3_BDPV12</stp>
        <stp>ERM0 Comdty</stp>
        <stp>PX_LAST</stp>
        <stp>[Live Pricing.xlsm]FX_Curve_Live!R38C4</stp>
        <tr r="D38" s="42"/>
      </tp>
      <tp t="e">
        <v>#N/A</v>
        <stp/>
        <stp>##V3_BDPV12</stp>
        <stp>JYSW5 Index</stp>
        <stp>PX_LAST</stp>
        <stp>[Live Pricing.xlsm]Rate_Live!R59C6</stp>
        <tr r="F59" s="39"/>
      </tp>
      <tp t="e">
        <v>#N/A</v>
        <stp/>
        <stp>##V3_BDPV12</stp>
        <stp>HASWDI1Y Index</stp>
        <stp>PX_LAST</stp>
        <stp>[Live Pricing.xlsm]Rate_Live!R156C6</stp>
        <tr r="F156" s="39"/>
      </tp>
      <tp t="e">
        <v>#N/A</v>
        <stp/>
        <stp>##V3_BDPV12</stp>
        <stp>YEU9 Comdty</stp>
        <stp>PX_LAST</stp>
        <stp>[Live Pricing.xlsm]FX_Curve_Live!R60C4</stp>
        <tr r="D60" s="42"/>
      </tp>
      <tp t="e">
        <v>#N/A</v>
        <stp/>
        <stp>##V3_BDPV12</stp>
        <stp>L U8 Comdty</stp>
        <stp>PX_LAST</stp>
        <stp>[Live Pricing.xlsm]FX_Curve_Live!R81C4</stp>
        <tr r="D81" s="42"/>
      </tp>
      <tp t="e">
        <v>#N/A</v>
        <stp/>
        <stp>##V3_BDPV12</stp>
        <stp>EDU9 Comdty</stp>
        <stp>PX_LAST</stp>
        <stp>[Live Pricing.xlsm]FX_Curve_Live!R10C4</stp>
        <tr r="D10" s="42"/>
      </tp>
      <tp t="e">
        <v>#N/A</v>
        <stp/>
        <stp>##V3_BDPV12</stp>
        <stp>ERU8 Comdty</stp>
        <stp>PX_LAST</stp>
        <stp>[Live Pricing.xlsm]FX_Curve_Live!R31C4</stp>
        <tr r="D31" s="42"/>
      </tp>
      <tp t="e">
        <v>#N/A</v>
        <stp/>
        <stp>##V3_BDPV12</stp>
        <stp>JYSW4 Index</stp>
        <stp>PX_LAST</stp>
        <stp>[Live Pricing.xlsm]Rate_Live!R58C6</stp>
        <tr r="F58" s="39"/>
      </tp>
      <tp t="e">
        <v>#N/A</v>
        <stp/>
        <stp>##V3_BDPV12</stp>
        <stp>HASWDI2Y Index</stp>
        <stp>PX_LAST</stp>
        <stp>[Live Pricing.xlsm]Rate_Live!R157C6</stp>
        <tr r="F157" s="39"/>
      </tp>
      <tp t="e">
        <v>#N/A</v>
        <stp/>
        <stp>##V3_BDPV12</stp>
        <stp>BPSW9 Index</stp>
        <stp>PX_LAST</stp>
        <stp>[Live Pricing.xlsm]Rate_Live!R88C6</stp>
        <tr r="F88" s="39"/>
      </tp>
      <tp t="e">
        <v>#N/A</v>
        <stp/>
        <stp>##V3_BDPV12</stp>
        <stp>US00o/n Index</stp>
        <stp>PX_LAST</stp>
        <stp>[Live Pricing.xlsm]Rate_Live!R6C2</stp>
        <tr r="B6" s="39"/>
      </tp>
      <tp t="e">
        <v>#N/A</v>
        <stp/>
        <stp>##V3_BDPV12</stp>
        <stp>USSW14 Index</stp>
        <stp>PX_LAST</stp>
        <stp>[Live Pricing.xlsm]FX_Curve_Live!R18C6</stp>
        <tr r="F18" s="42"/>
      </tp>
      <tp t="e">
        <v>#N/A</v>
        <stp/>
        <stp>##V3_BDPV12</stp>
        <stp>L H9 Comdty</stp>
        <stp>PX_LAST</stp>
        <stp>[Live Pricing.xlsm]FX_Curve_Live!R83C4</stp>
        <tr r="D83" s="42"/>
      </tp>
      <tp t="e">
        <v>#N/A</v>
        <stp/>
        <stp>##V3_BDPV12</stp>
        <stp>L Z8 Comdty</stp>
        <stp>PX_LAST</stp>
        <stp>[Live Pricing.xlsm]FX_Curve_Live!R82C4</stp>
        <tr r="D82" s="42"/>
      </tp>
      <tp t="e">
        <v>#N/A</v>
        <stp/>
        <stp>##V3_BDPV12</stp>
        <stp>ERH9 Comdty</stp>
        <stp>PX_LAST</stp>
        <stp>[Live Pricing.xlsm]FX_Curve_Live!R33C4</stp>
        <tr r="D33" s="42"/>
      </tp>
      <tp t="e">
        <v>#N/A</v>
        <stp/>
        <stp>##V3_BDPV12</stp>
        <stp>ERZ8 Comdty</stp>
        <stp>PX_LAST</stp>
        <stp>[Live Pricing.xlsm]FX_Curve_Live!R32C4</stp>
        <tr r="D32" s="42"/>
      </tp>
      <tp t="e">
        <v>#N/A</v>
        <stp/>
        <stp>##V3_BDHV12</stp>
        <stp>CLSWIB10 Index</stp>
        <stp>PX_LAST</stp>
        <stp>12/31/2018</stp>
        <stp>12/31/2018</stp>
        <stp>[Live Pricing.xlsm]FX_Curve_History!R189C6</stp>
        <tr r="F189" s="50"/>
      </tp>
      <tp t="e">
        <v>#N/A</v>
        <stp/>
        <stp>##V3_BDHV12</stp>
        <stp>CDOR01 Index</stp>
        <stp>PX_LAST</stp>
        <stp>12/31/2018</stp>
        <stp>12/31/2018</stp>
        <stp>[Live Pricing.xlsm]FX_Curve_History!R132C2</stp>
        <tr r="B132" s="50"/>
      </tp>
      <tp t="e">
        <v>#N/A</v>
        <stp/>
        <stp>##V3_BDPV12</stp>
        <stp>CDBS9 Index</stp>
        <stp>PX_LAST</stp>
        <stp>[Live Pricing.xlsm]FX_Curve_History!R138C13</stp>
        <tr r="M138" s="50"/>
      </tp>
      <tp t="e">
        <v>#N/A</v>
        <stp/>
        <stp>##V3_BDPV12</stp>
        <stp>CLSWIBC Index</stp>
        <stp>PX_LAST</stp>
        <stp>[Live Pricing.xlsm]Rate_Live!R184C2</stp>
        <tr r="B184" s="39"/>
      </tp>
      <tp t="e">
        <v>#N/A</v>
        <stp/>
        <stp>##V3_BDPV12</stp>
        <stp>HASWDI9Y Index</stp>
        <stp>PX_LAST</stp>
        <stp>[Live Pricing.xlsm]Rate_Live!R164C6</stp>
        <tr r="F164" s="39"/>
      </tp>
      <tp t="e">
        <v>#N/A</v>
        <stp/>
        <stp>##V3_BDPV12</stp>
        <stp>BP00O/N Index</stp>
        <stp>PX_LAST</stp>
        <stp>[Live Pricing.xlsm]FX_Curve_Live!R81C2</stp>
        <tr r="B81" s="42"/>
      </tp>
      <tp t="e">
        <v>#N/A</v>
        <stp/>
        <stp>##V3_BDPV12</stp>
        <stp>USSW15 Index</stp>
        <stp>PX_LAST</stp>
        <stp>[Live Pricing.xlsm]FX_Curve_Live!R19C6</stp>
        <tr r="F19" s="42"/>
      </tp>
      <tp t="e">
        <v>#N/A</v>
        <stp/>
        <stp>##V3_BDHV12</stp>
        <stp>CDOR02 Index</stp>
        <stp>PX_LAST</stp>
        <stp>12/31/2018</stp>
        <stp>12/31/2018</stp>
        <stp>[Live Pricing.xlsm]FX_Curve_History!R133C2</stp>
        <tr r="B133" s="50"/>
      </tp>
      <tp t="e">
        <v>#N/A</v>
        <stp/>
        <stp>##V3_BDPV12</stp>
        <stp>CDBS8 Index</stp>
        <stp>PX_LAST</stp>
        <stp>[Live Pricing.xlsm]FX_Curve_History!R137C13</stp>
        <tr r="M137" s="50"/>
      </tp>
      <tp t="e">
        <v>#N/A</v>
        <stp/>
        <stp>##V3_BDPV12</stp>
        <stp>USDSAR Curncy</stp>
        <stp>PX_LAST</stp>
        <stp>[Live Pricing.xlsm]FX_Live!R13C5</stp>
        <tr r="E13" s="44"/>
      </tp>
      <tp t="e">
        <v>#N/A</v>
        <stp/>
        <stp>##V3_BDHV12</stp>
        <stp>EDM0 Comdty</stp>
        <stp>PX_LAST</stp>
        <stp>12/31/2018</stp>
        <stp>12/31/2018</stp>
        <stp>[Live Pricing.xlsm]FX_Curve_History!R13C4</stp>
        <tr r="D13" s="50"/>
      </tp>
      <tp t="e">
        <v>#N/A</v>
        <stp/>
        <stp>##V3_BDPV12</stp>
        <stp>CDSW12 Index</stp>
        <stp>PX_LAST</stp>
        <stp>[Live Pricing.xlsm]Rate_Live!R140C6</stp>
        <tr r="F140" s="39"/>
      </tp>
      <tp t="e">
        <v>#N/A</v>
        <stp/>
        <stp>##V3_BDPV12</stp>
        <stp>CDSW20 Index</stp>
        <stp>PX_LAST</stp>
        <stp>[Live Pricing.xlsm]Rate_Live!R142C6</stp>
        <tr r="F142" s="39"/>
      </tp>
      <tp t="e">
        <v>#N/A</v>
        <stp/>
        <stp>##V3_BDPV12</stp>
        <stp>SFSW20 Index</stp>
        <stp>PX_LAST</stp>
        <stp>[Live Pricing.xlsm]Rate_Live!R120C6</stp>
        <tr r="F120" s="39"/>
      </tp>
      <tp t="e">
        <v>#N/A</v>
        <stp/>
        <stp>##V3_BDHV12</stp>
        <stp>ERH9 Comdty</stp>
        <stp>PX_LAST</stp>
        <stp>12/31/2018</stp>
        <stp>12/31/2018</stp>
        <stp>[Live Pricing.xlsm]FX_Curve_History!R33C4</stp>
        <tr r="D33" s="50"/>
      </tp>
      <tp t="e">
        <v>#N/A</v>
        <stp/>
        <stp>##V3_BDPV12</stp>
        <stp>BAZ9 Comdty</stp>
        <stp>PX_LAST</stp>
        <stp>[Live Pricing.xlsm]Rate_Live!R136C4</stp>
        <tr r="D136" s="39"/>
      </tp>
      <tp t="e">
        <v>#N/A</v>
        <stp/>
        <stp>##V3_BDHV12</stp>
        <stp>GBP10Y BGN Curncy</stp>
        <stp>PX_LAST</stp>
        <stp>1/1/2019</stp>
        <stp>1/1/2019</stp>
        <stp>[Live Pricing.xlsm]FXFR!R65C4</stp>
        <tr r="D65" s="46"/>
      </tp>
      <tp t="e">
        <v>#N/A</v>
        <stp/>
        <stp>##V3_BDHV12</stp>
        <stp>CDSW7 Index</stp>
        <stp>PX_LAST</stp>
        <stp>12/31/2018</stp>
        <stp>12/31/2018</stp>
        <stp>[Live Pricing.xlsm]Rate_History!R136C6</stp>
        <tr r="F136" s="49"/>
      </tp>
      <tp t="e">
        <v>#N/A</v>
        <stp/>
        <stp>##V3_BDPV12</stp>
        <stp>ESZ9 Comdty</stp>
        <stp>PX_LAST</stp>
        <stp>[Live Pricing.xlsm]Rate_Live!R111C4</stp>
        <tr r="D111" s="39"/>
      </tp>
      <tp t="e">
        <v>#N/A</v>
        <stp/>
        <stp>##V3_BDPV12</stp>
        <stp>SFSW6 Index</stp>
        <stp>PX_LAST</stp>
        <stp>[Live Pricing.xlsm]Rate_Live!R110C6</stp>
        <tr r="F110" s="39"/>
      </tp>
      <tp t="e">
        <v>#N/A</v>
        <stp/>
        <stp>##V3_BDPV12</stp>
        <stp>SFSW7 Index</stp>
        <stp>PX_LAST</stp>
        <stp>[Live Pricing.xlsm]Rate_Live!R111C6</stp>
        <tr r="F111" s="39"/>
      </tp>
      <tp t="e">
        <v>#N/A</v>
        <stp/>
        <stp>##V3_BDPV12</stp>
        <stp>CLSWIB2 Index</stp>
        <stp>PX_LAST</stp>
        <stp>[Live Pricing.xlsm]FX_Curve_Live!R181C6</stp>
        <tr r="F181" s="42"/>
      </tp>
      <tp t="e">
        <v>#N/A</v>
        <stp/>
        <stp>##V3_BDPV12</stp>
        <stp>CLSWIB6 Index</stp>
        <stp>PX_LAST</stp>
        <stp>[Live Pricing.xlsm]FX_Curve_Live!R185C6</stp>
        <tr r="F185" s="42"/>
      </tp>
      <tp t="e">
        <v>#N/A</v>
        <stp/>
        <stp>##V3_BDPV12</stp>
        <stp>CDOR01 Index</stp>
        <stp>PX_LAST</stp>
        <stp>[Live Pricing.xlsm]Rate_Live!R132C2</stp>
        <tr r="B132" s="39"/>
      </tp>
      <tp t="e">
        <v>#N/A</v>
        <stp/>
        <stp>##V3_BDPV12</stp>
        <stp>CDOR06 Index</stp>
        <stp>PX_LAST</stp>
        <stp>[Live Pricing.xlsm]Rate_Live!R135C2</stp>
        <tr r="B135" s="39"/>
      </tp>
      <tp t="e">
        <v>#N/A</v>
        <stp/>
        <stp>##V3_BDHV12</stp>
        <stp>EDH0 Comdty</stp>
        <stp>PX_LAST</stp>
        <stp>12/31/2018</stp>
        <stp>12/31/2018</stp>
        <stp>[Live Pricing.xlsm]FX_Curve_History!R12C4</stp>
        <tr r="D12" s="50"/>
      </tp>
      <tp t="e">
        <v>#N/A</v>
        <stp/>
        <stp>##V3_BDHV12</stp>
        <stp>ERZ8 Comdty</stp>
        <stp>PX_LAST</stp>
        <stp>12/31/2018</stp>
        <stp>12/31/2018</stp>
        <stp>[Live Pricing.xlsm]FX_Curve_History!R32C4</stp>
        <tr r="D32" s="50"/>
      </tp>
      <tp t="e">
        <v>#N/A</v>
        <stp/>
        <stp>##V3_BDPV12</stp>
        <stp>BAH0 Comdty</stp>
        <stp>PX_LAST</stp>
        <stp>[Live Pricing.xlsm]Rate_Live!R137C4</stp>
        <tr r="D137" s="39"/>
      </tp>
      <tp t="e">
        <v>#N/A</v>
        <stp/>
        <stp>##V3_BDHV12</stp>
        <stp>CDSW8 Index</stp>
        <stp>PX_LAST</stp>
        <stp>12/31/2018</stp>
        <stp>12/31/2018</stp>
        <stp>[Live Pricing.xlsm]Rate_History!R137C6</stp>
        <tr r="F137" s="49"/>
      </tp>
      <tp t="e">
        <v>#N/A</v>
        <stp/>
        <stp>##V3_BDPV12</stp>
        <stp>ESU9 Comdty</stp>
        <stp>PX_LAST</stp>
        <stp>[Live Pricing.xlsm]Rate_Live!R110C4</stp>
        <tr r="D110" s="39"/>
      </tp>
      <tp t="e">
        <v>#N/A</v>
        <stp/>
        <stp>##V3_BDHV12</stp>
        <stp>L M0 Comdty</stp>
        <stp>PX_LAST</stp>
        <stp>12/31/2018</stp>
        <stp>12/31/2018</stp>
        <stp>[Live Pricing.xlsm]FX_Curve_History!R88C4</stp>
        <tr r="D88" s="50"/>
      </tp>
      <tp t="e">
        <v>#N/A</v>
        <stp/>
        <stp>##V3_BDHV12</stp>
        <stp>EDZ9 Comdty</stp>
        <stp>PX_LAST</stp>
        <stp>12/31/2018</stp>
        <stp>12/31/2018</stp>
        <stp>[Live Pricing.xlsm]FX_Curve_History!R11C4</stp>
        <tr r="D11" s="50"/>
      </tp>
      <tp t="e">
        <v>#N/A</v>
        <stp/>
        <stp>##V3_BDPV12</stp>
        <stp>SFSW30 Index</stp>
        <stp>PX_LAST</stp>
        <stp>[Live Pricing.xlsm]Rate_Live!R122C6</stp>
        <tr r="F122" s="39"/>
      </tp>
      <tp t="e">
        <v>#N/A</v>
        <stp/>
        <stp>##V3_BDHV12</stp>
        <stp>ERU8 Comdty</stp>
        <stp>PX_LAST</stp>
        <stp>12/31/2018</stp>
        <stp>12/31/2018</stp>
        <stp>[Live Pricing.xlsm]FX_Curve_History!R31C4</stp>
        <tr r="D31" s="50"/>
      </tp>
      <tp t="e">
        <v>#N/A</v>
        <stp/>
        <stp>##V3_BDPV12</stp>
        <stp>BAM9 Comdty</stp>
        <stp>PX_LAST</stp>
        <stp>[Live Pricing.xlsm]Rate_Live!R134C4</stp>
        <tr r="D134" s="39"/>
      </tp>
      <tp t="e">
        <v>#N/A</v>
        <stp/>
        <stp>##V3_BDHV12</stp>
        <stp>SFSW2 Index</stp>
        <stp>PX_LAST</stp>
        <stp>12/31/2018</stp>
        <stp>12/31/2018</stp>
        <stp>[Live Pricing.xlsm]Rate_History!R106C6</stp>
        <tr r="F106" s="49"/>
      </tp>
      <tp t="e">
        <v>#N/A</v>
        <stp/>
        <stp>##V3_BDHV12</stp>
        <stp>CDSW5 Index</stp>
        <stp>PX_LAST</stp>
        <stp>12/31/2018</stp>
        <stp>12/31/2018</stp>
        <stp>[Live Pricing.xlsm]Rate_History!R134C6</stp>
        <tr r="F134" s="49"/>
      </tp>
      <tp t="e">
        <v>#N/A</v>
        <stp/>
        <stp>##V3_BDPV12</stp>
        <stp>ESM0 Comdty</stp>
        <stp>PX_LAST</stp>
        <stp>[Live Pricing.xlsm]Rate_Live!R113C4</stp>
        <tr r="D113" s="39"/>
      </tp>
      <tp t="e">
        <v>#N/A</v>
        <stp/>
        <stp>##V3_BDPV12</stp>
        <stp>SFSW2 Index</stp>
        <stp>PX_LAST</stp>
        <stp>[Live Pricing.xlsm]Rate_Live!R106C6</stp>
        <tr r="F106" s="39"/>
      </tp>
      <tp t="e">
        <v>#N/A</v>
        <stp/>
        <stp>##V3_BDPV12</stp>
        <stp>SFSW3 Index</stp>
        <stp>PX_LAST</stp>
        <stp>[Live Pricing.xlsm]Rate_Live!R107C6</stp>
        <tr r="F107" s="39"/>
      </tp>
      <tp t="e">
        <v>#N/A</v>
        <stp/>
        <stp>##V3_BDPV12</stp>
        <stp>CLSWIB3 Index</stp>
        <stp>PX_LAST</stp>
        <stp>[Live Pricing.xlsm]FX_Curve_Live!R182C6</stp>
        <tr r="F182" s="42"/>
      </tp>
      <tp t="e">
        <v>#N/A</v>
        <stp/>
        <stp>##V3_BDPV12</stp>
        <stp>CLSWIB5 Index</stp>
        <stp>PX_LAST</stp>
        <stp>[Live Pricing.xlsm]FX_Curve_Live!R184C6</stp>
        <tr r="F184" s="42"/>
      </tp>
      <tp t="e">
        <v>#N/A</v>
        <stp/>
        <stp>##V3_BDPV12</stp>
        <stp>CLSWIB7 Index</stp>
        <stp>PX_LAST</stp>
        <stp>[Live Pricing.xlsm]FX_Curve_Live!R186C6</stp>
        <tr r="F186" s="42"/>
      </tp>
      <tp t="e">
        <v>#N/A</v>
        <stp/>
        <stp>##V3_BDPV12</stp>
        <stp>CLSWIB9 Index</stp>
        <stp>PX_LAST</stp>
        <stp>[Live Pricing.xlsm]FX_Curve_Live!R188C6</stp>
        <tr r="F188" s="42"/>
      </tp>
      <tp t="e">
        <v>#N/A</v>
        <stp/>
        <stp>##V3_BDPV12</stp>
        <stp>CDOR02 Index</stp>
        <stp>PX_LAST</stp>
        <stp>[Live Pricing.xlsm]Rate_Live!R133C2</stp>
        <tr r="B133" s="39"/>
      </tp>
      <tp t="e">
        <v>#N/A</v>
        <stp/>
        <stp>##V3_BDHV12</stp>
        <stp>EDU9 Comdty</stp>
        <stp>PX_LAST</stp>
        <stp>12/31/2018</stp>
        <stp>12/31/2018</stp>
        <stp>[Live Pricing.xlsm]FX_Curve_History!R10C4</stp>
        <tr r="D10" s="50"/>
      </tp>
      <tp t="e">
        <v>#N/A</v>
        <stp/>
        <stp>##V3_BDPV12</stp>
        <stp>SFSW40 Index</stp>
        <stp>PX_LAST</stp>
        <stp>[Live Pricing.xlsm]Rate_Live!R123C6</stp>
        <tr r="F123" s="39"/>
      </tp>
      <tp t="e">
        <v>#N/A</v>
        <stp/>
        <stp>##V3_BDPV12</stp>
        <stp>BAU9 Comdty</stp>
        <stp>PX_LAST</stp>
        <stp>[Live Pricing.xlsm]Rate_Live!R135C4</stp>
        <tr r="D135" s="39"/>
      </tp>
      <tp t="e">
        <v>#N/A</v>
        <stp/>
        <stp>##V3_BDHV12</stp>
        <stp>GBP12M BGN Curncy</stp>
        <stp>PX_LAST</stp>
        <stp>1/1/2019</stp>
        <stp>1/1/2019</stp>
        <stp>[Live Pricing.xlsm]FXFR!R56C4</stp>
        <tr r="D56" s="46"/>
      </tp>
      <tp t="e">
        <v>#N/A</v>
        <stp/>
        <stp>##V3_BDHV12</stp>
        <stp>EUR12M BGN Curncy</stp>
        <stp>PX_LAST</stp>
        <stp>1/1/2019</stp>
        <stp>1/1/2019</stp>
        <stp>[Live Pricing.xlsm]FXFR!R34C4</stp>
        <tr r="D34" s="46"/>
      </tp>
      <tp t="e">
        <v>#N/A</v>
        <stp/>
        <stp>##V3_BDHV12</stp>
        <stp>SFSW3 Index</stp>
        <stp>PX_LAST</stp>
        <stp>12/31/2018</stp>
        <stp>12/31/2018</stp>
        <stp>[Live Pricing.xlsm]Rate_History!R107C6</stp>
        <tr r="F107" s="49"/>
      </tp>
      <tp t="e">
        <v>#N/A</v>
        <stp/>
        <stp>##V3_BDHV12</stp>
        <stp>CDSW6 Index</stp>
        <stp>PX_LAST</stp>
        <stp>12/31/2018</stp>
        <stp>12/31/2018</stp>
        <stp>[Live Pricing.xlsm]Rate_History!R135C6</stp>
        <tr r="F135" s="49"/>
      </tp>
      <tp t="e">
        <v>#N/A</v>
        <stp/>
        <stp>##V3_BDPV12</stp>
        <stp>ESH0 Comdty</stp>
        <stp>PX_LAST</stp>
        <stp>[Live Pricing.xlsm]Rate_Live!R112C4</stp>
        <tr r="D112" s="39"/>
      </tp>
      <tp t="e">
        <v>#N/A</v>
        <stp/>
        <stp>##V3_BDPV12</stp>
        <stp>CDSW25 Index</stp>
        <stp>PX_LAST</stp>
        <stp>[Live Pricing.xlsm]Rate_Live!R143C6</stp>
        <tr r="F143" s="39"/>
      </tp>
      <tp t="e">
        <v>#N/A</v>
        <stp/>
        <stp>##V3_BDPV12</stp>
        <stp>SFSW10 Index</stp>
        <stp>PX_LAST</stp>
        <stp>[Live Pricing.xlsm]Rate_Live!R114C6</stp>
        <tr r="F114" s="39"/>
      </tp>
      <tp t="e">
        <v>#N/A</v>
        <stp/>
        <stp>##V3_BDPV12</stp>
        <stp>SFSW11 Index</stp>
        <stp>PX_LAST</stp>
        <stp>[Live Pricing.xlsm]Rate_Live!R115C6</stp>
        <tr r="F115" s="39"/>
      </tp>
      <tp t="e">
        <v>#N/A</v>
        <stp/>
        <stp>##V3_BDPV12</stp>
        <stp>SFSW12 Index</stp>
        <stp>PX_LAST</stp>
        <stp>[Live Pricing.xlsm]Rate_Live!R116C6</stp>
        <tr r="F116" s="39"/>
      </tp>
      <tp t="e">
        <v>#N/A</v>
        <stp/>
        <stp>##V3_BDPV12</stp>
        <stp>SFSW13 Index</stp>
        <stp>PX_LAST</stp>
        <stp>[Live Pricing.xlsm]Rate_Live!R117C6</stp>
        <tr r="F117" s="39"/>
      </tp>
      <tp t="e">
        <v>#N/A</v>
        <stp/>
        <stp>##V3_BDPV12</stp>
        <stp>SFSW25 Index</stp>
        <stp>PX_LAST</stp>
        <stp>[Live Pricing.xlsm]Rate_Live!R121C6</stp>
        <tr r="F121" s="39"/>
      </tp>
      <tp t="e">
        <v>#N/A</v>
        <stp/>
        <stp>##V3_BDHV12</stp>
        <stp>ERH0 Comdty</stp>
        <stp>PX_LAST</stp>
        <stp>12/31/2018</stp>
        <stp>12/31/2018</stp>
        <stp>[Live Pricing.xlsm]FX_Curve_History!R37C4</stp>
        <tr r="D37" s="50"/>
      </tp>
      <tp t="e">
        <v>#N/A</v>
        <stp/>
        <stp>##V3_BDPV12</stp>
        <stp>BAZ8 Comdty</stp>
        <stp>PX_LAST</stp>
        <stp>[Live Pricing.xlsm]Rate_Live!R132C4</stp>
        <tr r="D132" s="39"/>
      </tp>
      <tp t="e">
        <v>#N/A</v>
        <stp/>
        <stp>##V3_BDHV12</stp>
        <stp>JPY12M BGN Curncy</stp>
        <stp>PX_LAST</stp>
        <stp>1/1/2019</stp>
        <stp>1/1/2019</stp>
        <stp>[Live Pricing.xlsm]FXFR!R78C4</stp>
        <tr r="D78" s="46"/>
      </tp>
      <tp t="e">
        <v>#N/A</v>
        <stp/>
        <stp>##V3_BDHV12</stp>
        <stp>EUR10Y BGN Curncy</stp>
        <stp>PX_LAST</stp>
        <stp>1/1/2019</stp>
        <stp>1/1/2019</stp>
        <stp>[Live Pricing.xlsm]FXFR!R43C4</stp>
        <tr r="D43" s="46"/>
      </tp>
      <tp t="e">
        <v>#N/A</v>
        <stp/>
        <stp>##V3_BDHV12</stp>
        <stp>SFSW6 Index</stp>
        <stp>PX_LAST</stp>
        <stp>12/31/2018</stp>
        <stp>12/31/2018</stp>
        <stp>[Live Pricing.xlsm]Rate_History!R110C6</stp>
        <tr r="F110" s="49"/>
      </tp>
      <tp t="e">
        <v>#N/A</v>
        <stp/>
        <stp>##V3_BDHV12</stp>
        <stp>CDSW3 Index</stp>
        <stp>PX_LAST</stp>
        <stp>12/31/2018</stp>
        <stp>12/31/2018</stp>
        <stp>[Live Pricing.xlsm]Rate_History!R132C6</stp>
        <tr r="F132" s="49"/>
      </tp>
      <tp t="e">
        <v>#N/A</v>
        <stp/>
        <stp>##V3_BDHV12</stp>
        <stp>HASWDI3M Index</stp>
        <stp>PX_LAST</stp>
        <stp>12/31/2018</stp>
        <stp>12/31/2018</stp>
        <stp>[Live Pricing.xlsm]FX_Curve_History!R159C22</stp>
        <tr r="V159" s="50"/>
      </tp>
      <tp t="e">
        <v>#N/A</v>
        <stp/>
        <stp>##V3_BDHV12</stp>
        <stp>HASWDI2M Index</stp>
        <stp>PX_LAST</stp>
        <stp>12/31/2018</stp>
        <stp>12/31/2018</stp>
        <stp>[Live Pricing.xlsm]FX_Curve_History!R158C22</stp>
        <tr r="V158" s="50"/>
      </tp>
      <tp t="e">
        <v>#N/A</v>
        <stp/>
        <stp>##V3_BDHV12</stp>
        <stp>HASWDI1M Index</stp>
        <stp>PX_LAST</stp>
        <stp>12/31/2018</stp>
        <stp>12/31/2018</stp>
        <stp>[Live Pricing.xlsm]FX_Curve_History!R157C22</stp>
        <tr r="V157" s="50"/>
      </tp>
      <tp t="e">
        <v>#N/A</v>
        <stp/>
        <stp>##V3_BDHV12</stp>
        <stp>HASWDI6M Index</stp>
        <stp>PX_LAST</stp>
        <stp>12/31/2018</stp>
        <stp>12/31/2018</stp>
        <stp>[Live Pricing.xlsm]FX_Curve_History!R160C22</stp>
        <tr r="V160" s="50"/>
      </tp>
      <tp t="e">
        <v>#N/A</v>
        <stp/>
        <stp>##V3_BDHV12</stp>
        <stp>HASWDI9M Index</stp>
        <stp>PX_LAST</stp>
        <stp>12/31/2018</stp>
        <stp>12/31/2018</stp>
        <stp>[Live Pricing.xlsm]FX_Curve_History!R161C22</stp>
        <tr r="V161" s="50"/>
      </tp>
      <tp t="e">
        <v>#N/A</v>
        <stp/>
        <stp>##V3_BDPV12</stp>
        <stp>CLSWIB1 Index</stp>
        <stp>PX_LAST</stp>
        <stp>[Live Pricing.xlsm]FX_Curve_Live!R186C2</stp>
        <tr r="B186" s="42"/>
      </tp>
      <tp t="e">
        <v>#N/A</v>
        <stp/>
        <stp>##V3_BDPV12</stp>
        <stp>CLSWIB4 Index</stp>
        <stp>PX_LAST</stp>
        <stp>[Live Pricing.xlsm]FX_Curve_Live!R183C6</stp>
        <tr r="F183" s="42"/>
      </tp>
      <tp t="e">
        <v>#N/A</v>
        <stp/>
        <stp>##V3_BDHV12</stp>
        <stp>USSW6 Index</stp>
        <stp>PX_LAST</stp>
        <stp>12/31/2018</stp>
        <stp>12/31/2018</stp>
        <stp>[Live Pricing.xlsm]FX_Curve_History!R10C6</stp>
        <tr r="F10" s="50"/>
      </tp>
      <tp t="e">
        <v>#N/A</v>
        <stp/>
        <stp>##V3_BDHV12</stp>
        <stp>USSW7 Index</stp>
        <stp>PX_LAST</stp>
        <stp>12/31/2018</stp>
        <stp>12/31/2018</stp>
        <stp>[Live Pricing.xlsm]FX_Curve_History!R11C6</stp>
        <tr r="F11" s="50"/>
      </tp>
      <tp t="e">
        <v>#N/A</v>
        <stp/>
        <stp>##V3_BDPV12</stp>
        <stp>CDOR03 Index</stp>
        <stp>PX_LAST</stp>
        <stp>[Live Pricing.xlsm]Rate_Live!R134C2</stp>
        <tr r="B134" s="39"/>
      </tp>
      <tp t="e">
        <v>#N/A</v>
        <stp/>
        <stp>##V3_BDHV12</stp>
        <stp>ERZ9 Comdty</stp>
        <stp>PX_LAST</stp>
        <stp>12/31/2018</stp>
        <stp>12/31/2018</stp>
        <stp>[Live Pricing.xlsm]FX_Curve_History!R36C4</stp>
        <tr r="D36" s="50"/>
      </tp>
      <tp t="e">
        <v>#N/A</v>
        <stp/>
        <stp>##V3_BDPV12</stp>
        <stp>BAH9 Comdty</stp>
        <stp>PX_LAST</stp>
        <stp>[Live Pricing.xlsm]Rate_Live!R133C4</stp>
        <tr r="D133" s="39"/>
      </tp>
      <tp t="e">
        <v>#N/A</v>
        <stp/>
        <stp>##V3_BDHV12</stp>
        <stp>SFSW7 Index</stp>
        <stp>PX_LAST</stp>
        <stp>12/31/2018</stp>
        <stp>12/31/2018</stp>
        <stp>[Live Pricing.xlsm]Rate_History!R111C6</stp>
        <tr r="F111" s="49"/>
      </tp>
      <tp t="e">
        <v>#N/A</v>
        <stp/>
        <stp>##V3_BDHV12</stp>
        <stp>CDSW4 Index</stp>
        <stp>PX_LAST</stp>
        <stp>12/31/2018</stp>
        <stp>12/31/2018</stp>
        <stp>[Live Pricing.xlsm]Rate_History!R133C6</stp>
        <tr r="F133" s="49"/>
      </tp>
      <tp t="e">
        <v>#N/A</v>
        <stp/>
        <stp>##V3_BDHV12</stp>
        <stp>ESH9 Comdty</stp>
        <stp>PX_LAST</stp>
        <stp>12/31/2018</stp>
        <stp>12/31/2018</stp>
        <stp>[Live Pricing.xlsm]FX_Curve_History!R108C4</stp>
        <tr r="D108" s="50"/>
      </tp>
      <tp t="e">
        <v>#N/A</v>
        <stp/>
        <stp>##V3_BDPV12</stp>
        <stp>CDOR12 Index</stp>
        <stp>PX_LAST</stp>
        <stp>[Live Pricing.xlsm]Rate_Live!R136C2</stp>
        <tr r="B136" s="39"/>
      </tp>
      <tp t="e">
        <v>#N/A</v>
        <stp/>
        <stp>##V3_BDPV12</stp>
        <stp>CDSW15 Index</stp>
        <stp>PX_LAST</stp>
        <stp>[Live Pricing.xlsm]Rate_Live!R141C6</stp>
        <tr r="F141" s="39"/>
      </tp>
      <tp t="e">
        <v>#N/A</v>
        <stp/>
        <stp>##V3_BDPV12</stp>
        <stp>CDSW30 Index</stp>
        <stp>PX_LAST</stp>
        <stp>[Live Pricing.xlsm]Rate_Live!R144C6</stp>
        <tr r="F144" s="39"/>
      </tp>
      <tp t="e">
        <v>#N/A</v>
        <stp/>
        <stp>##V3_BDHV12</stp>
        <stp>BLBS20 Index</stp>
        <stp>PX_LAST</stp>
        <stp>12/31/2018</stp>
        <stp>12/31/2018</stp>
        <stp>[Live Pricing.xlsm]FX_Curve_History!R172C13</stp>
        <tr r="M172" s="50"/>
      </tp>
      <tp t="e">
        <v>#N/A</v>
        <stp/>
        <stp>##V3_BDHV12</stp>
        <stp>BLBS15 Index</stp>
        <stp>PX_LAST</stp>
        <stp>12/31/2018</stp>
        <stp>12/31/2018</stp>
        <stp>[Live Pricing.xlsm]FX_Curve_History!R169C13</stp>
        <tr r="M169" s="50"/>
      </tp>
      <tp t="e">
        <v>#N/A</v>
        <stp/>
        <stp>##V3_BDHV12</stp>
        <stp>BLBS14 Index</stp>
        <stp>PX_LAST</stp>
        <stp>12/31/2018</stp>
        <stp>12/31/2018</stp>
        <stp>[Live Pricing.xlsm]FX_Curve_History!R168C13</stp>
        <tr r="M168" s="50"/>
      </tp>
      <tp t="e">
        <v>#N/A</v>
        <stp/>
        <stp>##V3_BDHV12</stp>
        <stp>BLBS16 Index</stp>
        <stp>PX_LAST</stp>
        <stp>12/31/2018</stp>
        <stp>12/31/2018</stp>
        <stp>[Live Pricing.xlsm]FX_Curve_History!R170C13</stp>
        <tr r="M170" s="50"/>
      </tp>
      <tp t="e">
        <v>#N/A</v>
        <stp/>
        <stp>##V3_BDHV12</stp>
        <stp>BLBS17 Index</stp>
        <stp>PX_LAST</stp>
        <stp>12/31/2018</stp>
        <stp>12/31/2018</stp>
        <stp>[Live Pricing.xlsm]FX_Curve_History!R171C13</stp>
        <tr r="M171" s="50"/>
      </tp>
      <tp t="e">
        <v>#N/A</v>
        <stp/>
        <stp>##V3_BDHV12</stp>
        <stp>BLBS11 Index</stp>
        <stp>PX_LAST</stp>
        <stp>12/31/2018</stp>
        <stp>12/31/2018</stp>
        <stp>[Live Pricing.xlsm]FX_Curve_History!R165C13</stp>
        <tr r="M165" s="50"/>
      </tp>
      <tp t="e">
        <v>#N/A</v>
        <stp/>
        <stp>##V3_BDHV12</stp>
        <stp>BLBS10 Index</stp>
        <stp>PX_LAST</stp>
        <stp>12/31/2018</stp>
        <stp>12/31/2018</stp>
        <stp>[Live Pricing.xlsm]FX_Curve_History!R164C13</stp>
        <tr r="M164" s="50"/>
      </tp>
      <tp t="e">
        <v>#N/A</v>
        <stp/>
        <stp>##V3_BDHV12</stp>
        <stp>BLBS13 Index</stp>
        <stp>PX_LAST</stp>
        <stp>12/31/2018</stp>
        <stp>12/31/2018</stp>
        <stp>[Live Pricing.xlsm]FX_Curve_History!R167C13</stp>
        <tr r="M167" s="50"/>
      </tp>
      <tp t="e">
        <v>#N/A</v>
        <stp/>
        <stp>##V3_BDHV12</stp>
        <stp>BLBS12 Index</stp>
        <stp>PX_LAST</stp>
        <stp>12/31/2018</stp>
        <stp>12/31/2018</stp>
        <stp>[Live Pricing.xlsm]FX_Curve_History!R166C13</stp>
        <tr r="M166" s="50"/>
      </tp>
      <tp t="e">
        <v>#N/A</v>
        <stp/>
        <stp>##V3_BDHV12</stp>
        <stp>ERU9 Comdty</stp>
        <stp>PX_LAST</stp>
        <stp>12/31/2018</stp>
        <stp>12/31/2018</stp>
        <stp>[Live Pricing.xlsm]FX_Curve_History!R35C4</stp>
        <tr r="D35" s="50"/>
      </tp>
      <tp t="e">
        <v>#N/A</v>
        <stp/>
        <stp>##V3_BDHV12</stp>
        <stp>SFSW8 Index</stp>
        <stp>PX_LAST</stp>
        <stp>12/31/2018</stp>
        <stp>12/31/2018</stp>
        <stp>[Live Pricing.xlsm]Rate_History!R112C6</stp>
        <tr r="F112" s="49"/>
      </tp>
      <tp t="e">
        <v>#N/A</v>
        <stp/>
        <stp>##V3_BDPV12</stp>
        <stp>ESZ8 Comdty</stp>
        <stp>PX_LAST</stp>
        <stp>[Live Pricing.xlsm]Rate_Live!R107C4</stp>
        <tr r="D107" s="39"/>
      </tp>
      <tp t="e">
        <v>#N/A</v>
        <stp/>
        <stp>##V3_BDHV12</stp>
        <stp>ESM9 Comdty</stp>
        <stp>PX_LAST</stp>
        <stp>12/31/2018</stp>
        <stp>12/31/2018</stp>
        <stp>[Live Pricing.xlsm]FX_Curve_History!R109C4</stp>
        <tr r="D109" s="50"/>
      </tp>
      <tp t="e">
        <v>#N/A</v>
        <stp/>
        <stp>##V3_BDPV12</stp>
        <stp>CDSW40 Index</stp>
        <stp>PX_LAST</stp>
        <stp>[Live Pricing.xlsm]Rate_Live!R145C6</stp>
        <tr r="F145" s="39"/>
      </tp>
      <tp t="e">
        <v>#N/A</v>
        <stp/>
        <stp>##V3_BDHV12</stp>
        <stp>ERM9 Comdty</stp>
        <stp>PX_LAST</stp>
        <stp>12/31/2018</stp>
        <stp>12/31/2018</stp>
        <stp>[Live Pricing.xlsm]FX_Curve_History!R34C4</stp>
        <tr r="D34" s="50"/>
      </tp>
      <tp t="e">
        <v>#N/A</v>
        <stp/>
        <stp>##V3_BDPV12</stp>
        <stp>BAU8 Comdty</stp>
        <stp>PX_LAST</stp>
        <stp>[Live Pricing.xlsm]Rate_Live!R131C4</stp>
        <tr r="D131" s="39"/>
      </tp>
      <tp t="e">
        <v>#N/A</v>
        <stp/>
        <stp>##V3_BDHV12</stp>
        <stp>SFSW9 Index</stp>
        <stp>PX_LAST</stp>
        <stp>12/31/2018</stp>
        <stp>12/31/2018</stp>
        <stp>[Live Pricing.xlsm]Rate_History!R113C6</stp>
        <tr r="F113" s="49"/>
      </tp>
      <tp t="e">
        <v>#N/A</v>
        <stp/>
        <stp>##V3_BDHV12</stp>
        <stp>CDSW2 Index</stp>
        <stp>PX_LAST</stp>
        <stp>12/31/2018</stp>
        <stp>12/31/2018</stp>
        <stp>[Live Pricing.xlsm]Rate_History!R131C6</stp>
        <tr r="F131" s="49"/>
      </tp>
      <tp t="e">
        <v>#N/A</v>
        <stp/>
        <stp>##V3_BDPV12</stp>
        <stp>ESU8 Comdty</stp>
        <stp>PX_LAST</stp>
        <stp>[Live Pricing.xlsm]Rate_Live!R106C4</stp>
        <tr r="D106" s="39"/>
      </tp>
      <tp t="e">
        <v>#N/A</v>
        <stp/>
        <stp>##V3_BDHV12</stp>
        <stp>ESU8 Comdty</stp>
        <stp>PX_LAST</stp>
        <stp>12/31/2018</stp>
        <stp>12/31/2018</stp>
        <stp>[Live Pricing.xlsm]FX_Curve_History!R106C4</stp>
        <tr r="D106" s="50"/>
      </tp>
      <tp t="e">
        <v>#N/A</v>
        <stp/>
        <stp>##V3_BDHV12</stp>
        <stp>L Z8 Comdty</stp>
        <stp>PX_LAST</stp>
        <stp>12/31/2018</stp>
        <stp>12/31/2018</stp>
        <stp>[Live Pricing.xlsm]FX_Curve_History!R82C4</stp>
        <tr r="D82" s="50"/>
      </tp>
      <tp t="e">
        <v>#N/A</v>
        <stp/>
        <stp>##V3_BDHV12</stp>
        <stp>US00o/n Index</stp>
        <stp>PX_LAST</stp>
        <stp>12/31/2018</stp>
        <stp>12/31/2018</stp>
        <stp>[Live Pricing.xlsm]Rate_History!R6C2</stp>
        <tr r="B6" s="49"/>
      </tp>
      <tp t="e">
        <v>#N/A</v>
        <stp/>
        <stp>##V3_BDPV12</stp>
        <stp>ESM9 Comdty</stp>
        <stp>PX_LAST</stp>
        <stp>[Live Pricing.xlsm]Rate_Live!R109C4</stp>
        <tr r="D109" s="39"/>
      </tp>
      <tp t="e">
        <v>#N/A</v>
        <stp/>
        <stp>##V3_BDHV12</stp>
        <stp>ESZ8 Comdty</stp>
        <stp>PX_LAST</stp>
        <stp>12/31/2018</stp>
        <stp>12/31/2018</stp>
        <stp>[Live Pricing.xlsm]FX_Curve_History!R107C4</stp>
        <tr r="D107" s="50"/>
      </tp>
      <tp t="e">
        <v>#N/A</v>
        <stp/>
        <stp>##V3_BDHV12</stp>
        <stp>USSW8 Index</stp>
        <stp>PX_LAST</stp>
        <stp>12/31/2018</stp>
        <stp>12/31/2018</stp>
        <stp>[Live Pricing.xlsm]FX_Curve_History!R12C6</stp>
        <tr r="F12" s="50"/>
      </tp>
      <tp t="e">
        <v>#N/A</v>
        <stp/>
        <stp>##V3_BDHV12</stp>
        <stp>USSW9 Index</stp>
        <stp>PX_LAST</stp>
        <stp>12/31/2018</stp>
        <stp>12/31/2018</stp>
        <stp>[Live Pricing.xlsm]FX_Curve_History!R13C6</stp>
        <tr r="F13" s="50"/>
      </tp>
      <tp t="e">
        <v>#N/A</v>
        <stp/>
        <stp>##V3_BDHV12</stp>
        <stp>L H9 Comdty</stp>
        <stp>PX_LAST</stp>
        <stp>12/31/2018</stp>
        <stp>12/31/2018</stp>
        <stp>[Live Pricing.xlsm]FX_Curve_History!R83C4</stp>
        <tr r="D83" s="50"/>
      </tp>
      <tp t="e">
        <v>#N/A</v>
        <stp/>
        <stp>##V3_BDPV12</stp>
        <stp>ESH9 Comdty</stp>
        <stp>PX_LAST</stp>
        <stp>[Live Pricing.xlsm]Rate_Live!R108C4</stp>
        <tr r="D108" s="39"/>
      </tp>
      <tp t="e">
        <v>#N/A</v>
        <stp/>
        <stp>##V3_BDPV12</stp>
        <stp>SFSW4 Index</stp>
        <stp>PX_LAST</stp>
        <stp>[Live Pricing.xlsm]Rate_Live!R108C6</stp>
        <tr r="F108" s="39"/>
      </tp>
      <tp t="e">
        <v>#N/A</v>
        <stp/>
        <stp>##V3_BDPV12</stp>
        <stp>SFSW5 Index</stp>
        <stp>PX_LAST</stp>
        <stp>[Live Pricing.xlsm]Rate_Live!R109C6</stp>
        <tr r="F109" s="39"/>
      </tp>
      <tp t="e">
        <v>#N/A</v>
        <stp/>
        <stp>##V3_BDHV12</stp>
        <stp>L U8 Comdty</stp>
        <stp>PX_LAST</stp>
        <stp>12/31/2018</stp>
        <stp>12/31/2018</stp>
        <stp>[Live Pricing.xlsm]FX_Curve_History!R81C4</stp>
        <tr r="D81" s="50"/>
      </tp>
      <tp t="e">
        <v>#N/A</v>
        <stp/>
        <stp>##V3_BDPV12</stp>
        <stp>CDSW10 Index</stp>
        <stp>PX_LAST</stp>
        <stp>[Live Pricing.xlsm]Rate_Live!R139C6</stp>
        <tr r="F139" s="39"/>
      </tp>
      <tp t="e">
        <v>#N/A</v>
        <stp/>
        <stp>##V3_BDHV12</stp>
        <stp>ERM0 Comdty</stp>
        <stp>PX_LAST</stp>
        <stp>12/31/2018</stp>
        <stp>12/31/2018</stp>
        <stp>[Live Pricing.xlsm]FX_Curve_History!R38C4</stp>
        <tr r="D38" s="50"/>
      </tp>
      <tp t="e">
        <v>#N/A</v>
        <stp/>
        <stp>##V3_BDHV12</stp>
        <stp>JPY10Y BGN Curncy</stp>
        <stp>PX_LAST</stp>
        <stp>1/1/2019</stp>
        <stp>1/1/2019</stp>
        <stp>[Live Pricing.xlsm]FXFR!R87C4</stp>
        <tr r="D87" s="46"/>
      </tp>
      <tp t="e">
        <v>#N/A</v>
        <stp/>
        <stp>##V3_BDHV12</stp>
        <stp>ESH0 Comdty</stp>
        <stp>PX_LAST</stp>
        <stp>12/31/2018</stp>
        <stp>12/31/2018</stp>
        <stp>[Live Pricing.xlsm]FX_Curve_History!R112C4</stp>
        <tr r="D112" s="50"/>
      </tp>
      <tp t="e">
        <v>#N/A</v>
        <stp/>
        <stp>##V3_BDHV12</stp>
        <stp>L Z9 Comdty</stp>
        <stp>PX_LAST</stp>
        <stp>12/31/2018</stp>
        <stp>12/31/2018</stp>
        <stp>[Live Pricing.xlsm]FX_Curve_History!R86C4</stp>
        <tr r="D86" s="50"/>
      </tp>
      <tp t="e">
        <v>#N/A</v>
        <stp/>
        <stp>##V3_BDPV12</stp>
        <stp>SFSW14 Index</stp>
        <stp>PX_LAST</stp>
        <stp>[Live Pricing.xlsm]Rate_Live!R118C6</stp>
        <tr r="F118" s="39"/>
      </tp>
      <tp t="e">
        <v>#N/A</v>
        <stp/>
        <stp>##V3_BDPV12</stp>
        <stp>SFSW15 Index</stp>
        <stp>PX_LAST</stp>
        <stp>[Live Pricing.xlsm]Rate_Live!R119C6</stp>
        <tr r="F119" s="39"/>
      </tp>
      <tp t="e">
        <v>#N/A</v>
        <stp/>
        <stp>##V3_BDHV12</stp>
        <stp>SFSW4 Index</stp>
        <stp>PX_LAST</stp>
        <stp>12/31/2018</stp>
        <stp>12/31/2018</stp>
        <stp>[Live Pricing.xlsm]Rate_History!R108C6</stp>
        <tr r="F108" s="49"/>
      </tp>
      <tp t="e">
        <v>#N/A</v>
        <stp/>
        <stp>##V3_BDPV12</stp>
        <stp>SFSW8 Index</stp>
        <stp>PX_LAST</stp>
        <stp>[Live Pricing.xlsm]Rate_Live!R112C6</stp>
        <tr r="F112" s="39"/>
      </tp>
      <tp t="e">
        <v>#N/A</v>
        <stp/>
        <stp>##V3_BDPV12</stp>
        <stp>SFSW9 Index</stp>
        <stp>PX_LAST</stp>
        <stp>[Live Pricing.xlsm]Rate_Live!R113C6</stp>
        <tr r="F113" s="39"/>
      </tp>
      <tp t="e">
        <v>#N/A</v>
        <stp/>
        <stp>##V3_BDPV12</stp>
        <stp>CLSWIB8 Index</stp>
        <stp>PX_LAST</stp>
        <stp>[Live Pricing.xlsm]FX_Curve_Live!R187C6</stp>
        <tr r="F187" s="42"/>
      </tp>
      <tp t="e">
        <v>#N/A</v>
        <stp/>
        <stp>##V3_BDHV12</stp>
        <stp>ESM0 Comdty</stp>
        <stp>PX_LAST</stp>
        <stp>12/31/2018</stp>
        <stp>12/31/2018</stp>
        <stp>[Live Pricing.xlsm]FX_Curve_History!R113C4</stp>
        <tr r="D113" s="50"/>
      </tp>
      <tp t="e">
        <v>#N/A</v>
        <stp/>
        <stp>##V3_BDHV12</stp>
        <stp>L H0 Comdty</stp>
        <stp>PX_LAST</stp>
        <stp>12/31/2018</stp>
        <stp>12/31/2018</stp>
        <stp>[Live Pricing.xlsm]FX_Curve_History!R87C4</stp>
        <tr r="D87" s="50"/>
      </tp>
      <tp t="e">
        <v>#N/A</v>
        <stp/>
        <stp>##V3_BDHV12</stp>
        <stp>SFSW5 Index</stp>
        <stp>PX_LAST</stp>
        <stp>12/31/2018</stp>
        <stp>12/31/2018</stp>
        <stp>[Live Pricing.xlsm]Rate_History!R109C6</stp>
        <tr r="F109" s="49"/>
      </tp>
      <tp t="e">
        <v>#N/A</v>
        <stp/>
        <stp>##V3_BDHV12</stp>
        <stp>ESU9 Comdty</stp>
        <stp>PX_LAST</stp>
        <stp>12/31/2018</stp>
        <stp>12/31/2018</stp>
        <stp>[Live Pricing.xlsm]FX_Curve_History!R110C4</stp>
        <tr r="D110" s="50"/>
      </tp>
      <tp t="e">
        <v>#N/A</v>
        <stp/>
        <stp>##V3_BDHV12</stp>
        <stp>L M9 Comdty</stp>
        <stp>PX_LAST</stp>
        <stp>12/31/2018</stp>
        <stp>12/31/2018</stp>
        <stp>[Live Pricing.xlsm]FX_Curve_History!R84C4</stp>
        <tr r="D84" s="50"/>
      </tp>
      <tp t="e">
        <v>#N/A</v>
        <stp/>
        <stp>##V3_BDPV12</stp>
        <stp>BAM0 Comdty</stp>
        <stp>PX_LAST</stp>
        <stp>[Live Pricing.xlsm]Rate_Live!R138C4</stp>
        <tr r="D138" s="39"/>
      </tp>
      <tp t="e">
        <v>#N/A</v>
        <stp/>
        <stp>##V3_BDHV12</stp>
        <stp>CDSW9 Index</stp>
        <stp>PX_LAST</stp>
        <stp>12/31/2018</stp>
        <stp>12/31/2018</stp>
        <stp>[Live Pricing.xlsm]Rate_History!R138C6</stp>
        <tr r="F138" s="49"/>
      </tp>
      <tp t="e">
        <v>#N/A</v>
        <stp/>
        <stp>##V3_BDHV12</stp>
        <stp>ESZ9 Comdty</stp>
        <stp>PX_LAST</stp>
        <stp>12/31/2018</stp>
        <stp>12/31/2018</stp>
        <stp>[Live Pricing.xlsm]FX_Curve_History!R111C4</stp>
        <tr r="D111" s="50"/>
      </tp>
      <tp t="e">
        <v>#N/A</v>
        <stp/>
        <stp>##V3_BDHV12</stp>
        <stp>L U9 Comdty</stp>
        <stp>PX_LAST</stp>
        <stp>12/31/2018</stp>
        <stp>12/31/2018</stp>
        <stp>[Live Pricing.xlsm]FX_Curve_History!R85C4</stp>
        <tr r="D85" s="50"/>
      </tp>
      <tp t="e">
        <v>#N/A</v>
        <stp/>
        <stp>##V3_BDHV12</stp>
        <stp>EDU8 Comdty</stp>
        <stp>PX_LAST</stp>
        <stp>12/31/2018</stp>
        <stp>12/31/2018</stp>
        <stp>[Live Pricing.xlsm]Rate_History!R6C4</stp>
        <tr r="D6" s="49"/>
        <tr r="D6" s="49"/>
      </tp>
      <tp t="e">
        <v>#N/A</v>
        <stp/>
        <stp>##V3_BDPV12</stp>
        <stp>CDSW4 Index</stp>
        <stp>PX_LAST</stp>
        <stp>[Live Pricing.xlsm]Rate_Live!R133C6</stp>
        <tr r="F133" s="39"/>
      </tp>
      <tp t="e">
        <v>#N/A</v>
        <stp/>
        <stp>##V3_BDHV12</stp>
        <stp>JYSW4 Index</stp>
        <stp>PX_LAST</stp>
        <stp>12/31/2018</stp>
        <stp>12/31/2018</stp>
        <stp>[Live Pricing.xlsm]FX_Curve_History!R58C6</stp>
        <tr r="F58" s="50"/>
      </tp>
      <tp t="e">
        <v>#N/A</v>
        <stp/>
        <stp>##V3_BDHV12</stp>
        <stp>JYSW5 Index</stp>
        <stp>PX_LAST</stp>
        <stp>12/31/2018</stp>
        <stp>12/31/2018</stp>
        <stp>[Live Pricing.xlsm]FX_Curve_History!R59C6</stp>
        <tr r="F59" s="50"/>
      </tp>
      <tp t="e">
        <v>#N/A</v>
        <stp/>
        <stp>##V3_BDHV12</stp>
        <stp>EUSA2 Index</stp>
        <stp>PX_LAST</stp>
        <stp>12/31/2018</stp>
        <stp>12/31/2018</stp>
        <stp>[Live Pricing.xlsm]FX_Curve_History!R31C6</stp>
        <tr r="F31" s="50"/>
      </tp>
      <tp t="e">
        <v>#N/A</v>
        <stp/>
        <stp>##V3_BDHV12</stp>
        <stp>EUSA6 Index</stp>
        <stp>PX_LAST</stp>
        <stp>12/31/2018</stp>
        <stp>12/31/2018</stp>
        <stp>[Live Pricing.xlsm]FX_Curve_History!R35C6</stp>
        <tr r="F35" s="50"/>
      </tp>
      <tp t="e">
        <v>#N/A</v>
        <stp/>
        <stp>##V3_BDHV12</stp>
        <stp>EUSA11 Index</stp>
        <stp>PX_LAST</stp>
        <stp>12/31/2018</stp>
        <stp>12/31/2018</stp>
        <stp>[Live Pricing.xlsm]FX_Curve_History!R40C6</stp>
        <tr r="F40" s="50"/>
      </tp>
      <tp t="e">
        <v>#N/A</v>
        <stp/>
        <stp>##V3_BDHV12</stp>
        <stp>EUSA13 Index</stp>
        <stp>PX_LAST</stp>
        <stp>12/31/2018</stp>
        <stp>12/31/2018</stp>
        <stp>[Live Pricing.xlsm]FX_Curve_History!R42C6</stp>
        <tr r="F42" s="50"/>
      </tp>
      <tp t="e">
        <v>#N/A</v>
        <stp/>
        <stp>##V3_BDHV12</stp>
        <stp>EUSA15 Index</stp>
        <stp>PX_LAST</stp>
        <stp>12/31/2018</stp>
        <stp>12/31/2018</stp>
        <stp>[Live Pricing.xlsm]FX_Curve_History!R44C6</stp>
        <tr r="F44" s="50"/>
      </tp>
      <tp t="e">
        <v>#N/A</v>
        <stp/>
        <stp>##V3_BDHV12</stp>
        <stp>EUSA17 Index</stp>
        <stp>PX_LAST</stp>
        <stp>12/31/2018</stp>
        <stp>12/31/2018</stp>
        <stp>[Live Pricing.xlsm]FX_Curve_History!R46C6</stp>
        <tr r="F46" s="50"/>
      </tp>
      <tp t="e">
        <v>#N/A</v>
        <stp/>
        <stp>##V3_BDHV12</stp>
        <stp>BP0012M Index</stp>
        <stp>PX_LAST</stp>
        <stp>12/31/2018</stp>
        <stp>12/31/2018</stp>
        <stp>[Live Pricing.xlsm]Rate_History!R86C2</stp>
        <tr r="B86" s="49"/>
      </tp>
      <tp t="e">
        <v>#N/A</v>
        <stp/>
        <stp>##V3_BDHV12</stp>
        <stp>EDZ8 Comdty</stp>
        <stp>PX_LAST</stp>
        <stp>12/31/2018</stp>
        <stp>12/31/2018</stp>
        <stp>[Live Pricing.xlsm]Rate_History!R7C4</stp>
        <tr r="D7" s="49"/>
      </tp>
      <tp t="e">
        <v>#N/A</v>
        <stp/>
        <stp>##V3_BDHV12</stp>
        <stp>EUR012m Index</stp>
        <stp>PX_LAST</stp>
        <stp>12/31/2018</stp>
        <stp>12/31/2018</stp>
        <stp>[Live Pricing.xlsm]FX_Curve_History!R36C2</stp>
        <tr r="B36" s="50"/>
      </tp>
      <tp t="e">
        <v>#N/A</v>
        <stp/>
        <stp>##V3_BDPV12</stp>
        <stp>CLSWIB10 Index</stp>
        <stp>PX_LAST</stp>
        <stp>[Live Pricing.xlsm]FX_Curve_Live!R189C6</stp>
        <tr r="F189" s="42"/>
      </tp>
      <tp t="e">
        <v>#N/A</v>
        <stp/>
        <stp>##V3_BDHV12</stp>
        <stp>EUSA40 Index</stp>
        <stp>PX_LAST</stp>
        <stp>12/31/2018</stp>
        <stp>12/31/2018</stp>
        <stp>[Live Pricing.xlsm]FX_Curve_History!R50C6</stp>
        <tr r="F50" s="50"/>
      </tp>
      <tp t="e">
        <v>#N/A</v>
        <stp/>
        <stp>##V3_BDHV12</stp>
        <stp>JYSW14 Index</stp>
        <stp>PX_LAST</stp>
        <stp>12/31/2018</stp>
        <stp>12/31/2018</stp>
        <stp>[Live Pricing.xlsm]FX_Curve_History!R68C6</stp>
        <tr r="F68" s="50"/>
      </tp>
      <tp t="e">
        <v>#N/A</v>
        <stp/>
        <stp>##V3_BDHV12</stp>
        <stp>JYSW15 Index</stp>
        <stp>PX_LAST</stp>
        <stp>12/31/2018</stp>
        <stp>12/31/2018</stp>
        <stp>[Live Pricing.xlsm]FX_Curve_History!R69C6</stp>
        <tr r="F69" s="50"/>
      </tp>
      <tp t="e">
        <v>#N/A</v>
        <stp/>
        <stp>##V3_BDHV12</stp>
        <stp>USSW25 Index</stp>
        <stp>PX_LAST</stp>
        <stp>12/31/2018</stp>
        <stp>12/31/2018</stp>
        <stp>[Live Pricing.xlsm]FX_Curve_History!R23C6</stp>
        <tr r="F23" s="50"/>
      </tp>
      <tp t="e">
        <v>#N/A</v>
        <stp/>
        <stp>##V3_BDHV12</stp>
        <stp>USSW16 Index</stp>
        <stp>PX_LAST</stp>
        <stp>12/31/2018</stp>
        <stp>12/31/2018</stp>
        <stp>[Live Pricing.xlsm]FX_Curve_History!R20C6</stp>
        <tr r="F20" s="50"/>
        <tr r="F20" s="50"/>
      </tp>
      <tp t="e">
        <v>#N/A</v>
        <stp/>
        <stp>##V3_BDHV12</stp>
        <stp>USSW17 Index</stp>
        <stp>PX_LAST</stp>
        <stp>12/31/2018</stp>
        <stp>12/31/2018</stp>
        <stp>[Live Pricing.xlsm]FX_Curve_History!R21C6</stp>
        <tr r="F21" s="50"/>
        <tr r="F21" s="50"/>
      </tp>
      <tp t="e">
        <v>#N/A</v>
        <stp/>
        <stp>##V3_BDHV12</stp>
        <stp>JY0001M Index</stp>
        <stp>PX_LAST</stp>
        <stp>12/31/2018</stp>
        <stp>12/31/2018</stp>
        <stp>[Live Pricing.xlsm]Rate_History!R57C2</stp>
        <tr r="B57" s="49"/>
      </tp>
      <tp t="e">
        <v>#N/A</v>
        <stp/>
        <stp>##V3_BDPV12</stp>
        <stp>USDCAD Curncy</stp>
        <stp>PX_LAST</stp>
        <stp>[Live Pricing.xlsm]FX_Live!R11C5</stp>
        <tr r="E11" s="44"/>
      </tp>
      <tp t="e">
        <v>#N/A</v>
        <stp/>
        <stp>##V3_BDHV12</stp>
        <stp>EUR006m Index</stp>
        <stp>PX_LAST</stp>
        <stp>12/31/2018</stp>
        <stp>12/31/2018</stp>
        <stp>[Live Pricing.xlsm]FX_Curve_History!R35C2</stp>
        <tr r="B35" s="50"/>
      </tp>
      <tp t="e">
        <v>#N/A</v>
        <stp/>
        <stp>##V3_BDHV12</stp>
        <stp>EUSA3 Index</stp>
        <stp>PX_LAST</stp>
        <stp>12/31/2018</stp>
        <stp>12/31/2018</stp>
        <stp>[Live Pricing.xlsm]FX_Curve_History!R32C6</stp>
        <tr r="F32" s="50"/>
      </tp>
      <tp t="e">
        <v>#N/A</v>
        <stp/>
        <stp>##V3_BDHV12</stp>
        <stp>EUSA5 Index</stp>
        <stp>PX_LAST</stp>
        <stp>12/31/2018</stp>
        <stp>12/31/2018</stp>
        <stp>[Live Pricing.xlsm]FX_Curve_History!R34C6</stp>
        <tr r="F34" s="50"/>
      </tp>
      <tp t="e">
        <v>#N/A</v>
        <stp/>
        <stp>##V3_BDHV12</stp>
        <stp>EUSA7 Index</stp>
        <stp>PX_LAST</stp>
        <stp>12/31/2018</stp>
        <stp>12/31/2018</stp>
        <stp>[Live Pricing.xlsm]FX_Curve_History!R36C6</stp>
        <tr r="F36" s="50"/>
      </tp>
      <tp t="e">
        <v>#N/A</v>
        <stp/>
        <stp>##V3_BDHV12</stp>
        <stp>EUSA9 Index</stp>
        <stp>PX_LAST</stp>
        <stp>12/31/2018</stp>
        <stp>12/31/2018</stp>
        <stp>[Live Pricing.xlsm]FX_Curve_History!R38C6</stp>
        <tr r="F38" s="50"/>
      </tp>
      <tp t="e">
        <v>#N/A</v>
        <stp/>
        <stp>##V3_BDHV12</stp>
        <stp>EUSA12 Index</stp>
        <stp>PX_LAST</stp>
        <stp>12/31/2018</stp>
        <stp>12/31/2018</stp>
        <stp>[Live Pricing.xlsm]FX_Curve_History!R41C6</stp>
        <tr r="F41" s="50"/>
      </tp>
      <tp t="e">
        <v>#N/A</v>
        <stp/>
        <stp>##V3_BDHV12</stp>
        <stp>EUSA16 Index</stp>
        <stp>PX_LAST</stp>
        <stp>12/31/2018</stp>
        <stp>12/31/2018</stp>
        <stp>[Live Pricing.xlsm]FX_Curve_History!R45C6</stp>
        <tr r="F45" s="50"/>
      </tp>
      <tp t="e">
        <v>#N/A</v>
        <stp/>
        <stp>##V3_BDHV12</stp>
        <stp>USSW40 Index</stp>
        <stp>PX_LAST</stp>
        <stp>12/31/2018</stp>
        <stp>12/31/2018</stp>
        <stp>[Live Pricing.xlsm]FX_Curve_History!R25C6</stp>
        <tr r="F25" s="50"/>
      </tp>
      <tp t="e">
        <v>#N/A</v>
        <stp/>
        <stp>##V3_BDHV12</stp>
        <stp>BP0003M Index</stp>
        <stp>PX_LAST</stp>
        <stp>12/31/2018</stp>
        <stp>12/31/2018</stp>
        <stp>[Live Pricing.xlsm]Rate_History!R84C2</stp>
        <tr r="B84" s="49"/>
      </tp>
      <tp t="e">
        <v>#N/A</v>
        <stp/>
        <stp>##V3_BDPV12</stp>
        <stp>USDAUD Curncy</stp>
        <stp>PX_LAST</stp>
        <stp>[Live Pricing.xlsm]FX_Live!R12C5</stp>
        <tr r="E12" s="44"/>
      </tp>
      <tp t="e">
        <v>#N/A</v>
        <stp/>
        <stp>##V3_BDHV12</stp>
        <stp>EUR003m Index</stp>
        <stp>PX_LAST</stp>
        <stp>12/31/2018</stp>
        <stp>12/31/2018</stp>
        <stp>[Live Pricing.xlsm]FX_Curve_History!R34C2</stp>
        <tr r="B34" s="50"/>
      </tp>
      <tp t="e">
        <v>#N/A</v>
        <stp/>
        <stp>##V3_BDHV12</stp>
        <stp>BPSW4 Index</stp>
        <stp>PX_LAST</stp>
        <stp>12/31/2018</stp>
        <stp>12/31/2018</stp>
        <stp>[Live Pricing.xlsm]FX_Curve_History!R83C6</stp>
        <tr r="F83" s="50"/>
      </tp>
      <tp t="e">
        <v>#N/A</v>
        <stp/>
        <stp>##V3_BDHV12</stp>
        <stp>BLBS2 Index</stp>
        <stp>PX_LAST</stp>
        <stp>12/31/2018</stp>
        <stp>12/31/2018</stp>
        <stp>[Live Pricing.xlsm]FX_Curve_History!R156C13</stp>
        <tr r="M156" s="50"/>
      </tp>
      <tp t="e">
        <v>#N/A</v>
        <stp/>
        <stp>##V3_BDHV12</stp>
        <stp>BLBS3 Index</stp>
        <stp>PX_LAST</stp>
        <stp>12/31/2018</stp>
        <stp>12/31/2018</stp>
        <stp>[Live Pricing.xlsm]FX_Curve_History!R157C13</stp>
        <tr r="M157" s="50"/>
      </tp>
      <tp t="e">
        <v>#N/A</v>
        <stp/>
        <stp>##V3_BDHV12</stp>
        <stp>BLBS7 Index</stp>
        <stp>PX_LAST</stp>
        <stp>12/31/2018</stp>
        <stp>12/31/2018</stp>
        <stp>[Live Pricing.xlsm]FX_Curve_History!R161C13</stp>
        <tr r="M161" s="50"/>
      </tp>
      <tp t="e">
        <v>#N/A</v>
        <stp/>
        <stp>##V3_BDHV12</stp>
        <stp>BLBS4 Index</stp>
        <stp>PX_LAST</stp>
        <stp>12/31/2018</stp>
        <stp>12/31/2018</stp>
        <stp>[Live Pricing.xlsm]FX_Curve_History!R158C13</stp>
        <tr r="M158" s="50"/>
      </tp>
      <tp t="e">
        <v>#N/A</v>
        <stp/>
        <stp>##V3_BDHV12</stp>
        <stp>BLBS6 Index</stp>
        <stp>PX_LAST</stp>
        <stp>12/31/2018</stp>
        <stp>12/31/2018</stp>
        <stp>[Live Pricing.xlsm]FX_Curve_History!R160C13</stp>
        <tr r="M160" s="50"/>
      </tp>
      <tp t="e">
        <v>#N/A</v>
        <stp/>
        <stp>##V3_BDHV12</stp>
        <stp>BLBS5 Index</stp>
        <stp>PX_LAST</stp>
        <stp>12/31/2018</stp>
        <stp>12/31/2018</stp>
        <stp>[Live Pricing.xlsm]FX_Curve_History!R159C13</stp>
        <tr r="M159" s="50"/>
      </tp>
      <tp t="e">
        <v>#N/A</v>
        <stp/>
        <stp>##V3_BDHV12</stp>
        <stp>BLBS9 Index</stp>
        <stp>PX_LAST</stp>
        <stp>12/31/2018</stp>
        <stp>12/31/2018</stp>
        <stp>[Live Pricing.xlsm]FX_Curve_History!R163C13</stp>
        <tr r="M163" s="50"/>
      </tp>
      <tp t="e">
        <v>#N/A</v>
        <stp/>
        <stp>##V3_BDHV12</stp>
        <stp>BLBS8 Index</stp>
        <stp>PX_LAST</stp>
        <stp>12/31/2018</stp>
        <stp>12/31/2018</stp>
        <stp>[Live Pricing.xlsm]FX_Curve_History!R162C13</stp>
        <tr r="M162" s="50"/>
      </tp>
      <tp t="e">
        <v>#N/A</v>
        <stp/>
        <stp>##V3_BDHV12</stp>
        <stp>BPSW20 Index</stp>
        <stp>PX_LAST</stp>
        <stp>12/31/2018</stp>
        <stp>12/31/2018</stp>
        <stp>[Live Pricing.xlsm]FX_Curve_History!R97C6</stp>
        <tr r="F97" s="50"/>
      </tp>
      <tp t="e">
        <v>#N/A</v>
        <stp/>
        <stp>##V3_BDHV12</stp>
        <stp>BPSW14 Index</stp>
        <stp>PX_LAST</stp>
        <stp>12/31/2018</stp>
        <stp>12/31/2018</stp>
        <stp>[Live Pricing.xlsm]FX_Curve_History!R93C6</stp>
        <tr r="F93" s="50"/>
      </tp>
      <tp t="e">
        <v>#N/A</v>
        <stp/>
        <stp>##V3_BDHV12</stp>
        <stp>USSW10 Index</stp>
        <stp>PX_LAST</stp>
        <stp>12/31/2018</stp>
        <stp>12/31/2018</stp>
        <stp>[Live Pricing.xlsm]FX_Curve_History!R14C6</stp>
        <tr r="F14" s="50"/>
      </tp>
      <tp t="e">
        <v>#N/A</v>
        <stp/>
        <stp>##V3_BDHV12</stp>
        <stp>USSW11 Index</stp>
        <stp>PX_LAST</stp>
        <stp>12/31/2018</stp>
        <stp>12/31/2018</stp>
        <stp>[Live Pricing.xlsm]FX_Curve_History!R15C6</stp>
        <tr r="F15" s="50"/>
      </tp>
      <tp t="e">
        <v>#N/A</v>
        <stp/>
        <stp>##V3_BDHV12</stp>
        <stp>USSW12 Index</stp>
        <stp>PX_LAST</stp>
        <stp>12/31/2018</stp>
        <stp>12/31/2018</stp>
        <stp>[Live Pricing.xlsm]FX_Curve_History!R16C6</stp>
        <tr r="F16" s="50"/>
      </tp>
      <tp t="e">
        <v>#N/A</v>
        <stp/>
        <stp>##V3_BDHV12</stp>
        <stp>USSW13 Index</stp>
        <stp>PX_LAST</stp>
        <stp>12/31/2018</stp>
        <stp>12/31/2018</stp>
        <stp>[Live Pricing.xlsm]FX_Curve_History!R17C6</stp>
        <tr r="F17" s="50"/>
      </tp>
      <tp t="e">
        <v>#N/A</v>
        <stp/>
        <stp>##V3_BDHV12</stp>
        <stp>USSW30 Index</stp>
        <stp>PX_LAST</stp>
        <stp>12/31/2018</stp>
        <stp>12/31/2018</stp>
        <stp>[Live Pricing.xlsm]FX_Curve_History!R24C6</stp>
        <tr r="F24" s="50"/>
      </tp>
      <tp t="e">
        <v>#N/A</v>
        <stp/>
        <stp>##V3_BDHV12</stp>
        <stp>EUSWEC Curncy</stp>
        <stp>PX_LAST</stp>
        <stp>12/31/2018</stp>
        <stp>12/31/2018</stp>
        <stp>[Live Pricing.xlsm]Rate_History!R31C2</stp>
        <tr r="B31" s="49"/>
      </tp>
      <tp t="e">
        <v>#N/A</v>
        <stp/>
        <stp>##V3_BDHV12</stp>
        <stp>JY00S/N Index</stp>
        <stp>PX_LAST</stp>
        <stp>12/31/2018</stp>
        <stp>12/31/2018</stp>
        <stp>[Live Pricing.xlsm]Rate_History!R56C2</stp>
        <tr r="B56" s="49"/>
      </tp>
      <tp t="e">
        <v>#N/A</v>
        <stp/>
        <stp>##V3_BDHV12</stp>
        <stp>BP0006M Index</stp>
        <stp>PX_LAST</stp>
        <stp>12/31/2018</stp>
        <stp>12/31/2018</stp>
        <stp>[Live Pricing.xlsm]Rate_History!R85C2</stp>
        <tr r="B85" s="49"/>
      </tp>
      <tp t="e">
        <v>#N/A</v>
        <stp/>
        <stp>##V3_BDPV12</stp>
        <stp>CDSW2 Index</stp>
        <stp>PX_LAST</stp>
        <stp>[Live Pricing.xlsm]Rate_Live!R131C6</stp>
        <tr r="F131" s="39"/>
      </tp>
      <tp t="e">
        <v>#N/A</v>
        <stp/>
        <stp>##V3_BDPV12</stp>
        <stp>CDSW6 Index</stp>
        <stp>PX_LAST</stp>
        <stp>[Live Pricing.xlsm]Rate_Live!R135C6</stp>
        <tr r="F135" s="39"/>
      </tp>
      <tp t="e">
        <v>#N/A</v>
        <stp/>
        <stp>##V3_BDHV12</stp>
        <stp>EUR002m Index</stp>
        <stp>PX_LAST</stp>
        <stp>12/31/2018</stp>
        <stp>12/31/2018</stp>
        <stp>[Live Pricing.xlsm]FX_Curve_History!R33C2</stp>
        <tr r="B33" s="50"/>
      </tp>
      <tp t="e">
        <v>#N/A</v>
        <stp/>
        <stp>##V3_BDHV12</stp>
        <stp>BAM0 Comdty</stp>
        <stp>PX_LAST</stp>
        <stp>12/31/2018</stp>
        <stp>12/31/2018</stp>
        <stp>[Live Pricing.xlsm]FX_Curve_History!R138C4</stp>
        <tr r="D138" s="50"/>
      </tp>
      <tp t="e">
        <v>#N/A</v>
        <stp/>
        <stp>##V3_BDHV12</stp>
        <stp>EUSA4 Index</stp>
        <stp>PX_LAST</stp>
        <stp>12/31/2018</stp>
        <stp>12/31/2018</stp>
        <stp>[Live Pricing.xlsm]FX_Curve_History!R33C6</stp>
        <tr r="F33" s="50"/>
      </tp>
      <tp t="e">
        <v>#N/A</v>
        <stp/>
        <stp>##V3_BDHV12</stp>
        <stp>BP00O/N Index</stp>
        <stp>PX_LAST</stp>
        <stp>12/31/2018</stp>
        <stp>12/31/2018</stp>
        <stp>[Live Pricing.xlsm]Rate_History!R81C2</stp>
        <tr r="B81" s="49"/>
      </tp>
      <tp t="e">
        <v>#N/A</v>
        <stp/>
        <stp>##V3_BDHV12</stp>
        <stp>BP0001M Index</stp>
        <stp>PX_LAST</stp>
        <stp>12/31/2018</stp>
        <stp>12/31/2018</stp>
        <stp>[Live Pricing.xlsm]Rate_History!R82C2</stp>
        <tr r="B82" s="49"/>
      </tp>
      <tp t="e">
        <v>#N/A</v>
        <stp/>
        <stp>##V3_BDPV12</stp>
        <stp>SF0002M Index</stp>
        <stp>PX_LAST</stp>
        <stp>[Live Pricing.xlsm]FX_Curve_Live!R108C2</stp>
        <tr r="B108" s="42"/>
      </tp>
      <tp t="e">
        <v>#N/A</v>
        <stp/>
        <stp>##V3_BDPV12</stp>
        <stp>USDCOP Curncy</stp>
        <stp>PX_LAST</stp>
        <stp>[Live Pricing.xlsm]FX_Live!R16C5</stp>
        <tr r="E16" s="44"/>
      </tp>
      <tp t="e">
        <v>#N/A</v>
        <stp/>
        <stp>##V3_BDHV12</stp>
        <stp>EUR001m Index</stp>
        <stp>PX_LAST</stp>
        <stp>12/31/2018</stp>
        <stp>12/31/2018</stp>
        <stp>[Live Pricing.xlsm]FX_Curve_History!R32C2</stp>
        <tr r="B32" s="50"/>
      </tp>
      <tp t="e">
        <v>#N/A</v>
        <stp/>
        <stp>##V3_BDHV12</stp>
        <stp>BPSW3 Index</stp>
        <stp>PX_LAST</stp>
        <stp>12/31/2018</stp>
        <stp>12/31/2018</stp>
        <stp>[Live Pricing.xlsm]FX_Curve_History!R82C6</stp>
        <tr r="F82" s="50"/>
      </tp>
      <tp t="e">
        <v>#N/A</v>
        <stp/>
        <stp>##V3_BDHV12</stp>
        <stp>BPSW5 Index</stp>
        <stp>PX_LAST</stp>
        <stp>12/31/2018</stp>
        <stp>12/31/2018</stp>
        <stp>[Live Pricing.xlsm]FX_Curve_History!R84C6</stp>
        <tr r="F84" s="50"/>
      </tp>
      <tp t="e">
        <v>#N/A</v>
        <stp/>
        <stp>##V3_BDHV12</stp>
        <stp>BPSW7 Index</stp>
        <stp>PX_LAST</stp>
        <stp>12/31/2018</stp>
        <stp>12/31/2018</stp>
        <stp>[Live Pricing.xlsm]FX_Curve_History!R86C6</stp>
        <tr r="F86" s="50"/>
      </tp>
      <tp t="e">
        <v>#N/A</v>
        <stp/>
        <stp>##V3_BDHV12</stp>
        <stp>BPSW9 Index</stp>
        <stp>PX_LAST</stp>
        <stp>12/31/2018</stp>
        <stp>12/31/2018</stp>
        <stp>[Live Pricing.xlsm]FX_Curve_History!R88C6</stp>
        <tr r="F88" s="50"/>
      </tp>
      <tp t="e">
        <v>#N/A</v>
        <stp/>
        <stp>##V3_BDHV12</stp>
        <stp>BPSW11 Index</stp>
        <stp>PX_LAST</stp>
        <stp>12/31/2018</stp>
        <stp>12/31/2018</stp>
        <stp>[Live Pricing.xlsm]FX_Curve_History!R90C6</stp>
        <tr r="F90" s="50"/>
      </tp>
      <tp t="e">
        <v>#N/A</v>
        <stp/>
        <stp>##V3_BDHV12</stp>
        <stp>BPSW13 Index</stp>
        <stp>PX_LAST</stp>
        <stp>12/31/2018</stp>
        <stp>12/31/2018</stp>
        <stp>[Live Pricing.xlsm]FX_Curve_History!R92C6</stp>
        <tr r="F92" s="50"/>
      </tp>
      <tp t="e">
        <v>#N/A</v>
        <stp/>
        <stp>##V3_BDHV12</stp>
        <stp>BPSW15 Index</stp>
        <stp>PX_LAST</stp>
        <stp>12/31/2018</stp>
        <stp>12/31/2018</stp>
        <stp>[Live Pricing.xlsm]FX_Curve_History!R94C6</stp>
        <tr r="F94" s="50"/>
      </tp>
      <tp t="e">
        <v>#N/A</v>
        <stp/>
        <stp>##V3_BDHV12</stp>
        <stp>BPSW17 Index</stp>
        <stp>PX_LAST</stp>
        <stp>12/31/2018</stp>
        <stp>12/31/2018</stp>
        <stp>[Live Pricing.xlsm]FX_Curve_History!R96C6</stp>
        <tr r="F96" s="50"/>
      </tp>
      <tp t="e">
        <v>#N/A</v>
        <stp/>
        <stp>##V3_BDHV12</stp>
        <stp>USSW20 Index</stp>
        <stp>PX_LAST</stp>
        <stp>12/31/2018</stp>
        <stp>12/31/2018</stp>
        <stp>[Live Pricing.xlsm]FX_Curve_History!R22C6</stp>
        <tr r="F22" s="50"/>
      </tp>
      <tp t="e">
        <v>#N/A</v>
        <stp/>
        <stp>##V3_BDHV12</stp>
        <stp>BP0002M Index</stp>
        <stp>PX_LAST</stp>
        <stp>12/31/2018</stp>
        <stp>12/31/2018</stp>
        <stp>[Live Pricing.xlsm]Rate_History!R83C2</stp>
        <tr r="B83" s="49"/>
        <tr r="B83" s="49"/>
      </tp>
      <tp t="e">
        <v>#N/A</v>
        <stp/>
        <stp>##V3_BDPV12</stp>
        <stp>SF0003M Index</stp>
        <stp>PX_LAST</stp>
        <stp>[Live Pricing.xlsm]FX_Curve_Live!R109C2</stp>
        <tr r="B109" s="42"/>
      </tp>
      <tp t="e">
        <v>#N/A</v>
        <stp/>
        <stp>##V3_BDPV12</stp>
        <stp>CDSW3 Index</stp>
        <stp>PX_LAST</stp>
        <stp>[Live Pricing.xlsm]Rate_Live!R132C6</stp>
        <tr r="F132" s="39"/>
      </tp>
      <tp t="e">
        <v>#N/A</v>
        <stp/>
        <stp>##V3_BDPV12</stp>
        <stp>CDSW5 Index</stp>
        <stp>PX_LAST</stp>
        <stp>[Live Pricing.xlsm]Rate_Live!R134C6</stp>
        <tr r="F134" s="39"/>
      </tp>
      <tp t="e">
        <v>#N/A</v>
        <stp/>
        <stp>##V3_BDPV12</stp>
        <stp>CDSW7 Index</stp>
        <stp>PX_LAST</stp>
        <stp>[Live Pricing.xlsm]Rate_Live!R136C6</stp>
        <tr r="F136" s="39"/>
      </tp>
      <tp t="e">
        <v>#N/A</v>
        <stp/>
        <stp>##V3_BDPV12</stp>
        <stp>CDSW9 Index</stp>
        <stp>PX_LAST</stp>
        <stp>[Live Pricing.xlsm]Rate_Live!R138C6</stp>
        <tr r="F138" s="39"/>
      </tp>
      <tp t="e">
        <v>#N/A</v>
        <stp/>
        <stp>##V3_BDHV12</stp>
        <stp>JYSW8 Index</stp>
        <stp>PX_LAST</stp>
        <stp>12/31/2018</stp>
        <stp>12/31/2018</stp>
        <stp>[Live Pricing.xlsm]FX_Curve_History!R62C6</stp>
        <tr r="F62" s="50"/>
      </tp>
      <tp t="e">
        <v>#N/A</v>
        <stp/>
        <stp>##V3_BDHV12</stp>
        <stp>JYSW9 Index</stp>
        <stp>PX_LAST</stp>
        <stp>12/31/2018</stp>
        <stp>12/31/2018</stp>
        <stp>[Live Pricing.xlsm]FX_Curve_History!R63C6</stp>
        <tr r="F63" s="50"/>
      </tp>
      <tp t="e">
        <v>#N/A</v>
        <stp/>
        <stp>##V3_BDHV12</stp>
        <stp>YEM9 Comdty</stp>
        <stp>PX_LAST</stp>
        <stp>12/31/2018</stp>
        <stp>12/31/2018</stp>
        <stp>[Live Pricing.xlsm]FX_Curve_History!R59C4</stp>
        <tr r="D59" s="50"/>
      </tp>
      <tp t="e">
        <v>#N/A</v>
        <stp/>
        <stp>##V3_BDPV12</stp>
        <stp>BPSW40 Index</stp>
        <stp>PX_LAST</stp>
        <stp>[Live Pricing.xlsm]Rate_Live!R100C6</stp>
        <tr r="F100" s="39"/>
      </tp>
      <tp t="e">
        <v>#N/A</v>
        <stp/>
        <stp>##V3_BDPV12</stp>
        <stp>USSW5 Index</stp>
        <stp>PX_LAST</stp>
        <stp>[Live Pricing.xlsm]Rate_Live!R9C6</stp>
        <tr r="F9" s="39"/>
      </tp>
      <tp t="e">
        <v>#N/A</v>
        <stp/>
        <stp>##V3_BDHV12</stp>
        <stp>EUSA14 Index</stp>
        <stp>PX_LAST</stp>
        <stp>12/31/2018</stp>
        <stp>12/31/2018</stp>
        <stp>[Live Pricing.xlsm]FX_Curve_History!R43C6</stp>
        <tr r="F43" s="50"/>
      </tp>
      <tp t="e">
        <v>#N/A</v>
        <stp/>
        <stp>##V3_BDHV12</stp>
        <stp>EUSA20 Index</stp>
        <stp>PX_LAST</stp>
        <stp>12/31/2018</stp>
        <stp>12/31/2018</stp>
        <stp>[Live Pricing.xlsm]FX_Curve_History!R47C6</stp>
        <tr r="F47" s="50"/>
      </tp>
      <tp t="e">
        <v>#N/A</v>
        <stp/>
        <stp>##V3_BDHV12</stp>
        <stp>JY0006M Index</stp>
        <stp>PX_LAST</stp>
        <stp>12/31/2018</stp>
        <stp>12/31/2018</stp>
        <stp>[Live Pricing.xlsm]Rate_History!R60C2</stp>
        <tr r="B60" s="49"/>
      </tp>
      <tp t="e">
        <v>#N/A</v>
        <stp/>
        <stp>##V3_BDPV12</stp>
        <stp>USDCHF Curncy</stp>
        <stp>PX_LAST</stp>
        <stp>[Live Pricing.xlsm]FX_Live!R14C5</stp>
        <tr r="E14" s="44"/>
      </tp>
      <tp t="e">
        <v>#N/A</v>
        <stp/>
        <stp>##V3_BDPV12</stp>
        <stp>USDBRL Curncy</stp>
        <stp>PX_LAST</stp>
        <stp>[Live Pricing.xlsm]FX_Live!R15C5</stp>
        <tr r="E15" s="44"/>
      </tp>
      <tp t="e">
        <v>#N/A</v>
        <stp/>
        <stp>##V3_BDHV12</stp>
        <stp>BPSW2 Index</stp>
        <stp>PX_LAST</stp>
        <stp>12/31/2018</stp>
        <stp>12/31/2018</stp>
        <stp>[Live Pricing.xlsm]FX_Curve_History!R81C6</stp>
        <tr r="F81" s="50"/>
      </tp>
      <tp t="e">
        <v>#N/A</v>
        <stp/>
        <stp>##V3_BDHV12</stp>
        <stp>BPSW6 Index</stp>
        <stp>PX_LAST</stp>
        <stp>12/31/2018</stp>
        <stp>12/31/2018</stp>
        <stp>[Live Pricing.xlsm]FX_Curve_History!R85C6</stp>
        <tr r="F85" s="50"/>
      </tp>
      <tp t="e">
        <v>#N/A</v>
        <stp/>
        <stp>##V3_BDHV12</stp>
        <stp>YEH9 Comdty</stp>
        <stp>PX_LAST</stp>
        <stp>12/31/2018</stp>
        <stp>12/31/2018</stp>
        <stp>[Live Pricing.xlsm]FX_Curve_History!R58C4</stp>
        <tr r="D58" s="50"/>
      </tp>
      <tp t="e">
        <v>#N/A</v>
        <stp/>
        <stp>##V3_BDHV12</stp>
        <stp>US0001m Index</stp>
        <stp>PX_LAST</stp>
        <stp>12/31/2018</stp>
        <stp>12/31/2018</stp>
        <stp>[Live Pricing.xlsm]Rate_History!R7C2</stp>
        <tr r="B7" s="49"/>
      </tp>
      <tp t="e">
        <v>#N/A</v>
        <stp/>
        <stp>##V3_BDPV12</stp>
        <stp>USSW4 Index</stp>
        <stp>PX_LAST</stp>
        <stp>[Live Pricing.xlsm]Rate_Live!R8C6</stp>
        <tr r="F8" s="39"/>
      </tp>
      <tp t="e">
        <v>#N/A</v>
        <stp/>
        <stp>##V3_BDHV12</stp>
        <stp>BPSW12 Index</stp>
        <stp>PX_LAST</stp>
        <stp>12/31/2018</stp>
        <stp>12/31/2018</stp>
        <stp>[Live Pricing.xlsm]FX_Curve_History!R91C6</stp>
        <tr r="F91" s="50"/>
      </tp>
      <tp t="e">
        <v>#N/A</v>
        <stp/>
        <stp>##V3_BDHV12</stp>
        <stp>BPSW16 Index</stp>
        <stp>PX_LAST</stp>
        <stp>12/31/2018</stp>
        <stp>12/31/2018</stp>
        <stp>[Live Pricing.xlsm]FX_Curve_History!R95C6</stp>
        <tr r="F95" s="50"/>
      </tp>
      <tp t="e">
        <v>#N/A</v>
        <stp/>
        <stp>##V3_BDHV12</stp>
        <stp>JY0012M Index</stp>
        <stp>PX_LAST</stp>
        <stp>12/31/2018</stp>
        <stp>12/31/2018</stp>
        <stp>[Live Pricing.xlsm]Rate_History!R61C2</stp>
        <tr r="B61" s="49"/>
      </tp>
      <tp t="e">
        <v>#N/A</v>
        <stp/>
        <stp>##V3_BDPV12</stp>
        <stp>CDSW8 Index</stp>
        <stp>PX_LAST</stp>
        <stp>[Live Pricing.xlsm]Rate_Live!R137C6</stp>
        <tr r="F137" s="39"/>
      </tp>
      <tp t="e">
        <v>#N/A</v>
        <stp/>
        <stp>##V3_BDHV12</stp>
        <stp>BAM9 Comdty</stp>
        <stp>PX_LAST</stp>
        <stp>12/31/2018</stp>
        <stp>12/31/2018</stp>
        <stp>[Live Pricing.xlsm]FX_Curve_History!R134C4</stp>
        <tr r="D134" s="50"/>
      </tp>
      <tp t="e">
        <v>#N/A</v>
        <stp/>
        <stp>##V3_BDHV12</stp>
        <stp>JYSW2 Index</stp>
        <stp>PX_LAST</stp>
        <stp>12/31/2018</stp>
        <stp>12/31/2018</stp>
        <stp>[Live Pricing.xlsm]FX_Curve_History!R56C6</stp>
        <tr r="F56" s="50"/>
      </tp>
      <tp t="e">
        <v>#N/A</v>
        <stp/>
        <stp>##V3_BDHV12</stp>
        <stp>JYSW3 Index</stp>
        <stp>PX_LAST</stp>
        <stp>12/31/2018</stp>
        <stp>12/31/2018</stp>
        <stp>[Live Pricing.xlsm]FX_Curve_History!R57C6</stp>
        <tr r="F57" s="50"/>
      </tp>
      <tp t="e">
        <v>#N/A</v>
        <stp/>
        <stp>##V3_BDHV12</stp>
        <stp>YEZ8 Comdty</stp>
        <stp>PX_LAST</stp>
        <stp>12/31/2018</stp>
        <stp>12/31/2018</stp>
        <stp>[Live Pricing.xlsm]FX_Curve_History!R57C4</stp>
        <tr r="D57" s="50"/>
      </tp>
      <tp t="e">
        <v>#N/A</v>
        <stp/>
        <stp>##V3_BDPV12</stp>
        <stp>USSW3 Index</stp>
        <stp>PX_LAST</stp>
        <stp>[Live Pricing.xlsm]Rate_Live!R7C6</stp>
        <tr r="F7" s="39"/>
      </tp>
      <tp t="e">
        <v>#N/A</v>
        <stp/>
        <stp>##V3_BDHV12</stp>
        <stp>EUSA10 Index</stp>
        <stp>PX_LAST</stp>
        <stp>12/31/2018</stp>
        <stp>12/31/2018</stp>
        <stp>[Live Pricing.xlsm]FX_Curve_History!R39C6</stp>
        <tr r="F39" s="50"/>
      </tp>
      <tp t="e">
        <v>#N/A</v>
        <stp/>
        <stp>##V3_BDHV12</stp>
        <stp>EUSA30 Index</stp>
        <stp>PX_LAST</stp>
        <stp>12/31/2018</stp>
        <stp>12/31/2018</stp>
        <stp>[Live Pricing.xlsm]FX_Curve_History!R49C6</stp>
        <tr r="F49" s="50"/>
      </tp>
      <tp t="e">
        <v>#N/A</v>
        <stp/>
        <stp>##V3_BDHV12</stp>
        <stp>JYSW40 Index</stp>
        <stp>PX_LAST</stp>
        <stp>12/31/2018</stp>
        <stp>12/31/2018</stp>
        <stp>[Live Pricing.xlsm]FX_Curve_History!R75C6</stp>
        <tr r="F75" s="50"/>
      </tp>
      <tp t="e">
        <v>#N/A</v>
        <stp/>
        <stp>##V3_BDHV12</stp>
        <stp>BAU9 Comdty</stp>
        <stp>PX_LAST</stp>
        <stp>12/31/2018</stp>
        <stp>12/31/2018</stp>
        <stp>[Live Pricing.xlsm]FX_Curve_History!R135C4</stp>
        <tr r="D135" s="50"/>
      </tp>
      <tp t="e">
        <v>#N/A</v>
        <stp/>
        <stp>##V3_BDPV12</stp>
        <stp>CLSWIB15 Index</stp>
        <stp>PX_LAST</stp>
        <stp>[Live Pricing.xlsm]FX_Curve_Live!R194C6</stp>
        <tr r="F194" s="42"/>
      </tp>
      <tp t="e">
        <v>#N/A</v>
        <stp/>
        <stp>##V3_BDHV12</stp>
        <stp>YEU8 Comdty</stp>
        <stp>PX_LAST</stp>
        <stp>12/31/2018</stp>
        <stp>12/31/2018</stp>
        <stp>[Live Pricing.xlsm]FX_Curve_History!R56C4</stp>
        <tr r="D56" s="50"/>
      </tp>
      <tp t="e">
        <v>#N/A</v>
        <stp/>
        <stp>##V3_BDHV12</stp>
        <stp>BCN12M BGN Curncy</stp>
        <stp>PX_LAST</stp>
        <stp>1/1/2019</stp>
        <stp>1/1/2019</stp>
        <stp>[Live Pricing.xlsm]FXFR!R12C4</stp>
        <tr r="D12" s="46"/>
      </tp>
      <tp t="e">
        <v>#N/A</v>
        <stp/>
        <stp>##V3_BDPV12</stp>
        <stp>USSW2 Index</stp>
        <stp>PX_LAST</stp>
        <stp>[Live Pricing.xlsm]Rate_Live!R6C6</stp>
        <tr r="F6" s="39"/>
      </tp>
      <tp t="e">
        <v>#N/A</v>
        <stp/>
        <stp>##V3_BDHV12</stp>
        <stp>JYSW10 Index</stp>
        <stp>PX_LAST</stp>
        <stp>12/31/2018</stp>
        <stp>12/31/2018</stp>
        <stp>[Live Pricing.xlsm]FX_Curve_History!R64C6</stp>
        <tr r="F64" s="50"/>
      </tp>
      <tp t="e">
        <v>#N/A</v>
        <stp/>
        <stp>##V3_BDHV12</stp>
        <stp>JYSW11 Index</stp>
        <stp>PX_LAST</stp>
        <stp>12/31/2018</stp>
        <stp>12/31/2018</stp>
        <stp>[Live Pricing.xlsm]FX_Curve_History!R65C6</stp>
        <tr r="F65" s="50"/>
      </tp>
      <tp t="e">
        <v>#N/A</v>
        <stp/>
        <stp>##V3_BDHV12</stp>
        <stp>JYSW12 Index</stp>
        <stp>PX_LAST</stp>
        <stp>12/31/2018</stp>
        <stp>12/31/2018</stp>
        <stp>[Live Pricing.xlsm]FX_Curve_History!R66C6</stp>
        <tr r="F66" s="50"/>
      </tp>
      <tp t="e">
        <v>#N/A</v>
        <stp/>
        <stp>##V3_BDHV12</stp>
        <stp>JYSW13 Index</stp>
        <stp>PX_LAST</stp>
        <stp>12/31/2018</stp>
        <stp>12/31/2018</stp>
        <stp>[Live Pricing.xlsm]FX_Curve_History!R67C6</stp>
        <tr r="F67" s="50"/>
      </tp>
      <tp t="e">
        <v>#N/A</v>
        <stp/>
        <stp>##V3_BDHV12</stp>
        <stp>JYSW30 Index</stp>
        <stp>PX_LAST</stp>
        <stp>12/31/2018</stp>
        <stp>12/31/2018</stp>
        <stp>[Live Pricing.xlsm]FX_Curve_History!R74C6</stp>
        <tr r="F74" s="50"/>
      </tp>
      <tp t="e">
        <v>#N/A</v>
        <stp/>
        <stp>##V3_BDHV12</stp>
        <stp>BPSW25 Index</stp>
        <stp>PX_LAST</stp>
        <stp>12/31/2018</stp>
        <stp>12/31/2018</stp>
        <stp>[Live Pricing.xlsm]FX_Curve_History!R98C6</stp>
        <tr r="F98" s="50"/>
      </tp>
      <tp t="e">
        <v>#N/A</v>
        <stp/>
        <stp>##V3_BDPV12</stp>
        <stp>SF00S/N Index</stp>
        <stp>PX_LAST</stp>
        <stp>[Live Pricing.xlsm]FX_Curve_Live!R106C2</stp>
        <tr r="B106" s="42"/>
      </tp>
      <tp t="e">
        <v>#N/A</v>
        <stp/>
        <stp>##V3_BDHV12</stp>
        <stp>BAZ9 Comdty</stp>
        <stp>PX_LAST</stp>
        <stp>12/31/2018</stp>
        <stp>12/31/2018</stp>
        <stp>[Live Pricing.xlsm]FX_Curve_History!R136C4</stp>
        <tr r="D136" s="50"/>
      </tp>
      <tp t="e">
        <v>#N/A</v>
        <stp/>
        <stp>##V3_BDHV12</stp>
        <stp>JYSW6 Index</stp>
        <stp>PX_LAST</stp>
        <stp>12/31/2018</stp>
        <stp>12/31/2018</stp>
        <stp>[Live Pricing.xlsm]FX_Curve_History!R60C6</stp>
        <tr r="F60" s="50"/>
      </tp>
      <tp t="e">
        <v>#N/A</v>
        <stp/>
        <stp>##V3_BDHV12</stp>
        <stp>JYSW7 Index</stp>
        <stp>PX_LAST</stp>
        <stp>12/31/2018</stp>
        <stp>12/31/2018</stp>
        <stp>[Live Pricing.xlsm]FX_Curve_History!R61C6</stp>
        <tr r="F61" s="50"/>
      </tp>
      <tp t="e">
        <v>#N/A</v>
        <stp/>
        <stp>##V3_BDHV12</stp>
        <stp>BCN10Y BGN Curncy</stp>
        <stp>PX_LAST</stp>
        <stp>1/1/2019</stp>
        <stp>1/1/2019</stp>
        <stp>[Live Pricing.xlsm]FXFR!R21C4</stp>
        <tr r="D21" s="46"/>
      </tp>
      <tp t="e">
        <v>#N/A</v>
        <stp/>
        <stp>##V3_BDPV12</stp>
        <stp>CLSWIB12 Index</stp>
        <stp>PX_LAST</stp>
        <stp>[Live Pricing.xlsm]FX_Curve_Live!R191C6</stp>
        <tr r="F191" s="42"/>
      </tp>
      <tp t="e">
        <v>#N/A</v>
        <stp/>
        <stp>##V3_BDHV12</stp>
        <stp>BAH0 Comdty</stp>
        <stp>PX_LAST</stp>
        <stp>12/31/2018</stp>
        <stp>12/31/2018</stp>
        <stp>[Live Pricing.xlsm]FX_Curve_History!R137C4</stp>
        <tr r="D137" s="50"/>
      </tp>
      <tp t="e">
        <v>#N/A</v>
        <stp/>
        <stp>##V3_BDHV12</stp>
        <stp>BPSW8 Index</stp>
        <stp>PX_LAST</stp>
        <stp>12/31/2018</stp>
        <stp>12/31/2018</stp>
        <stp>[Live Pricing.xlsm]FX_Curve_History!R87C6</stp>
        <tr r="F87" s="50"/>
      </tp>
      <tp t="e">
        <v>#N/A</v>
        <stp/>
        <stp>##V3_BDPV12</stp>
        <stp>BPBS4 Index</stp>
        <stp>PX_LAST</stp>
        <stp>[Live Pricing.xlsm]FX_Curve_History!R83C13</stp>
        <tr r="M83" s="50"/>
      </tp>
      <tp t="e">
        <v>#N/A</v>
        <stp/>
        <stp>##V3_BDPV12</stp>
        <stp>EUBS3 Index</stp>
        <stp>PX_LAST</stp>
        <stp>[Live Pricing.xlsm]FX_Curve_History!R32C13</stp>
        <tr r="M32" s="50"/>
      </tp>
      <tp t="e">
        <v>#N/A</v>
        <stp/>
        <stp>##V3_BDPV12</stp>
        <stp>BPBS5 Index</stp>
        <stp>PX_LAST</stp>
        <stp>[Live Pricing.xlsm]FX_Curve_History!R84C13</stp>
        <tr r="M84" s="50"/>
      </tp>
      <tp t="e">
        <v>#N/A</v>
        <stp/>
        <stp>##V3_BDPV12</stp>
        <stp>EUBS2 Index</stp>
        <stp>PX_LAST</stp>
        <stp>[Live Pricing.xlsm]FX_Curve_History!R31C13</stp>
        <tr r="M31" s="50"/>
      </tp>
      <tp t="e">
        <v>#N/A</v>
        <stp/>
        <stp>##V3_BDPV12</stp>
        <stp>BPBS6 Index</stp>
        <stp>PX_LAST</stp>
        <stp>[Live Pricing.xlsm]FX_Curve_History!R85C13</stp>
        <tr r="M85" s="50"/>
      </tp>
      <tp t="e">
        <v>#N/A</v>
        <stp/>
        <stp>##V3_BDPV12</stp>
        <stp>EUBS1 Index</stp>
        <stp>PX_LAST</stp>
        <stp>[Live Pricing.xlsm]FX_Curve_History!R31C16</stp>
        <tr r="P31" s="50"/>
      </tp>
      <tp t="e">
        <v>#N/A</v>
        <stp/>
        <stp>##V3_BDPV12</stp>
        <stp>BPBS7 Index</stp>
        <stp>PX_LAST</stp>
        <stp>[Live Pricing.xlsm]FX_Curve_History!R86C13</stp>
        <tr r="M86" s="50"/>
      </tp>
      <tp t="e">
        <v>#N/A</v>
        <stp/>
        <stp>##V3_BDPV12</stp>
        <stp>JYBS8 Index</stp>
        <stp>PX_LAST</stp>
        <stp>[Live Pricing.xlsm]FX_Curve_History!R62C13</stp>
        <tr r="M62" s="50"/>
      </tp>
      <tp t="e">
        <v>#N/A</v>
        <stp/>
        <stp>##V3_BDPV12</stp>
        <stp>EUBS7 Index</stp>
        <stp>PX_LAST</stp>
        <stp>[Live Pricing.xlsm]FX_Curve_History!R36C13</stp>
        <tr r="M36" s="50"/>
      </tp>
      <tp t="e">
        <v>#N/A</v>
        <stp/>
        <stp>##V3_BDHV12</stp>
        <stp>US0002m Index</stp>
        <stp>PX_LAST</stp>
        <stp>12/31/2018</stp>
        <stp>12/31/2018</stp>
        <stp>[Live Pricing.xlsm]Rate_History!R8C2</stp>
        <tr r="B8" s="49"/>
      </tp>
      <tp t="e">
        <v>#N/A</v>
        <stp/>
        <stp>##V3_BDHV12</stp>
        <stp>US0003m Index</stp>
        <stp>PX_LAST</stp>
        <stp>12/31/2018</stp>
        <stp>12/31/2018</stp>
        <stp>[Live Pricing.xlsm]Rate_History!R9C2</stp>
        <tr r="B9" s="49"/>
      </tp>
      <tp t="e">
        <v>#N/A</v>
        <stp/>
        <stp>##V3_BDPV12</stp>
        <stp>JYBS9 Index</stp>
        <stp>PX_LAST</stp>
        <stp>[Live Pricing.xlsm]FX_Curve_History!R63C13</stp>
        <tr r="M63" s="50"/>
      </tp>
      <tp t="e">
        <v>#N/A</v>
        <stp/>
        <stp>##V3_BDPV12</stp>
        <stp>EUBS6 Index</stp>
        <stp>PX_LAST</stp>
        <stp>[Live Pricing.xlsm]FX_Curve_History!R35C13</stp>
        <tr r="M35" s="50"/>
      </tp>
      <tp t="e">
        <v>#N/A</v>
        <stp/>
        <stp>##V3_BDPV12</stp>
        <stp>BPBS2 Index</stp>
        <stp>PX_LAST</stp>
        <stp>[Live Pricing.xlsm]FX_Curve_History!R81C13</stp>
        <tr r="M81" s="50"/>
      </tp>
      <tp t="e">
        <v>#N/A</v>
        <stp/>
        <stp>##V3_BDPV12</stp>
        <stp>EUBS5 Index</stp>
        <stp>PX_LAST</stp>
        <stp>[Live Pricing.xlsm]FX_Curve_History!R34C13</stp>
        <tr r="M34" s="50"/>
      </tp>
      <tp t="e">
        <v>#N/A</v>
        <stp/>
        <stp>##V3_BDPV12</stp>
        <stp>EUBS4 Index</stp>
        <stp>PX_LAST</stp>
        <stp>[Live Pricing.xlsm]FX_Curve_History!R33C13</stp>
        <tr r="M33" s="50"/>
      </tp>
      <tp t="e">
        <v>#N/A</v>
        <stp/>
        <stp>##V3_BDPV12</stp>
        <stp>JYBS4 Index</stp>
        <stp>PX_LAST</stp>
        <stp>[Live Pricing.xlsm]FX_Curve_History!R58C13</stp>
        <tr r="M58" s="50"/>
      </tp>
      <tp t="e">
        <v>#N/A</v>
        <stp/>
        <stp>##V3_BDPV12</stp>
        <stp>JYBS5 Index</stp>
        <stp>PX_LAST</stp>
        <stp>[Live Pricing.xlsm]FX_Curve_History!R59C13</stp>
        <tr r="M59" s="50"/>
      </tp>
      <tp t="e">
        <v>#N/A</v>
        <stp/>
        <stp>##V3_BDPV12</stp>
        <stp>JYBS6 Index</stp>
        <stp>PX_LAST</stp>
        <stp>[Live Pricing.xlsm]FX_Curve_History!R60C13</stp>
        <tr r="M60" s="50"/>
      </tp>
      <tp t="e">
        <v>#N/A</v>
        <stp/>
        <stp>##V3_BDPV12</stp>
        <stp>EUBS9 Index</stp>
        <stp>PX_LAST</stp>
        <stp>[Live Pricing.xlsm]FX_Curve_History!R38C13</stp>
        <tr r="M38" s="50"/>
      </tp>
      <tp t="e">
        <v>#N/A</v>
        <stp/>
        <stp>##V3_BDPV12</stp>
        <stp>JYBS7 Index</stp>
        <stp>PX_LAST</stp>
        <stp>[Live Pricing.xlsm]FX_Curve_History!R61C13</stp>
        <tr r="M61" s="50"/>
      </tp>
      <tp t="e">
        <v>#N/A</v>
        <stp/>
        <stp>##V3_BDPV12</stp>
        <stp>EUBS8 Index</stp>
        <stp>PX_LAST</stp>
        <stp>[Live Pricing.xlsm]FX_Curve_History!R37C13</stp>
        <tr r="M37" s="50"/>
      </tp>
      <tp t="e">
        <v>#N/A</v>
        <stp/>
        <stp>##V3_BDPV12</stp>
        <stp>BPBS8 Index</stp>
        <stp>PX_LAST</stp>
        <stp>[Live Pricing.xlsm]FX_Curve_History!R87C13</stp>
        <tr r="M87" s="50"/>
      </tp>
      <tp t="e">
        <v>#N/A</v>
        <stp/>
        <stp>##V3_BDPV12</stp>
        <stp>JYBS1 Index</stp>
        <stp>PX_LAST</stp>
        <stp>[Live Pricing.xlsm]FX_Curve_History!R56C16</stp>
        <tr r="P56" s="50"/>
      </tp>
      <tp t="e">
        <v>#N/A</v>
        <stp/>
        <stp>##V3_BDPV12</stp>
        <stp>BPBS9 Index</stp>
        <stp>PX_LAST</stp>
        <stp>[Live Pricing.xlsm]FX_Curve_History!R88C13</stp>
        <tr r="M88" s="50"/>
      </tp>
      <tp t="e">
        <v>#N/A</v>
        <stp/>
        <stp>##V3_BDPV12</stp>
        <stp>JYBS2 Index</stp>
        <stp>PX_LAST</stp>
        <stp>[Live Pricing.xlsm]FX_Curve_History!R56C13</stp>
        <tr r="M56" s="50"/>
      </tp>
      <tp t="e">
        <v>#N/A</v>
        <stp/>
        <stp>##V3_BDPV12</stp>
        <stp>JYBS3 Index</stp>
        <stp>PX_LAST</stp>
        <stp>[Live Pricing.xlsm]FX_Curve_History!R57C13</stp>
        <tr r="M57" s="50"/>
      </tp>
      <tp t="e">
        <v>#N/A</v>
        <stp/>
        <stp>##V3_BDHV12</stp>
        <stp>JYSW16 Index</stp>
        <stp>PX_LAST</stp>
        <stp>12/31/2018</stp>
        <stp>12/31/2018</stp>
        <stp>[Live Pricing.xlsm]FX_Curve_History!R70C6</stp>
        <tr r="F70" s="50"/>
      </tp>
      <tp t="e">
        <v>#N/A</v>
        <stp/>
        <stp>##V3_BDHV12</stp>
        <stp>JYSW17 Index</stp>
        <stp>PX_LAST</stp>
        <stp>12/31/2018</stp>
        <stp>12/31/2018</stp>
        <stp>[Live Pricing.xlsm]FX_Curve_History!R71C6</stp>
        <tr r="F71" s="50"/>
      </tp>
      <tp t="e">
        <v>#N/A</v>
        <stp/>
        <stp>##V3_BDHV12</stp>
        <stp>JYSW25 Index</stp>
        <stp>PX_LAST</stp>
        <stp>12/31/2018</stp>
        <stp>12/31/2018</stp>
        <stp>[Live Pricing.xlsm]FX_Curve_History!R73C6</stp>
        <tr r="F73" s="50"/>
      </tp>
      <tp t="e">
        <v>#N/A</v>
        <stp/>
        <stp>##V3_BDHV12</stp>
        <stp>USSW14 Index</stp>
        <stp>PX_LAST</stp>
        <stp>12/31/2018</stp>
        <stp>12/31/2018</stp>
        <stp>[Live Pricing.xlsm]FX_Curve_History!R18C6</stp>
        <tr r="F18" s="50"/>
      </tp>
      <tp t="e">
        <v>#N/A</v>
        <stp/>
        <stp>##V3_BDHV12</stp>
        <stp>USSW15 Index</stp>
        <stp>PX_LAST</stp>
        <stp>12/31/2018</stp>
        <stp>12/31/2018</stp>
        <stp>[Live Pricing.xlsm]FX_Curve_History!R19C6</stp>
        <tr r="F19" s="50"/>
      </tp>
      <tp t="e">
        <v>#N/A</v>
        <stp/>
        <stp>##V3_BDPV12</stp>
        <stp>SF0001M Index</stp>
        <stp>PX_LAST</stp>
        <stp>[Live Pricing.xlsm]FX_Curve_Live!R107C2</stp>
        <tr r="B107" s="42"/>
      </tp>
      <tp t="e">
        <v>#N/A</v>
        <stp/>
        <stp>##V3_BDHV12</stp>
        <stp>EUSA8 Index</stp>
        <stp>PX_LAST</stp>
        <stp>12/31/2018</stp>
        <stp>12/31/2018</stp>
        <stp>[Live Pricing.xlsm]FX_Curve_History!R37C6</stp>
        <tr r="F37" s="50"/>
      </tp>
      <tp t="e">
        <v>#N/A</v>
        <stp/>
        <stp>##V3_BDHV12</stp>
        <stp>YEM0 Comdty</stp>
        <stp>PX_LAST</stp>
        <stp>12/31/2018</stp>
        <stp>12/31/2018</stp>
        <stp>[Live Pricing.xlsm]FX_Curve_History!R63C4</stp>
        <tr r="D63" s="50"/>
      </tp>
      <tp t="e">
        <v>#N/A</v>
        <stp/>
        <stp>##V3_BDHV12</stp>
        <stp>EUSA25 Index</stp>
        <stp>PX_LAST</stp>
        <stp>12/31/2018</stp>
        <stp>12/31/2018</stp>
        <stp>[Live Pricing.xlsm]FX_Curve_History!R48C6</stp>
        <tr r="F48" s="50"/>
      </tp>
      <tp t="e">
        <v>#N/A</v>
        <stp/>
        <stp>##V3_BDPV12</stp>
        <stp>SF0006M Index</stp>
        <stp>PX_LAST</stp>
        <stp>[Live Pricing.xlsm]FX_Curve_Live!R110C2</stp>
        <tr r="B110" s="42"/>
      </tp>
      <tp t="e">
        <v>#N/A</v>
        <stp/>
        <stp>##V3_BDHV12</stp>
        <stp>BAU8 Comdty</stp>
        <stp>PX_LAST</stp>
        <stp>12/31/2018</stp>
        <stp>12/31/2018</stp>
        <stp>[Live Pricing.xlsm]FX_Curve_History!R131C4</stp>
        <tr r="D131" s="50"/>
      </tp>
      <tp t="e">
        <v>#N/A</v>
        <stp/>
        <stp>##V3_BDHV12</stp>
        <stp>YEH0 Comdty</stp>
        <stp>PX_LAST</stp>
        <stp>12/31/2018</stp>
        <stp>12/31/2018</stp>
        <stp>[Live Pricing.xlsm]FX_Curve_History!R62C4</stp>
        <tr r="D62" s="50"/>
      </tp>
      <tp t="e">
        <v>#N/A</v>
        <stp/>
        <stp>##V3_BDHV12</stp>
        <stp>BPSW30 Index</stp>
        <stp>PX_LAST</stp>
        <stp>12/31/2018</stp>
        <stp>12/31/2018</stp>
        <stp>[Live Pricing.xlsm]FX_Curve_History!R99C6</stp>
        <tr r="F99" s="50"/>
      </tp>
      <tp t="e">
        <v>#N/A</v>
        <stp/>
        <stp>##V3_BDHV12</stp>
        <stp>BPSW10 Index</stp>
        <stp>PX_LAST</stp>
        <stp>12/31/2018</stp>
        <stp>12/31/2018</stp>
        <stp>[Live Pricing.xlsm]FX_Curve_History!R89C6</stp>
        <tr r="F89" s="50"/>
      </tp>
      <tp t="e">
        <v>#N/A</v>
        <stp/>
        <stp>##V3_BDPV12</stp>
        <stp>SF0012M Index</stp>
        <stp>PX_LAST</stp>
        <stp>[Live Pricing.xlsm]FX_Curve_Live!R111C2</stp>
        <tr r="B111" s="42"/>
      </tp>
      <tp t="e">
        <v>#N/A</v>
        <stp/>
        <stp>##V3_BDHV12</stp>
        <stp>BAZ8 Comdty</stp>
        <stp>PX_LAST</stp>
        <stp>12/31/2018</stp>
        <stp>12/31/2018</stp>
        <stp>[Live Pricing.xlsm]FX_Curve_History!R132C4</stp>
        <tr r="D132" s="50"/>
      </tp>
      <tp t="e">
        <v>#N/A</v>
        <stp/>
        <stp>##V3_BDHV12</stp>
        <stp>EDM9 Comdty</stp>
        <stp>PX_LAST</stp>
        <stp>12/31/2018</stp>
        <stp>12/31/2018</stp>
        <stp>[Live Pricing.xlsm]Rate_History!R9C4</stp>
        <tr r="D9" s="49"/>
      </tp>
      <tp t="e">
        <v>#N/A</v>
        <stp/>
        <stp>##V3_BDPV12</stp>
        <stp>USDNZD Curncy</stp>
        <stp>PX_LAST</stp>
        <stp>[Live Pricing.xlsm]FX_Live!R10C5</stp>
        <tr r="E10" s="44"/>
      </tp>
      <tp t="e">
        <v>#N/A</v>
        <stp/>
        <stp>##V3_BDHV12</stp>
        <stp>YEZ9 Comdty</stp>
        <stp>PX_LAST</stp>
        <stp>12/31/2018</stp>
        <stp>12/31/2018</stp>
        <stp>[Live Pricing.xlsm]FX_Curve_History!R61C4</stp>
        <tr r="D61" s="50"/>
      </tp>
      <tp t="e">
        <v>#N/A</v>
        <stp/>
        <stp>##V3_BDHV12</stp>
        <stp>JY0002M Index</stp>
        <stp>PX_LAST</stp>
        <stp>12/31/2018</stp>
        <stp>12/31/2018</stp>
        <stp>[Live Pricing.xlsm]Rate_History!R58C2</stp>
        <tr r="B58" s="49"/>
        <tr r="B58" s="49"/>
      </tp>
      <tp t="e">
        <v>#N/A</v>
        <stp/>
        <stp>##V3_BDHV12</stp>
        <stp>EDH9 Comdty</stp>
        <stp>PX_LAST</stp>
        <stp>12/31/2018</stp>
        <stp>12/31/2018</stp>
        <stp>[Live Pricing.xlsm]Rate_History!R8C4</stp>
        <tr r="D8" s="49"/>
      </tp>
      <tp t="e">
        <v>#N/A</v>
        <stp/>
        <stp>##V3_BDPV12</stp>
        <stp>CLSWIB20 Index</stp>
        <stp>PX_LAST</stp>
        <stp>[Live Pricing.xlsm]FX_Curve_Live!R197C6</stp>
        <tr r="F197" s="42"/>
      </tp>
      <tp t="e">
        <v>#N/A</v>
        <stp/>
        <stp>##V3_BDHV12</stp>
        <stp>BAH9 Comdty</stp>
        <stp>PX_LAST</stp>
        <stp>12/31/2018</stp>
        <stp>12/31/2018</stp>
        <stp>[Live Pricing.xlsm]FX_Curve_History!R133C4</stp>
        <tr r="D133" s="50"/>
      </tp>
      <tp t="e">
        <v>#N/A</v>
        <stp/>
        <stp>##V3_BDHV12</stp>
        <stp>YEU9 Comdty</stp>
        <stp>PX_LAST</stp>
        <stp>12/31/2018</stp>
        <stp>12/31/2018</stp>
        <stp>[Live Pricing.xlsm]FX_Curve_History!R60C4</stp>
        <tr r="D60" s="50"/>
      </tp>
      <tp t="e">
        <v>#N/A</v>
        <stp/>
        <stp>##V3_BDHV12</stp>
        <stp>JYSW20 Index</stp>
        <stp>PX_LAST</stp>
        <stp>12/31/2018</stp>
        <stp>12/31/2018</stp>
        <stp>[Live Pricing.xlsm]FX_Curve_History!R72C6</stp>
        <tr r="F72" s="50"/>
      </tp>
      <tp t="e">
        <v>#N/A</v>
        <stp/>
        <stp>##V3_BDHV12</stp>
        <stp>JY0003M Index</stp>
        <stp>PX_LAST</stp>
        <stp>12/31/2018</stp>
        <stp>12/31/2018</stp>
        <stp>[Live Pricing.xlsm]Rate_History!R59C2</stp>
        <tr r="B59" s="49"/>
      </tp>
      <tp t="e">
        <v>#N/A</v>
        <stp/>
        <stp>##V3_BDPV12</stp>
        <stp>US0001m Index</stp>
        <stp>PX_LAST</stp>
        <stp>[Live Pricing.xlsm]Rate_Live!R7C2</stp>
        <tr r="B7" s="39"/>
      </tp>
      <tp t="e">
        <v>#N/A</v>
        <stp/>
        <stp>##V3_BDHV12</stp>
        <stp>SFSW5 Index</stp>
        <stp>PX_LAST</stp>
        <stp>12/31/2018</stp>
        <stp>12/31/2018</stp>
        <stp>[Live Pricing.xlsm]FX_Curve_History!R109C6</stp>
        <tr r="F109" s="50"/>
      </tp>
      <tp t="e">
        <v>#N/A</v>
        <stp/>
        <stp>##V3_BDHV12</stp>
        <stp>ESM0 Comdty</stp>
        <stp>PX_LAST</stp>
        <stp>12/31/2018</stp>
        <stp>12/31/2018</stp>
        <stp>[Live Pricing.xlsm]Rate_History!R113C4</stp>
        <tr r="D113" s="49"/>
      </tp>
      <tp t="e">
        <v>#N/A</v>
        <stp/>
        <stp>##V3_BDPV12</stp>
        <stp>USDSEK Curncy</stp>
        <stp>PX_LAST</stp>
        <stp>[Live Pricing.xlsm]FX_Live!R6C5</stp>
        <tr r="E6" s="44"/>
      </tp>
      <tp t="e">
        <v>#N/A</v>
        <stp/>
        <stp>##V3_BDHV12</stp>
        <stp>SFSW4 Index</stp>
        <stp>PX_LAST</stp>
        <stp>12/31/2018</stp>
        <stp>12/31/2018</stp>
        <stp>[Live Pricing.xlsm]FX_Curve_History!R108C6</stp>
        <tr r="F108" s="50"/>
      </tp>
      <tp t="e">
        <v>#N/A</v>
        <stp/>
        <stp>##V3_BDHV12</stp>
        <stp>ESH0 Comdty</stp>
        <stp>PX_LAST</stp>
        <stp>12/31/2018</stp>
        <stp>12/31/2018</stp>
        <stp>[Live Pricing.xlsm]Rate_History!R112C4</stp>
        <tr r="D112" s="49"/>
      </tp>
      <tp t="e">
        <v>#N/A</v>
        <stp/>
        <stp>##V3_BDPV12</stp>
        <stp>CORRRMIN Index</stp>
        <stp>PX_LAST</stp>
        <stp>[Live Pricing.xlsm]FX_Curve_Live!R181C2</stp>
        <tr r="B181" s="42"/>
      </tp>
      <tp t="e">
        <v>#N/A</v>
        <stp/>
        <stp>##V3_BDHV12</stp>
        <stp>ESZ9 Comdty</stp>
        <stp>PX_LAST</stp>
        <stp>12/31/2018</stp>
        <stp>12/31/2018</stp>
        <stp>[Live Pricing.xlsm]Rate_History!R111C4</stp>
        <tr r="D111" s="49"/>
      </tp>
      <tp t="e">
        <v>#N/A</v>
        <stp/>
        <stp>##V3_BDHV12</stp>
        <stp>CDSW9 Index</stp>
        <stp>PX_LAST</stp>
        <stp>12/31/2018</stp>
        <stp>12/31/2018</stp>
        <stp>[Live Pricing.xlsm]FX_Curve_History!R138C6</stp>
        <tr r="F138" s="50"/>
      </tp>
      <tp t="e">
        <v>#N/A</v>
        <stp/>
        <stp>##V3_BDHV12</stp>
        <stp>ESU9 Comdty</stp>
        <stp>PX_LAST</stp>
        <stp>12/31/2018</stp>
        <stp>12/31/2018</stp>
        <stp>[Live Pricing.xlsm]Rate_History!R110C4</stp>
        <tr r="D110" s="49"/>
      </tp>
      <tp t="e">
        <v>#N/A</v>
        <stp/>
        <stp>##V3_BDPV12</stp>
        <stp>USDNOK Curncy</stp>
        <stp>PX_LAST</stp>
        <stp>[Live Pricing.xlsm]FX_Live!R5C5</stp>
        <tr r="E5" s="44"/>
      </tp>
      <tp t="e">
        <v>#N/A</v>
        <stp/>
        <stp>##V3_BDPV12</stp>
        <stp>HASWDI8Y Index</stp>
        <stp>PX_LAST</stp>
        <stp>[Live Pricing.xlsm]FX_Curve_Live!R163C9</stp>
        <stp/>
        <stp/>
        <tr r="I163" s="42"/>
      </tp>
      <tp t="e">
        <v>#N/A</v>
        <stp/>
        <stp>##V3_BDPV12</stp>
        <stp>HASWDI9Y Index</stp>
        <stp>PX_LAST</stp>
        <stp>[Live Pricing.xlsm]FX_Curve_Live!R164C9</stp>
        <stp/>
        <stp/>
        <tr r="I164" s="42"/>
      </tp>
      <tp t="e">
        <v>#N/A</v>
        <stp/>
        <stp>##V3_BDPV12</stp>
        <stp>HASWDI3Y Index</stp>
        <stp>PX_LAST</stp>
        <stp>[Live Pricing.xlsm]FX_Curve_Live!R158C9</stp>
        <stp/>
        <stp/>
        <tr r="I158" s="42"/>
      </tp>
      <tp t="e">
        <v>#N/A</v>
        <stp/>
        <stp>##V3_BDPV12</stp>
        <stp>HASWDI2Y Index</stp>
        <stp>PX_LAST</stp>
        <stp>[Live Pricing.xlsm]FX_Curve_Live!R157C9</stp>
        <stp/>
        <stp/>
        <tr r="I157" s="42"/>
      </tp>
      <tp t="e">
        <v>#N/A</v>
        <stp/>
        <stp>##V3_BDPV12</stp>
        <stp>HASWDI1Y Index</stp>
        <stp>PX_LAST</stp>
        <stp>[Live Pricing.xlsm]FX_Curve_Live!R156C9</stp>
        <stp/>
        <stp/>
        <tr r="I156" s="42"/>
      </tp>
      <tp t="e">
        <v>#N/A</v>
        <stp/>
        <stp>##V3_BDPV12</stp>
        <stp>HASWDI5Y Index</stp>
        <stp>PX_LAST</stp>
        <stp>[Live Pricing.xlsm]FX_Curve_Live!R160C9</stp>
        <stp/>
        <stp/>
        <tr r="I160" s="42"/>
      </tp>
      <tp t="e">
        <v>#N/A</v>
        <stp/>
        <stp>##V3_BDPV12</stp>
        <stp>HASWDI6Y Index</stp>
        <stp>PX_LAST</stp>
        <stp>[Live Pricing.xlsm]FX_Curve_Live!R161C9</stp>
        <stp/>
        <stp/>
        <tr r="I161" s="42"/>
      </tp>
      <tp t="e">
        <v>#N/A</v>
        <stp/>
        <stp>##V3_BDPV12</stp>
        <stp>HASWDI7Y Index</stp>
        <stp>PX_LAST</stp>
        <stp>[Live Pricing.xlsm]FX_Curve_Live!R162C9</stp>
        <stp/>
        <stp/>
        <tr r="I162" s="42"/>
      </tp>
      <tp t="e">
        <v>#N/A</v>
        <stp/>
        <stp>##V3_BDPV12</stp>
        <stp>HASWDI4Y Index</stp>
        <stp>PX_LAST</stp>
        <stp>[Live Pricing.xlsm]FX_Curve_Live!R159C9</stp>
        <stp/>
        <stp/>
        <tr r="I159" s="42"/>
      </tp>
      <tp t="e">
        <v>#N/A</v>
        <stp/>
        <stp>##V3_BDPV12</stp>
        <stp>JYBS40 Index</stp>
        <stp>PX_LAST</stp>
        <stp>[Live Pricing.xlsm]FX_Curve_History!R75C13</stp>
        <tr r="M75" s="50"/>
      </tp>
      <tp t="e">
        <v>#N/A</v>
        <stp/>
        <stp>##V3_BDPV12</stp>
        <stp>USDEUR Curncy</stp>
        <stp>PX_LAST</stp>
        <stp>[Live Pricing.xlsm]FX_Live!R2C5</stp>
        <tr r="E2" s="44"/>
      </tp>
      <tp t="e">
        <v>#N/A</v>
        <stp/>
        <stp>##V3_BDHV12</stp>
        <stp>ESZ8 Comdty</stp>
        <stp>PX_LAST</stp>
        <stp>12/31/2018</stp>
        <stp>12/31/2018</stp>
        <stp>[Live Pricing.xlsm]Rate_History!R107C4</stp>
        <tr r="D107" s="49"/>
      </tp>
      <tp t="e">
        <v>#N/A</v>
        <stp/>
        <stp>##V3_BDPV12</stp>
        <stp>JYBS30 Index</stp>
        <stp>PX_LAST</stp>
        <stp>[Live Pricing.xlsm]FX_Curve_History!R74C13</stp>
        <tr r="M74" s="50"/>
      </tp>
      <tp t="e">
        <v>#N/A</v>
        <stp/>
        <stp>##V3_BDPV12</stp>
        <stp>USDGBP Curncy</stp>
        <stp>PX_LAST</stp>
        <stp>[Live Pricing.xlsm]FX_Live!R3C5</stp>
        <tr r="E3" s="44"/>
      </tp>
      <tp t="e">
        <v>#N/A</v>
        <stp/>
        <stp>##V3_BDHV12</stp>
        <stp>ESU8 Comdty</stp>
        <stp>PX_LAST</stp>
        <stp>12/31/2018</stp>
        <stp>12/31/2018</stp>
        <stp>[Live Pricing.xlsm]Rate_History!R106C4</stp>
        <tr r="D106" s="49"/>
      </tp>
      <tp t="e">
        <v>#N/A</v>
        <stp/>
        <stp>##V3_BDPV12</stp>
        <stp>JYBS25 Index</stp>
        <stp>PX_LAST</stp>
        <stp>[Live Pricing.xlsm]FX_Curve_History!R73C13</stp>
        <tr r="M73" s="50"/>
      </tp>
      <tp t="e">
        <v>#N/A</v>
        <stp/>
        <stp>##V3_BDPV12</stp>
        <stp>JYBS20 Index</stp>
        <stp>PX_LAST</stp>
        <stp>[Live Pricing.xlsm]FX_Curve_History!R72C13</stp>
        <tr r="M72" s="50"/>
      </tp>
      <tp t="e">
        <v>#N/A</v>
        <stp/>
        <stp>##V3_BDPV12</stp>
        <stp>JYBS15 Index</stp>
        <stp>PX_LAST</stp>
        <stp>[Live Pricing.xlsm]FX_Curve_History!R69C13</stp>
        <tr r="M69" s="50"/>
      </tp>
      <tp t="e">
        <v>#N/A</v>
        <stp/>
        <stp>##V3_BDPV12</stp>
        <stp>JYBS11 Index</stp>
        <stp>PX_LAST</stp>
        <stp>[Live Pricing.xlsm]FX_Curve_History!R65C13</stp>
        <tr r="M65" s="50"/>
      </tp>
      <tp t="e">
        <v>#N/A</v>
        <stp/>
        <stp>##V3_BDPV12</stp>
        <stp>JYBS10 Index</stp>
        <stp>PX_LAST</stp>
        <stp>[Live Pricing.xlsm]FX_Curve_History!R64C13</stp>
        <tr r="M64" s="50"/>
      </tp>
      <tp t="e">
        <v>#N/A</v>
        <stp/>
        <stp>##V3_BDPV12</stp>
        <stp>JYBS12 Index</stp>
        <stp>PX_LAST</stp>
        <stp>[Live Pricing.xlsm]FX_Curve_History!R66C13</stp>
        <tr r="M66" s="50"/>
      </tp>
      <tp t="e">
        <v>#N/A</v>
        <stp/>
        <stp>##V3_BDHV12</stp>
        <stp>SFSW7 Index</stp>
        <stp>PX_LAST</stp>
        <stp>12/31/2018</stp>
        <stp>12/31/2018</stp>
        <stp>[Live Pricing.xlsm]FX_Curve_History!R111C6</stp>
        <tr r="F111" s="50"/>
      </tp>
      <tp t="e">
        <v>#N/A</v>
        <stp/>
        <stp>##V3_BDHV12</stp>
        <stp>CDSW4 Index</stp>
        <stp>PX_LAST</stp>
        <stp>12/31/2018</stp>
        <stp>12/31/2018</stp>
        <stp>[Live Pricing.xlsm]FX_Curve_History!R133C6</stp>
        <tr r="F133" s="50"/>
      </tp>
      <tp t="e">
        <v>#N/A</v>
        <stp/>
        <stp>##V3_BDHV12</stp>
        <stp/>
        <stp>PX_LAST</stp>
        <stp>12/31/2018</stp>
        <stp>12/31/2018</stp>
        <stp>[Live Pricing.xlsm]FX_Curve_History!R162C22</stp>
        <tr r="V162" s="50"/>
      </tp>
      <tp t="e">
        <v>#N/A</v>
        <stp/>
        <stp>##V3_BDPV12</stp>
        <stp>EDH9 Comdty</stp>
        <stp>PX_LAST</stp>
        <stp>[Live Pricing.xlsm]FX_Curve_Live!R8C4</stp>
        <tr r="D8" s="42"/>
      </tp>
      <tp t="e">
        <v>#N/A</v>
        <stp/>
        <stp>##V3_BDPV12</stp>
        <stp>CLSWIB1F Index</stp>
        <stp>PX_LAST</stp>
        <stp>[Live Pricing.xlsm]FX_Curve_Live!R187C2</stp>
        <tr r="B187" s="42"/>
      </tp>
      <tp t="e">
        <v>#N/A</v>
        <stp/>
        <stp>##V3_BDHV12</stp>
        <stp>SFSW6 Index</stp>
        <stp>PX_LAST</stp>
        <stp>12/31/2018</stp>
        <stp>12/31/2018</stp>
        <stp>[Live Pricing.xlsm]FX_Curve_History!R110C6</stp>
        <tr r="F110" s="50"/>
      </tp>
      <tp t="e">
        <v>#N/A</v>
        <stp/>
        <stp>##V3_BDHV12</stp>
        <stp>CDSW3 Index</stp>
        <stp>PX_LAST</stp>
        <stp>12/31/2018</stp>
        <stp>12/31/2018</stp>
        <stp>[Live Pricing.xlsm]FX_Curve_History!R132C6</stp>
        <tr r="F132" s="50"/>
      </tp>
      <tp t="e">
        <v>#N/A</v>
        <stp/>
        <stp>##V3_BDPV12</stp>
        <stp>SFBS8 Index</stp>
        <stp>PX_LAST</stp>
        <stp>[Live Pricing.xlsm]FX_Curve_Live!R112C13</stp>
        <tr r="M112" s="42"/>
      </tp>
      <tp t="e">
        <v>#N/A</v>
        <stp/>
        <stp>##V3_BDPV12</stp>
        <stp>SFBS9 Index</stp>
        <stp>PX_LAST</stp>
        <stp>[Live Pricing.xlsm]FX_Curve_Live!R113C13</stp>
        <tr r="M113" s="42"/>
      </tp>
      <tp t="e">
        <v>#N/A</v>
        <stp/>
        <stp>##V3_BDPV12</stp>
        <stp>SFBS6 Index</stp>
        <stp>PX_LAST</stp>
        <stp>[Live Pricing.xlsm]FX_Curve_Live!R110C13</stp>
        <tr r="M110" s="42"/>
      </tp>
      <tp t="e">
        <v>#N/A</v>
        <stp/>
        <stp>##V3_BDPV12</stp>
        <stp>SFBS7 Index</stp>
        <stp>PX_LAST</stp>
        <stp>[Live Pricing.xlsm]FX_Curve_Live!R111C13</stp>
        <tr r="M111" s="42"/>
      </tp>
      <tp t="e">
        <v>#N/A</v>
        <stp/>
        <stp>##V3_BDPV12</stp>
        <stp>SFBS4 Index</stp>
        <stp>PX_LAST</stp>
        <stp>[Live Pricing.xlsm]FX_Curve_Live!R108C13</stp>
        <tr r="M108" s="42"/>
      </tp>
      <tp t="e">
        <v>#N/A</v>
        <stp/>
        <stp>##V3_BDPV12</stp>
        <stp>SFBS5 Index</stp>
        <stp>PX_LAST</stp>
        <stp>[Live Pricing.xlsm]FX_Curve_Live!R109C13</stp>
        <tr r="M109" s="42"/>
      </tp>
      <tp t="e">
        <v>#N/A</v>
        <stp/>
        <stp>##V3_BDPV12</stp>
        <stp>SFBS2 Index</stp>
        <stp>PX_LAST</stp>
        <stp>[Live Pricing.xlsm]FX_Curve_Live!R106C13</stp>
        <tr r="M106" s="42"/>
      </tp>
      <tp t="e">
        <v>#N/A</v>
        <stp/>
        <stp>##V3_BDPV12</stp>
        <stp>SFBS1 Index</stp>
        <stp>PX_LAST</stp>
        <stp>[Live Pricing.xlsm]FX_Curve_Live!R106C16</stp>
        <tr r="P106" s="42"/>
      </tp>
      <tp t="e">
        <v>#N/A</v>
        <stp/>
        <stp>##V3_BDPV12</stp>
        <stp>EUBS11 Index</stp>
        <stp>PX_LAST</stp>
        <stp>[Live Pricing.xlsm]FX_Curve_History!R40C13</stp>
        <tr r="M40" s="50"/>
      </tp>
      <tp t="e">
        <v>#N/A</v>
        <stp/>
        <stp>##V3_BDPV12</stp>
        <stp>EUBS10 Index</stp>
        <stp>PX_LAST</stp>
        <stp>[Live Pricing.xlsm]FX_Curve_History!R39C13</stp>
        <tr r="M39" s="50"/>
      </tp>
      <tp t="e">
        <v>#N/A</v>
        <stp/>
        <stp>##V3_BDPV12</stp>
        <stp>EUBS12 Index</stp>
        <stp>PX_LAST</stp>
        <stp>[Live Pricing.xlsm]FX_Curve_History!R41C13</stp>
        <tr r="M41" s="50"/>
      </tp>
      <tp t="e">
        <v>#N/A</v>
        <stp/>
        <stp>##V3_BDPV12</stp>
        <stp>EUBS15 Index</stp>
        <stp>PX_LAST</stp>
        <stp>[Live Pricing.xlsm]FX_Curve_History!R44C13</stp>
        <tr r="M44" s="50"/>
      </tp>
      <tp t="e">
        <v>#N/A</v>
        <stp/>
        <stp>##V3_BDHV12</stp>
        <stp>SFSW9 Index</stp>
        <stp>PX_LAST</stp>
        <stp>12/31/2018</stp>
        <stp>12/31/2018</stp>
        <stp>[Live Pricing.xlsm]FX_Curve_History!R113C6</stp>
        <tr r="F113" s="50"/>
      </tp>
      <tp t="e">
        <v>#N/A</v>
        <stp/>
        <stp>##V3_BDHV12</stp>
        <stp>CDSW2 Index</stp>
        <stp>PX_LAST</stp>
        <stp>12/31/2018</stp>
        <stp>12/31/2018</stp>
        <stp>[Live Pricing.xlsm]FX_Curve_History!R131C6</stp>
        <tr r="F131" s="50"/>
      </tp>
      <tp t="e">
        <v>#N/A</v>
        <stp/>
        <stp>##V3_BDHV12</stp>
        <stp>ESM9 Comdty</stp>
        <stp>PX_LAST</stp>
        <stp>12/31/2018</stp>
        <stp>12/31/2018</stp>
        <stp>[Live Pricing.xlsm]Rate_History!R109C4</stp>
        <tr r="D109" s="49"/>
      </tp>
      <tp t="e">
        <v>#N/A</v>
        <stp/>
        <stp>##V3_BDPV12</stp>
        <stp>EUBS20 Index</stp>
        <stp>PX_LAST</stp>
        <stp>[Live Pricing.xlsm]FX_Curve_History!R47C13</stp>
        <tr r="M47" s="50"/>
      </tp>
      <tp t="e">
        <v>#N/A</v>
        <stp/>
        <stp>##V3_BDPV12</stp>
        <stp>EUBS25 Index</stp>
        <stp>PX_LAST</stp>
        <stp>[Live Pricing.xlsm]FX_Curve_History!R48C13</stp>
        <tr r="M48" s="50"/>
      </tp>
      <tp t="e">
        <v>#N/A</v>
        <stp/>
        <stp>##V3_BDHV12</stp>
        <stp>SFSW8 Index</stp>
        <stp>PX_LAST</stp>
        <stp>12/31/2018</stp>
        <stp>12/31/2018</stp>
        <stp>[Live Pricing.xlsm]FX_Curve_History!R112C6</stp>
        <tr r="F112" s="50"/>
      </tp>
      <tp t="e">
        <v>#N/A</v>
        <stp/>
        <stp>##V3_BDHV12</stp>
        <stp>ESH9 Comdty</stp>
        <stp>PX_LAST</stp>
        <stp>12/31/2018</stp>
        <stp>12/31/2018</stp>
        <stp>[Live Pricing.xlsm]Rate_History!R108C4</stp>
        <tr r="D108" s="49"/>
      </tp>
      <tp t="e">
        <v>#N/A</v>
        <stp/>
        <stp>##V3_BDPV12</stp>
        <stp>CDBS8 Index</stp>
        <stp>PX_LAST</stp>
        <stp>[Live Pricing.xlsm]FX_Curve_Live!R137C13</stp>
        <tr r="M137" s="42"/>
      </tp>
      <tp t="e">
        <v>#N/A</v>
        <stp/>
        <stp>##V3_BDPV12</stp>
        <stp>CDBS4 Index</stp>
        <stp>PX_LAST</stp>
        <stp>[Live Pricing.xlsm]FX_Curve_Live!R133C13</stp>
        <tr r="M133" s="42"/>
      </tp>
      <tp t="e">
        <v>#N/A</v>
        <stp/>
        <stp>##V3_BDPV12</stp>
        <stp>CDBS5 Index</stp>
        <stp>PX_LAST</stp>
        <stp>[Live Pricing.xlsm]FX_Curve_Live!R134C13</stp>
        <tr r="M134" s="42"/>
      </tp>
      <tp t="e">
        <v>#N/A</v>
        <stp/>
        <stp>##V3_BDPV12</stp>
        <stp>CDBS7 Index</stp>
        <stp>PX_LAST</stp>
        <stp>[Live Pricing.xlsm]FX_Curve_Live!R136C13</stp>
        <tr r="M136" s="42"/>
      </tp>
      <tp t="e">
        <v>#N/A</v>
        <stp/>
        <stp>##V3_BDPV12</stp>
        <stp>CDBS9 Index</stp>
        <stp>PX_LAST</stp>
        <stp>[Live Pricing.xlsm]FX_Curve_Live!R138C13</stp>
        <tr r="M138" s="42"/>
      </tp>
      <tp t="e">
        <v>#N/A</v>
        <stp/>
        <stp>##V3_BDPV12</stp>
        <stp>CDBS2 Index</stp>
        <stp>PX_LAST</stp>
        <stp>[Live Pricing.xlsm]FX_Curve_Live!R131C13</stp>
        <tr r="M131" s="42"/>
      </tp>
      <tp t="e">
        <v>#N/A</v>
        <stp/>
        <stp>##V3_BDPV12</stp>
        <stp>CDBS6 Index</stp>
        <stp>PX_LAST</stp>
        <stp>[Live Pricing.xlsm]FX_Curve_Live!R135C13</stp>
        <tr r="M135" s="42"/>
      </tp>
      <tp t="e">
        <v>#N/A</v>
        <stp/>
        <stp>##V3_BDPV12</stp>
        <stp>CDBS1 Index</stp>
        <stp>PX_LAST</stp>
        <stp>[Live Pricing.xlsm]FX_Curve_Live!R131C16</stp>
        <tr r="P131" s="42"/>
      </tp>
      <tp t="e">
        <v>#N/A</v>
        <stp/>
        <stp>##V3_BDPV12</stp>
        <stp>EUBS30 Index</stp>
        <stp>PX_LAST</stp>
        <stp>[Live Pricing.xlsm]FX_Curve_History!R49C13</stp>
        <tr r="M49" s="50"/>
      </tp>
      <tp t="e">
        <v>#N/A</v>
        <stp/>
        <stp>##V3_BDHV12</stp>
        <stp>CDSW8 Index</stp>
        <stp>PX_LAST</stp>
        <stp>12/31/2018</stp>
        <stp>12/31/2018</stp>
        <stp>[Live Pricing.xlsm]FX_Curve_History!R137C6</stp>
        <tr r="F137" s="50"/>
      </tp>
      <tp t="e">
        <v>#N/A</v>
        <stp/>
        <stp>##V3_BDPV12</stp>
        <stp>EUBS40 Index</stp>
        <stp>PX_LAST</stp>
        <stp>[Live Pricing.xlsm]FX_Curve_History!R50C13</stp>
        <tr r="M50" s="50"/>
      </tp>
      <tp t="e">
        <v>#N/A</v>
        <stp/>
        <stp>##V3_BDPV12</stp>
        <stp>EDM9 Comdty</stp>
        <stp>PX_LAST</stp>
        <stp>[Live Pricing.xlsm]FX_Curve_Live!R9C4</stp>
        <tr r="D9" s="42"/>
      </tp>
      <tp t="e">
        <v>#N/A</v>
        <stp/>
        <stp>##V3_BDHV12</stp>
        <stp>CDSW7 Index</stp>
        <stp>PX_LAST</stp>
        <stp>12/31/2018</stp>
        <stp>12/31/2018</stp>
        <stp>[Live Pricing.xlsm]FX_Curve_History!R136C6</stp>
        <tr r="F136" s="50"/>
      </tp>
      <tp t="e">
        <v>#N/A</v>
        <stp/>
        <stp>##V3_BDPV12</stp>
        <stp>BPBS25 Index</stp>
        <stp>PX_LAST</stp>
        <stp>[Live Pricing.xlsm]FX_Curve_History!R98C13</stp>
        <tr r="M98" s="50"/>
      </tp>
      <tp t="e">
        <v>#N/A</v>
        <stp/>
        <stp>##V3_BDPV12</stp>
        <stp>BPBS20 Index</stp>
        <stp>PX_LAST</stp>
        <stp>[Live Pricing.xlsm]FX_Curve_History!R97C13</stp>
        <tr r="M97" s="50"/>
      </tp>
      <tp t="e">
        <v>#N/A</v>
        <stp/>
        <stp>##V3_BDPV12</stp>
        <stp>US0003m Index</stp>
        <stp>PX_LAST</stp>
        <stp>[Live Pricing.xlsm]Rate_Live!R9C2</stp>
        <tr r="B9" s="39"/>
      </tp>
      <tp t="e">
        <v>#N/A</v>
        <stp/>
        <stp>##V3_BDHV12</stp>
        <stp>SFSW3 Index</stp>
        <stp>PX_LAST</stp>
        <stp>12/31/2018</stp>
        <stp>12/31/2018</stp>
        <stp>[Live Pricing.xlsm]FX_Curve_History!R107C6</stp>
        <tr r="F107" s="50"/>
      </tp>
      <tp t="e">
        <v>#N/A</v>
        <stp/>
        <stp>##V3_BDHV12</stp>
        <stp>CDSW6 Index</stp>
        <stp>PX_LAST</stp>
        <stp>12/31/2018</stp>
        <stp>12/31/2018</stp>
        <stp>[Live Pricing.xlsm]FX_Curve_History!R135C6</stp>
        <tr r="F135" s="50"/>
      </tp>
      <tp t="e">
        <v>#N/A</v>
        <stp/>
        <stp>##V3_BDPV12</stp>
        <stp>BPBS15 Index</stp>
        <stp>PX_LAST</stp>
        <stp>[Live Pricing.xlsm]FX_Curve_History!R94C13</stp>
        <tr r="M94" s="50"/>
      </tp>
      <tp t="e">
        <v>#N/A</v>
        <stp/>
        <stp>##V3_BDPV12</stp>
        <stp>BPBS10 Index</stp>
        <stp>PX_LAST</stp>
        <stp>[Live Pricing.xlsm]FX_Curve_History!R89C13</stp>
        <tr r="M89" s="50"/>
      </tp>
      <tp t="e">
        <v>#N/A</v>
        <stp/>
        <stp>##V3_BDPV12</stp>
        <stp>BPBS11 Index</stp>
        <stp>PX_LAST</stp>
        <stp>[Live Pricing.xlsm]FX_Curve_History!R90C13</stp>
        <tr r="M90" s="50"/>
      </tp>
      <tp t="e">
        <v>#N/A</v>
        <stp/>
        <stp>##V3_BDPV12</stp>
        <stp>BPBS12 Index</stp>
        <stp>PX_LAST</stp>
        <stp>[Live Pricing.xlsm]FX_Curve_History!R91C13</stp>
        <tr r="M91" s="50"/>
      </tp>
      <tp t="e">
        <v>#N/A</v>
        <stp/>
        <stp>##V3_BDPV12</stp>
        <stp>US0002m Index</stp>
        <stp>PX_LAST</stp>
        <stp>[Live Pricing.xlsm]Rate_Live!R8C2</stp>
        <tr r="B8" s="39"/>
      </tp>
      <tp t="e">
        <v>#N/A</v>
        <stp/>
        <stp>##V3_BDHV12</stp>
        <stp>SFSW2 Index</stp>
        <stp>PX_LAST</stp>
        <stp>12/31/2018</stp>
        <stp>12/31/2018</stp>
        <stp>[Live Pricing.xlsm]FX_Curve_History!R106C6</stp>
        <tr r="F106" s="50"/>
      </tp>
      <tp t="e">
        <v>#N/A</v>
        <stp/>
        <stp>##V3_BDHV12</stp>
        <stp>CDSW5 Index</stp>
        <stp>PX_LAST</stp>
        <stp>12/31/2018</stp>
        <stp>12/31/2018</stp>
        <stp>[Live Pricing.xlsm]FX_Curve_History!R134C6</stp>
        <tr r="F134" s="50"/>
      </tp>
      <tp t="e">
        <v>#N/A</v>
        <stp/>
        <stp>##V3_BDPV12</stp>
        <stp>USDJPY Curncy</stp>
        <stp>PX_LAST</stp>
        <stp>[Live Pricing.xlsm]FX_Live!R9C5</stp>
        <tr r="E9" s="44"/>
      </tp>
      <tp t="e">
        <v>#N/A</v>
        <stp/>
        <stp>##V3_BDHV12</stp>
        <stp>BAU8 Comdty</stp>
        <stp>PX_LAST</stp>
        <stp>12/31/2018</stp>
        <stp>12/31/2018</stp>
        <stp>[Live Pricing.xlsm]Rate_History!R131C4</stp>
        <tr r="D131" s="49"/>
      </tp>
      <tp t="e">
        <v>#N/A</v>
        <stp/>
        <stp>##V3_BDPV12</stp>
        <stp>CLSWIBA Index</stp>
        <stp>PX_LAST</stp>
        <stp>[Live Pricing.xlsm]FX_Curve_Live!R182C2</stp>
        <tr r="B182" s="42"/>
      </tp>
      <tp t="e">
        <v>#N/A</v>
        <stp/>
        <stp>##V3_BDHV12</stp>
        <stp>USSW4 Index</stp>
        <stp>PX_LAST</stp>
        <stp>12/31/2018</stp>
        <stp>12/31/2018</stp>
        <stp>[Live Pricing.xlsm]Rate_History!R8C6</stp>
        <tr r="F8" s="49"/>
      </tp>
      <tp t="e">
        <v>#N/A</v>
        <stp/>
        <stp>##V3_BDHV12</stp>
        <stp>BAH9 Comdty</stp>
        <stp>PX_LAST</stp>
        <stp>12/31/2018</stp>
        <stp>12/31/2018</stp>
        <stp>[Live Pricing.xlsm]Rate_History!R133C4</stp>
        <tr r="D133" s="49"/>
      </tp>
      <tp t="e">
        <v>#N/A</v>
        <stp/>
        <stp>##V3_BDPV12</stp>
        <stp>BPBS1 curncy</stp>
        <stp>PX_LAST</stp>
        <stp>[Live Pricing.xlsm]FX_Curve_History!R81C16</stp>
        <tr r="P81" s="50"/>
      </tp>
      <tp t="e">
        <v>#N/A</v>
        <stp/>
        <stp>##V3_BDHV12</stp>
        <stp>USSW5 Index</stp>
        <stp>PX_LAST</stp>
        <stp>12/31/2018</stp>
        <stp>12/31/2018</stp>
        <stp>[Live Pricing.xlsm]Rate_History!R9C6</stp>
        <tr r="F9" s="49"/>
      </tp>
      <tp t="e">
        <v>#N/A</v>
        <stp/>
        <stp>##V3_BDHV12</stp>
        <stp>BAZ8 Comdty</stp>
        <stp>PX_LAST</stp>
        <stp>12/31/2018</stp>
        <stp>12/31/2018</stp>
        <stp>[Live Pricing.xlsm]Rate_History!R132C4</stp>
        <tr r="D132" s="49"/>
      </tp>
      <tp t="e">
        <v>#N/A</v>
        <stp/>
        <stp>##V3_BDHV12</stp>
        <stp>US0012m Index</stp>
        <stp>PX_LAST</stp>
        <stp>12/31/2018</stp>
        <stp>12/31/2018</stp>
        <stp>[Live Pricing.xlsm]FX_Curve_History!R11C2</stp>
        <tr r="B11" s="50"/>
      </tp>
      <tp t="e">
        <v>#N/A</v>
        <stp/>
        <stp>##V3_BDHV12</stp>
        <stp>BAU9 Comdty</stp>
        <stp>PX_LAST</stp>
        <stp>12/31/2018</stp>
        <stp>12/31/2018</stp>
        <stp>[Live Pricing.xlsm]Rate_History!R135C4</stp>
        <tr r="D135" s="49"/>
      </tp>
      <tp t="e">
        <v>#N/A</v>
        <stp/>
        <stp>##V3_BDHV12</stp>
        <stp>US0006m Index</stp>
        <stp>PX_LAST</stp>
        <stp>12/31/2018</stp>
        <stp>12/31/2018</stp>
        <stp>[Live Pricing.xlsm]FX_Curve_History!R10C2</stp>
        <tr r="B10" s="50"/>
      </tp>
      <tp t="e">
        <v>#N/A</v>
        <stp/>
        <stp>##V3_BDPV12</stp>
        <stp>CLSWIBC Index</stp>
        <stp>PX_LAST</stp>
        <stp>[Live Pricing.xlsm]FX_Curve_Live!R184C2</stp>
        <tr r="B184" s="42"/>
      </tp>
      <tp t="e">
        <v>#N/A</v>
        <stp/>
        <stp>##V3_BDHV12</stp>
        <stp>BAM9 Comdty</stp>
        <stp>PX_LAST</stp>
        <stp>12/31/2018</stp>
        <stp>12/31/2018</stp>
        <stp>[Live Pricing.xlsm]Rate_History!R134C4</stp>
        <tr r="D134" s="49"/>
      </tp>
      <tp t="e">
        <v>#N/A</v>
        <stp/>
        <stp>##V3_BDPV12</stp>
        <stp>EDZ8 Comdty</stp>
        <stp>PX_LAST</stp>
        <stp>[Live Pricing.xlsm]FX_Curve_Live!R7C4</stp>
        <tr r="D7" s="42"/>
      </tp>
      <tp t="e">
        <v>#N/A</v>
        <stp/>
        <stp>##V3_BDHV12</stp>
        <stp>BAH0 Comdty</stp>
        <stp>PX_LAST</stp>
        <stp>12/31/2018</stp>
        <stp>12/31/2018</stp>
        <stp>[Live Pricing.xlsm]Rate_History!R137C4</stp>
        <tr r="D137" s="49"/>
      </tp>
      <tp t="e">
        <v>#N/A</v>
        <stp/>
        <stp>##V3_BDHV12</stp>
        <stp>BAZ9 Comdty</stp>
        <stp>PX_LAST</stp>
        <stp>12/31/2018</stp>
        <stp>12/31/2018</stp>
        <stp>[Live Pricing.xlsm]Rate_History!R136C4</stp>
        <tr r="D136" s="49"/>
      </tp>
      <tp t="e">
        <v>#N/A</v>
        <stp/>
        <stp>##V3_BDPV12</stp>
        <stp>JYSSTL1 index</stp>
        <stp>PX_LAST</stp>
        <stp>[Live Pricing.xlsm]Rate_History!R57C14</stp>
        <tr r="N57" s="49"/>
      </tp>
      <tp t="e">
        <v>#N/A</v>
        <stp/>
        <stp>##V3_BDPV12</stp>
        <stp>JYSSTL2 index</stp>
        <stp>PX_LAST</stp>
        <stp>[Live Pricing.xlsm]Rate_History!R58C14</stp>
        <tr r="N58" s="49"/>
      </tp>
      <tp t="e">
        <v>#N/A</v>
        <stp/>
        <stp>##V3_BDHV12</stp>
        <stp>BAM0 Comdty</stp>
        <stp>PX_LAST</stp>
        <stp>12/31/2018</stp>
        <stp>12/31/2018</stp>
        <stp>[Live Pricing.xlsm]Rate_History!R138C4</stp>
        <tr r="D138" s="49"/>
      </tp>
      <tp t="e">
        <v>#N/A</v>
        <stp/>
        <stp>##V3_BDPV12</stp>
        <stp>EDU8 Comdty</stp>
        <stp>PX_LAST</stp>
        <stp>[Live Pricing.xlsm]FX_Curve_Live!R6C4</stp>
        <tr r="D6" s="42"/>
        <tr r="D6" s="42"/>
      </tp>
      <tp t="e">
        <v>#N/A</v>
        <stp/>
        <stp>##V3_BDHV12</stp>
        <stp>USSW2 Index</stp>
        <stp>PX_LAST</stp>
        <stp>12/31/2018</stp>
        <stp>12/31/2018</stp>
        <stp>[Live Pricing.xlsm]Rate_History!R6C6</stp>
        <tr r="F6" s="49"/>
      </tp>
      <tp t="e">
        <v>#N/A</v>
        <stp/>
        <stp>##V3_BDHV12</stp>
        <stp>USSW3 Index</stp>
        <stp>PX_LAST</stp>
        <stp>12/31/2018</stp>
        <stp>12/31/2018</stp>
        <stp>[Live Pricing.xlsm]Rate_History!R7C6</stp>
        <tr r="F7" s="49"/>
      </tp>
      <tp t="e">
        <v>#N/A</v>
        <stp/>
        <stp>##V3_BDPV12</stp>
        <stp>US00o/n Index</stp>
        <stp>PX_LAST</stp>
        <stp>[Live Pricing.xlsm]FX_Curve_Live!R6C2</stp>
        <tr r="B6" s="42"/>
      </tp>
      <tp t="e">
        <v>#N/A</v>
        <stp/>
        <stp>##V3_BDPV12</stp>
        <stp>CABROVER Index</stp>
        <stp>PX_LAST</stp>
        <stp>[Live Pricing.xlsm]FX_Curve_Live!R131C2</stp>
        <tr r="B131" s="42"/>
      </tp>
      <tp t="e">
        <v>#N/A</v>
        <stp/>
        <stp>##V3_BDPV12</stp>
        <stp>CLSWIBI Index</stp>
        <stp>PX_LAST</stp>
        <stp>[Live Pricing.xlsm]FX_Curve_Live!R185C2</stp>
        <tr r="B185" s="42"/>
      </tp>
      <tp t="e">
        <v>#N/A</v>
        <stp/>
        <stp>##V3_BDPV12</stp>
        <stp>CDSW10 Index</stp>
        <stp>PX_LAST</stp>
        <stp>[Live Pricing.xlsm]FX_Curve_Live!R139C6</stp>
        <tr r="F139" s="42"/>
      </tp>
      <tp t="e">
        <v>#N/A</v>
        <stp/>
        <stp>##V3_BDHV12</stp>
        <stp>CAD6M BGN Curncy</stp>
        <stp>PX_LAST</stp>
        <stp>1/1/2019</stp>
        <stp>1/1/2019</stp>
        <stp>[Live Pricing.xlsm]FXFR!R98C4</stp>
        <tr r="D98" s="46"/>
      </tp>
      <tp t="e">
        <v>#N/A</v>
        <stp/>
        <stp>##V3_BDPV12</stp>
        <stp>EUSA7 Index</stp>
        <stp>PX_LAST</stp>
        <stp>[Live Pricing.xlsm]FX_Curve_Live!R36C6</stp>
        <tr r="F36" s="42"/>
      </tp>
      <tp t="e">
        <v>#N/A</v>
        <stp/>
        <stp>##V3_BDHV12</stp>
        <stp>EDU9 Comdty</stp>
        <stp>PX_LAST</stp>
        <stp>12/31/2018</stp>
        <stp>12/31/2018</stp>
        <stp>[Live Pricing.xlsm]Rate_History!R10C4</stp>
        <tr r="D10" s="49"/>
      </tp>
      <tp t="e">
        <v>#N/A</v>
        <stp/>
        <stp>##V3_BDPV12</stp>
        <stp>US0006m Index</stp>
        <stp>PX_LAST</stp>
        <stp>[Live Pricing.xlsm]Rate_Live!R10C2</stp>
        <tr r="B10" s="39"/>
      </tp>
      <tp t="e">
        <v>#N/A</v>
        <stp/>
        <stp>##V3_BDHV12</stp>
        <stp>SF00S/N Index</stp>
        <stp>PX_LAST</stp>
        <stp>12/31/2018</stp>
        <stp>12/31/2018</stp>
        <stp>[Live Pricing.xlsm]FX_Curve_History!R106C2</stp>
        <tr r="B106" s="50"/>
      </tp>
      <tp t="e">
        <v>#N/A</v>
        <stp/>
        <stp>##V3_BDPV12</stp>
        <stp>BPSW15 Index</stp>
        <stp>PX_LAST</stp>
        <stp>[Live Pricing.xlsm]Rate_Live!R94C6</stp>
        <tr r="F94" s="39"/>
      </tp>
      <tp t="e">
        <v>#N/A</v>
        <stp/>
        <stp>##V3_BDPV12</stp>
        <stp>EUSA14 Index</stp>
        <stp>PX_LAST</stp>
        <stp>[Live Pricing.xlsm]Rate_Live!R43C6</stp>
        <tr r="F43" s="39"/>
      </tp>
      <tp t="e">
        <v>#N/A</v>
        <stp/>
        <stp>##V3_BDPV12</stp>
        <stp>BPSW20 Index</stp>
        <stp>PX_LAST</stp>
        <stp>[Live Pricing.xlsm]Rate_Live!R97C6</stp>
        <tr r="F97" s="39"/>
      </tp>
      <tp t="e">
        <v>#N/A</v>
        <stp/>
        <stp>##V3_BDPV12</stp>
        <stp>SFSW4 Index</stp>
        <stp>PX_LAST</stp>
        <stp>[Live Pricing.xlsm]FX_Curve_Live!R108C6</stp>
        <tr r="F108" s="42"/>
      </tp>
      <tp t="e">
        <v>#N/A</v>
        <stp/>
        <stp>##V3_BDPV12</stp>
        <stp>SFSW5 Index</stp>
        <stp>PX_LAST</stp>
        <stp>[Live Pricing.xlsm]FX_Curve_Live!R109C6</stp>
        <tr r="F109" s="42"/>
      </tp>
      <tp t="e">
        <v>#N/A</v>
        <stp/>
        <stp>##V3_BDHV12</stp>
        <stp>CORRRMIN Index</stp>
        <stp>PX_LAST</stp>
        <stp>12/31/2018</stp>
        <stp>12/31/2018</stp>
        <stp>[Live Pricing.xlsm]Rate_History!R181C2</stp>
        <tr r="B181" s="49"/>
      </tp>
      <tp t="e">
        <v>#N/A</v>
        <stp/>
        <stp>##V3_BDPV12</stp>
        <stp>EUSA8 Index</stp>
        <stp>PX_LAST</stp>
        <stp>[Live Pricing.xlsm]FX_Curve_Live!R37C6</stp>
        <tr r="F37" s="42"/>
      </tp>
      <tp t="e">
        <v>#N/A</v>
        <stp/>
        <stp>##V3_BDPV12</stp>
        <stp>BP0012M Index</stp>
        <stp>PX_LAST</stp>
        <stp>[Live Pricing.xlsm]Rate_Live!R86C2</stp>
        <tr r="B86" s="39"/>
      </tp>
      <tp t="e">
        <v>#N/A</v>
        <stp/>
        <stp>##V3_BDHV12</stp>
        <stp>CAD9M BGN Curncy</stp>
        <stp>PX_LAST</stp>
        <stp>1/1/2019</stp>
        <stp>1/1/2019</stp>
        <stp>[Live Pricing.xlsm]FXFR!R99C4</stp>
        <tr r="D99" s="46"/>
      </tp>
      <tp t="e">
        <v>#N/A</v>
        <stp/>
        <stp>##V3_BDHV12</stp>
        <stp>EDZ9 Comdty</stp>
        <stp>PX_LAST</stp>
        <stp>12/31/2018</stp>
        <stp>12/31/2018</stp>
        <stp>[Live Pricing.xlsm]Rate_History!R11C4</stp>
        <tr r="D11" s="49"/>
      </tp>
      <tp t="e">
        <v>#N/A</v>
        <stp/>
        <stp>##V3_BDHV12</stp>
        <stp>ERU8 Comdty</stp>
        <stp>PX_LAST</stp>
        <stp>12/31/2018</stp>
        <stp>12/31/2018</stp>
        <stp>[Live Pricing.xlsm]Rate_History!R31C4</stp>
        <tr r="D31" s="49"/>
      </tp>
      <tp t="e">
        <v>#N/A</v>
        <stp/>
        <stp>##V3_BDHV12</stp>
        <stp>L M0 Comdty</stp>
        <stp>PX_LAST</stp>
        <stp>12/31/2018</stp>
        <stp>12/31/2018</stp>
        <stp>[Live Pricing.xlsm]Rate_History!R88C4</stp>
        <tr r="D88" s="49"/>
      </tp>
      <tp t="e">
        <v>#N/A</v>
        <stp/>
        <stp>##V3_BDPV12</stp>
        <stp>BPSW16 Index</stp>
        <stp>PX_LAST</stp>
        <stp>[Live Pricing.xlsm]Rate_Live!R95C6</stp>
        <tr r="F95" s="39"/>
      </tp>
      <tp t="e">
        <v>#N/A</v>
        <stp/>
        <stp>##V3_BDPV12</stp>
        <stp>EUSA13 Index</stp>
        <stp>PX_LAST</stp>
        <stp>[Live Pricing.xlsm]Rate_Live!R42C6</stp>
        <tr r="F42" s="39"/>
      </tp>
      <tp t="e">
        <v>#N/A</v>
        <stp/>
        <stp>##V3_BDPV12</stp>
        <stp>EUR002m Index</stp>
        <stp>PX_LAST</stp>
        <stp>[Live Pricing.xlsm]Rate_Live!R33C2</stp>
        <tr r="B33" s="39"/>
        <tr r="B33" s="39"/>
      </tp>
      <tp t="e">
        <v>#N/A</v>
        <stp/>
        <stp>##V3_BDHV12</stp>
        <stp>SF0001M Index</stp>
        <stp>PX_LAST</stp>
        <stp>12/31/2018</stp>
        <stp>12/31/2018</stp>
        <stp>[Live Pricing.xlsm]FX_Curve_History!R107C2</stp>
        <tr r="B107" s="50"/>
      </tp>
      <tp t="e">
        <v>#N/A</v>
        <stp/>
        <stp>##V3_BDHV12</stp>
        <stp>BCN7Y BGN Curncy</stp>
        <stp>PX_LAST</stp>
        <stp>1/1/2019</stp>
        <stp>1/1/2019</stp>
        <stp>[Live Pricing.xlsm]FXFR!R18C4</stp>
        <tr r="D18" s="46"/>
      </tp>
      <tp t="e">
        <v>#N/A</v>
        <stp/>
        <stp>##V3_BDPV12</stp>
        <stp>BP0003M Index</stp>
        <stp>PX_LAST</stp>
        <stp>[Live Pricing.xlsm]Rate_Live!R84C2</stp>
        <tr r="B84" s="39"/>
      </tp>
      <tp t="e">
        <v>#N/A</v>
        <stp/>
        <stp>##V3_BDPV12</stp>
        <stp>EUSA5 Index</stp>
        <stp>PX_LAST</stp>
        <stp>[Live Pricing.xlsm]FX_Curve_Live!R34C6</stp>
        <tr r="F34" s="42"/>
      </tp>
      <tp t="e">
        <v>#N/A</v>
        <stp/>
        <stp>##V3_BDHV12</stp>
        <stp>GBP1M BGN Curncy</stp>
        <stp>PX_LAST</stp>
        <stp>1/1/2019</stp>
        <stp>1/1/2019</stp>
        <stp>[Live Pricing.xlsm]FXFR!R49C4</stp>
        <tr r="D49" s="46"/>
      </tp>
      <tp t="e">
        <v>#N/A</v>
        <stp/>
        <stp>##V3_BDHV12</stp>
        <stp>GBP4Y BGN Curncy</stp>
        <stp>PX_LAST</stp>
        <stp>1/1/2019</stp>
        <stp>1/1/2019</stp>
        <stp>[Live Pricing.xlsm]FXFR!R59C4</stp>
        <tr r="D59" s="46"/>
      </tp>
      <tp t="e">
        <v>#N/A</v>
        <stp/>
        <stp>##V3_BDHV12</stp>
        <stp>EDH0 Comdty</stp>
        <stp>PX_LAST</stp>
        <stp>12/31/2018</stp>
        <stp>12/31/2018</stp>
        <stp>[Live Pricing.xlsm]Rate_History!R12C4</stp>
        <tr r="D12" s="49"/>
      </tp>
      <tp t="e">
        <v>#N/A</v>
        <stp/>
        <stp>##V3_BDPV12</stp>
        <stp>ESH9 Comdty</stp>
        <stp>PX_LAST</stp>
        <stp>[Live Pricing.xlsm]FX_Curve_Live!R108C4</stp>
        <tr r="D108" s="42"/>
      </tp>
      <tp t="e">
        <v>#N/A</v>
        <stp/>
        <stp>##V3_BDHV12</stp>
        <stp>ERZ8 Comdty</stp>
        <stp>PX_LAST</stp>
        <stp>12/31/2018</stp>
        <stp>12/31/2018</stp>
        <stp>[Live Pricing.xlsm]Rate_History!R32C4</stp>
        <tr r="D32" s="49"/>
      </tp>
      <tp t="e">
        <v>#N/A</v>
        <stp/>
        <stp>##V3_BDPV12</stp>
        <stp>BPSW17 Index</stp>
        <stp>PX_LAST</stp>
        <stp>[Live Pricing.xlsm]Rate_Live!R96C6</stp>
        <tr r="F96" s="39"/>
      </tp>
      <tp t="e">
        <v>#N/A</v>
        <stp/>
        <stp>##V3_BDPV12</stp>
        <stp>EUSA12 Index</stp>
        <stp>PX_LAST</stp>
        <stp>[Live Pricing.xlsm]Rate_Live!R41C6</stp>
        <tr r="F41" s="39"/>
      </tp>
      <tp t="e">
        <v>#N/A</v>
        <stp/>
        <stp>##V3_BDHV12</stp>
        <stp>EDH9 Comdty</stp>
        <stp>PX_LAST</stp>
        <stp>12/31/2018</stp>
        <stp>12/31/2018</stp>
        <stp>[Live Pricing.xlsm]FX_Curve_History!R8C4</stp>
        <tr r="D8" s="50"/>
      </tp>
      <tp t="e">
        <v>#N/A</v>
        <stp/>
        <stp>##V3_BDHV12</stp>
        <stp>HASWDI10Y Index</stp>
        <stp>PX_LAST</stp>
        <stp>12/31/2018</stp>
        <stp>12/31/2018</stp>
        <stp>[Live Pricing.xlsm]Rate_History!R168C6</stp>
        <tr r="F168" s="49"/>
      </tp>
      <tp t="e">
        <v>#N/A</v>
        <stp/>
        <stp>##V3_BDHV12</stp>
        <stp>BCN8Y BGN Curncy</stp>
        <stp>PX_LAST</stp>
        <stp>1/1/2019</stp>
        <stp>1/1/2019</stp>
        <stp>[Live Pricing.xlsm]FXFR!R19C4</stp>
        <tr r="D19" s="46"/>
      </tp>
      <tp t="e">
        <v>#N/A</v>
        <stp/>
        <stp>##V3_BDPV12</stp>
        <stp>EUSA6 Index</stp>
        <stp>PX_LAST</stp>
        <stp>[Live Pricing.xlsm]FX_Curve_Live!R35C6</stp>
        <tr r="F35" s="42"/>
      </tp>
      <tp t="e">
        <v>#N/A</v>
        <stp/>
        <stp>##V3_BDHV12</stp>
        <stp>GBP3Y BGN Curncy</stp>
        <stp>PX_LAST</stp>
        <stp>1/1/2019</stp>
        <stp>1/1/2019</stp>
        <stp>[Live Pricing.xlsm]FXFR!R58C4</stp>
        <tr r="D58" s="46"/>
      </tp>
      <tp t="e">
        <v>#N/A</v>
        <stp/>
        <stp>##V3_BDHV12</stp>
        <stp>GBP1W BGN Curncy</stp>
        <stp>PX_LAST</stp>
        <stp>1/1/2019</stp>
        <stp>1/1/2019</stp>
        <stp>[Live Pricing.xlsm]FXFR!R48C4</stp>
        <tr r="D48" s="46"/>
      </tp>
      <tp t="e">
        <v>#N/A</v>
        <stp/>
        <stp>##V3_BDHV12</stp>
        <stp>EDM0 Comdty</stp>
        <stp>PX_LAST</stp>
        <stp>12/31/2018</stp>
        <stp>12/31/2018</stp>
        <stp>[Live Pricing.xlsm]Rate_History!R13C4</stp>
        <tr r="D13" s="49"/>
      </tp>
      <tp t="e">
        <v>#N/A</v>
        <stp/>
        <stp>##V3_BDPV12</stp>
        <stp>ESM9 Comdty</stp>
        <stp>PX_LAST</stp>
        <stp>[Live Pricing.xlsm]FX_Curve_Live!R109C4</stp>
        <tr r="D109" s="42"/>
      </tp>
      <tp t="e">
        <v>#N/A</v>
        <stp/>
        <stp>##V3_BDHV12</stp>
        <stp>ERH9 Comdty</stp>
        <stp>PX_LAST</stp>
        <stp>12/31/2018</stp>
        <stp>12/31/2018</stp>
        <stp>[Live Pricing.xlsm]Rate_History!R33C4</stp>
        <tr r="D33" s="49"/>
      </tp>
      <tp t="e">
        <v>#N/A</v>
        <stp/>
        <stp>##V3_BDPV12</stp>
        <stp>EUSA11 Index</stp>
        <stp>PX_LAST</stp>
        <stp>[Live Pricing.xlsm]Rate_Live!R40C6</stp>
        <tr r="F40" s="39"/>
      </tp>
      <tp t="e">
        <v>#N/A</v>
        <stp/>
        <stp>##V3_BDPV12</stp>
        <stp>EUR001m Index</stp>
        <stp>PX_LAST</stp>
        <stp>[Live Pricing.xlsm]Rate_Live!R32C2</stp>
        <tr r="B32" s="39"/>
      </tp>
      <tp t="e">
        <v>#N/A</v>
        <stp/>
        <stp>##V3_BDPV12</stp>
        <stp>EUR006m Index</stp>
        <stp>PX_LAST</stp>
        <stp>[Live Pricing.xlsm]Rate_Live!R35C2</stp>
        <tr r="B35" s="39"/>
      </tp>
      <tp t="e">
        <v>#N/A</v>
        <stp/>
        <stp>##V3_BDHV12</stp>
        <stp>EDM9 Comdty</stp>
        <stp>PX_LAST</stp>
        <stp>12/31/2018</stp>
        <stp>12/31/2018</stp>
        <stp>[Live Pricing.xlsm]FX_Curve_History!R9C4</stp>
        <tr r="D9" s="50"/>
      </tp>
      <tp t="e">
        <v>#N/A</v>
        <stp/>
        <stp>##V3_BDHV12</stp>
        <stp>HASWDI10Y Index</stp>
        <stp>PX_LAST</stp>
        <stp>12/31/2018</stp>
        <stp>12/31/2018</stp>
        <stp>[Live Pricing.xlsm]Rate_History!R169C6</stp>
        <tr r="F169" s="49"/>
      </tp>
      <tp t="e">
        <v>#N/A</v>
        <stp/>
        <stp>##V3_BDPV12</stp>
        <stp>BP0002M Index</stp>
        <stp>PX_LAST</stp>
        <stp>[Live Pricing.xlsm]Rate_Live!R83C2</stp>
        <tr r="B83" s="39"/>
      </tp>
      <tp t="e">
        <v>#N/A</v>
        <stp/>
        <stp>##V3_BDPV12</stp>
        <stp>EUSA3 Index</stp>
        <stp>PX_LAST</stp>
        <stp>[Live Pricing.xlsm]FX_Curve_Live!R32C6</stp>
        <tr r="F32" s="42"/>
      </tp>
      <tp t="e">
        <v>#N/A</v>
        <stp/>
        <stp>##V3_BDHV12</stp>
        <stp>ERM9 Comdty</stp>
        <stp>PX_LAST</stp>
        <stp>12/31/2018</stp>
        <stp>12/31/2018</stp>
        <stp>[Live Pricing.xlsm]Rate_History!R34C4</stp>
        <tr r="D34" s="49"/>
      </tp>
      <tp t="e">
        <v>#N/A</v>
        <stp/>
        <stp>##V3_BDPV12</stp>
        <stp>BPSW11 Index</stp>
        <stp>PX_LAST</stp>
        <stp>[Live Pricing.xlsm]Rate_Live!R90C6</stp>
        <tr r="F90" s="39"/>
      </tp>
      <tp t="e">
        <v>#N/A</v>
        <stp/>
        <stp>##V3_BDPV12</stp>
        <stp>EUR012m Index</stp>
        <stp>PX_LAST</stp>
        <stp>[Live Pricing.xlsm]Rate_Live!R36C2</stp>
        <tr r="B36" s="39"/>
      </tp>
      <tp t="e">
        <v>#N/A</v>
        <stp/>
        <stp>##V3_BDPV12</stp>
        <stp>JYSW14 Index</stp>
        <stp>PX_LAST</stp>
        <stp>[Live Pricing.xlsm]Rate_Live!R68C6</stp>
        <tr r="F68" s="39"/>
      </tp>
      <tp t="e">
        <v>#N/A</v>
        <stp/>
        <stp>##V3_BDHV12</stp>
        <stp>CDSW10 Index</stp>
        <stp>PX_LAST</stp>
        <stp>12/31/2018</stp>
        <stp>12/31/2018</stp>
        <stp>[Live Pricing.xlsm]Rate_History!R139C6</stp>
        <tr r="F139" s="49"/>
      </tp>
      <tp t="e">
        <v>#N/A</v>
        <stp/>
        <stp>##V3_BDHV12</stp>
        <stp>SFSW15 Index</stp>
        <stp>PX_LAST</stp>
        <stp>12/31/2018</stp>
        <stp>12/31/2018</stp>
        <stp>[Live Pricing.xlsm]Rate_History!R119C6</stp>
        <tr r="F119" s="49"/>
      </tp>
      <tp t="e">
        <v>#N/A</v>
        <stp/>
        <stp>##V3_BDHV12</stp>
        <stp>CLSWIB9 Index</stp>
        <stp>PX_LAST</stp>
        <stp>12/31/2018</stp>
        <stp>12/31/2018</stp>
        <stp>[Live Pricing.xlsm]Rate_History!R188C6</stp>
        <tr r="F188" s="49"/>
      </tp>
      <tp t="e">
        <v>#N/A</v>
        <stp/>
        <stp>##V3_BDPV12</stp>
        <stp>EUSA4 Index</stp>
        <stp>PX_LAST</stp>
        <stp>[Live Pricing.xlsm]FX_Curve_Live!R33C6</stp>
        <tr r="F33" s="42"/>
      </tp>
      <tp t="e">
        <v>#N/A</v>
        <stp/>
        <stp>##V3_BDPV12</stp>
        <stp>US0012m Index</stp>
        <stp>PX_LAST</stp>
        <stp>[Live Pricing.xlsm]Rate_Live!R11C2</stp>
        <tr r="B11" s="39"/>
      </tp>
      <tp t="e">
        <v>#N/A</v>
        <stp/>
        <stp>##V3_BDHV12</stp>
        <stp>ERU9 Comdty</stp>
        <stp>PX_LAST</stp>
        <stp>12/31/2018</stp>
        <stp>12/31/2018</stp>
        <stp>[Live Pricing.xlsm]Rate_History!R35C4</stp>
        <tr r="D35" s="49"/>
      </tp>
      <tp t="e">
        <v>#N/A</v>
        <stp/>
        <stp>##V3_BDPV12</stp>
        <stp>BAM0 Comdty</stp>
        <stp>PX_LAST</stp>
        <stp>[Live Pricing.xlsm]FX_Curve_Live!R138C4</stp>
        <tr r="D138" s="42"/>
      </tp>
      <tp t="e">
        <v>#N/A</v>
        <stp/>
        <stp>##V3_BDPV12</stp>
        <stp>BPSW12 Index</stp>
        <stp>PX_LAST</stp>
        <stp>[Live Pricing.xlsm]Rate_Live!R91C6</stp>
        <tr r="F91" s="39"/>
      </tp>
      <tp t="e">
        <v>#N/A</v>
        <stp/>
        <stp>##V3_BDPV12</stp>
        <stp>EUSA17 Index</stp>
        <stp>PX_LAST</stp>
        <stp>[Live Pricing.xlsm]Rate_Live!R46C6</stp>
        <tr r="F46" s="39"/>
      </tp>
      <tp t="e">
        <v>#N/A</v>
        <stp/>
        <stp>##V3_BDPV12</stp>
        <stp>JYSW15 Index</stp>
        <stp>PX_LAST</stp>
        <stp>[Live Pricing.xlsm]Rate_Live!R69C6</stp>
        <tr r="F69" s="39"/>
      </tp>
      <tp t="e">
        <v>#N/A</v>
        <stp/>
        <stp>##V3_BDHV12</stp>
        <stp>SFSW14 Index</stp>
        <stp>PX_LAST</stp>
        <stp>12/31/2018</stp>
        <stp>12/31/2018</stp>
        <stp>[Live Pricing.xlsm]Rate_History!R118C6</stp>
        <tr r="F118" s="49"/>
      </tp>
      <tp t="e">
        <v>#N/A</v>
        <stp/>
        <stp>##V3_BDPV12</stp>
        <stp>BP0001M Index</stp>
        <stp>PX_LAST</stp>
        <stp>[Live Pricing.xlsm]Rate_Live!R82C2</stp>
        <tr r="B82" s="39"/>
      </tp>
      <tp t="e">
        <v>#N/A</v>
        <stp/>
        <stp>##V3_BDPV12</stp>
        <stp>BP0006M Index</stp>
        <stp>PX_LAST</stp>
        <stp>[Live Pricing.xlsm]Rate_Live!R85C2</stp>
        <tr r="B85" s="39"/>
      </tp>
      <tp t="e">
        <v>#N/A</v>
        <stp/>
        <stp>##V3_BDPV12</stp>
        <stp>JY0002M Index</stp>
        <stp>PX_LAST</stp>
        <stp>[Live Pricing.xlsm]Rate_Live!R58C2</stp>
        <tr r="B58" s="39"/>
      </tp>
      <tp t="e">
        <v>#N/A</v>
        <stp/>
        <stp>##V3_BDPV12</stp>
        <stp>JY0003M Index</stp>
        <stp>PX_LAST</stp>
        <stp>[Live Pricing.xlsm]Rate_Live!R59C2</stp>
        <tr r="B59" s="39"/>
      </tp>
      <tp t="e">
        <v>#N/A</v>
        <stp/>
        <stp>##V3_BDHV12</stp>
        <stp>US0002m Index</stp>
        <stp>PX_LAST</stp>
        <stp>12/31/2018</stp>
        <stp>12/31/2018</stp>
        <stp>[Live Pricing.xlsm]FX_Curve_History!R8C2</stp>
        <tr r="B8" s="50"/>
      </tp>
      <tp t="e">
        <v>#N/A</v>
        <stp/>
        <stp>##V3_BDHV12</stp>
        <stp>US0003m Index</stp>
        <stp>PX_LAST</stp>
        <stp>12/31/2018</stp>
        <stp>12/31/2018</stp>
        <stp>[Live Pricing.xlsm]FX_Curve_History!R9C2</stp>
        <tr r="B9" s="50"/>
      </tp>
      <tp t="e">
        <v>#N/A</v>
        <stp/>
        <stp>##V3_BDHV12</stp>
        <stp>ERZ9 Comdty</stp>
        <stp>PX_LAST</stp>
        <stp>12/31/2018</stp>
        <stp>12/31/2018</stp>
        <stp>[Live Pricing.xlsm]Rate_History!R36C4</stp>
        <tr r="D36" s="49"/>
      </tp>
      <tp t="e">
        <v>#N/A</v>
        <stp/>
        <stp>##V3_BDPV12</stp>
        <stp>EUSA40 Index</stp>
        <stp>PX_LAST</stp>
        <stp>[Live Pricing.xlsm]Rate_Live!R50C6</stp>
        <tr r="F50" s="39"/>
      </tp>
      <tp t="e">
        <v>#N/A</v>
        <stp/>
        <stp>##V3_BDHV12</stp>
        <stp>USSW6 Index</stp>
        <stp>PX_LAST</stp>
        <stp>12/31/2018</stp>
        <stp>12/31/2018</stp>
        <stp>[Live Pricing.xlsm]Rate_History!R10C6</stp>
        <tr r="F10" s="49"/>
      </tp>
      <tp t="e">
        <v>#N/A</v>
        <stp/>
        <stp>##V3_BDHV12</stp>
        <stp>USSW7 Index</stp>
        <stp>PX_LAST</stp>
        <stp>12/31/2018</stp>
        <stp>12/31/2018</stp>
        <stp>[Live Pricing.xlsm]Rate_History!R11C6</stp>
        <tr r="F11" s="49"/>
      </tp>
      <tp t="e">
        <v>#N/A</v>
        <stp/>
        <stp>##V3_BDPV12</stp>
        <stp>CLSWIB8 Index</stp>
        <stp>PX_LAST</stp>
        <stp>[Live Pricing.xlsm]Rate_Live!R187C6</stp>
        <tr r="F187" s="39"/>
      </tp>
      <tp t="e">
        <v>#N/A</v>
        <stp/>
        <stp>##V3_BDPV12</stp>
        <stp>BPSW13 Index</stp>
        <stp>PX_LAST</stp>
        <stp>[Live Pricing.xlsm]Rate_Live!R92C6</stp>
        <tr r="F92" s="39"/>
      </tp>
      <tp t="e">
        <v>#N/A</v>
        <stp/>
        <stp>##V3_BDPV12</stp>
        <stp>EUSA16 Index</stp>
        <stp>PX_LAST</stp>
        <stp>[Live Pricing.xlsm]Rate_Live!R45C6</stp>
        <tr r="F45" s="39"/>
      </tp>
      <tp t="e">
        <v>#N/A</v>
        <stp/>
        <stp>##V3_BDPV12</stp>
        <stp>SFSW8 Index</stp>
        <stp>PX_LAST</stp>
        <stp>[Live Pricing.xlsm]FX_Curve_Live!R112C6</stp>
        <tr r="F112" s="42"/>
      </tp>
      <tp t="e">
        <v>#N/A</v>
        <stp/>
        <stp>##V3_BDPV12</stp>
        <stp>SFSW9 Index</stp>
        <stp>PX_LAST</stp>
        <stp>[Live Pricing.xlsm]FX_Curve_Live!R113C6</stp>
        <tr r="F113" s="42"/>
      </tp>
      <tp t="e">
        <v>#N/A</v>
        <stp/>
        <stp>##V3_BDHV12</stp>
        <stp>SF0006M Index</stp>
        <stp>PX_LAST</stp>
        <stp>12/31/2018</stp>
        <stp>12/31/2018</stp>
        <stp>[Live Pricing.xlsm]FX_Curve_History!R110C2</stp>
        <tr r="B110" s="50"/>
      </tp>
      <tp t="e">
        <v>#N/A</v>
        <stp/>
        <stp>##V3_BDPV12</stp>
        <stp>SFSW14 Index</stp>
        <stp>PX_LAST</stp>
        <stp>[Live Pricing.xlsm]FX_Curve_Live!R118C6</stp>
        <tr r="F118" s="42"/>
      </tp>
      <tp t="e">
        <v>#N/A</v>
        <stp/>
        <stp>##V3_BDPV12</stp>
        <stp>SFSW15 Index</stp>
        <stp>PX_LAST</stp>
        <stp>[Live Pricing.xlsm]FX_Curve_Live!R119C6</stp>
        <tr r="F119" s="42"/>
      </tp>
      <tp t="e">
        <v>#N/A</v>
        <stp/>
        <stp>##V3_BDPV12</stp>
        <stp>EUSA2 Index</stp>
        <stp>PX_LAST</stp>
        <stp>[Live Pricing.xlsm]FX_Curve_Live!R31C6</stp>
        <tr r="F31" s="42"/>
      </tp>
      <tp t="e">
        <v>#N/A</v>
        <stp/>
        <stp>##V3_BDHV12</stp>
        <stp>ERH0 Comdty</stp>
        <stp>PX_LAST</stp>
        <stp>12/31/2018</stp>
        <stp>12/31/2018</stp>
        <stp>[Live Pricing.xlsm]Rate_History!R37C4</stp>
        <tr r="D37" s="49"/>
      </tp>
      <tp t="e">
        <v>#N/A</v>
        <stp/>
        <stp>##V3_BDPV12</stp>
        <stp>EUSA20 Index</stp>
        <stp>PX_LAST</stp>
        <stp>[Live Pricing.xlsm]Rate_Live!R47C6</stp>
        <tr r="F47" s="39"/>
      </tp>
      <tp t="e">
        <v>#N/A</v>
        <stp/>
        <stp>##V3_BDPV12</stp>
        <stp>BPSW14 Index</stp>
        <stp>PX_LAST</stp>
        <stp>[Live Pricing.xlsm]Rate_Live!R93C6</stp>
        <tr r="F93" s="39"/>
      </tp>
      <tp t="e">
        <v>#N/A</v>
        <stp/>
        <stp>##V3_BDPV12</stp>
        <stp>EUSA15 Index</stp>
        <stp>PX_LAST</stp>
        <stp>[Live Pricing.xlsm]Rate_Live!R44C6</stp>
        <tr r="F44" s="39"/>
      </tp>
      <tp t="e">
        <v>#N/A</v>
        <stp/>
        <stp>##V3_BDPV12</stp>
        <stp>EUR003m Index</stp>
        <stp>PX_LAST</stp>
        <stp>[Live Pricing.xlsm]Rate_Live!R34C2</stp>
        <tr r="B34" s="39"/>
      </tp>
      <tp t="e">
        <v>#N/A</v>
        <stp/>
        <stp>##V3_BDHV12</stp>
        <stp>SF0012M Index</stp>
        <stp>PX_LAST</stp>
        <stp>12/31/2018</stp>
        <stp>12/31/2018</stp>
        <stp>[Live Pricing.xlsm]FX_Curve_History!R111C2</stp>
        <tr r="B111" s="50"/>
      </tp>
      <tp t="e">
        <v>#N/A</v>
        <stp/>
        <stp>##V3_BDPV12</stp>
        <stp>SFSW40 Index</stp>
        <stp>PX_LAST</stp>
        <stp>[Live Pricing.xlsm]FX_Curve_Live!R123C6</stp>
        <tr r="F123" s="42"/>
      </tp>
      <tp t="e">
        <v>#N/A</v>
        <stp/>
        <stp>##V3_BDHV12</stp>
        <stp>GBP8Y BGN Curncy</stp>
        <stp>PX_LAST</stp>
        <stp>1/1/2019</stp>
        <stp>1/1/2019</stp>
        <stp>[Live Pricing.xlsm]FXFR!R63C4</stp>
        <tr r="D63" s="46"/>
      </tp>
      <tp t="e">
        <v>#N/A</v>
        <stp/>
        <stp>##V3_BDHV12</stp>
        <stp>GBP5M BGN Curncy</stp>
        <stp>PX_LAST</stp>
        <stp>1/1/2019</stp>
        <stp>1/1/2019</stp>
        <stp>[Live Pricing.xlsm]FXFR!R53C4</stp>
        <tr r="D53" s="46"/>
      </tp>
      <tp t="e">
        <v>#N/A</v>
        <stp/>
        <stp>##V3_BDPV12</stp>
        <stp>CDOR02 Index</stp>
        <stp>PX_LAST</stp>
        <stp>[Live Pricing.xlsm]FX_Curve_Live!R133C2</stp>
        <tr r="B133" s="42"/>
      </tp>
      <tp t="e">
        <v>#N/A</v>
        <stp/>
        <stp>##V3_BDPV12</stp>
        <stp>ESH0 Comdty</stp>
        <stp>PX_LAST</stp>
        <stp>[Live Pricing.xlsm]FX_Curve_Live!R112C4</stp>
        <tr r="D112" s="42"/>
      </tp>
      <tp t="e">
        <v>#N/A</v>
        <stp/>
        <stp>##V3_BDHV12</stp>
        <stp>ERM0 Comdty</stp>
        <stp>PX_LAST</stp>
        <stp>12/31/2018</stp>
        <stp>12/31/2018</stp>
        <stp>[Live Pricing.xlsm]Rate_History!R38C4</stp>
        <tr r="D38" s="49"/>
      </tp>
      <tp t="e">
        <v>#N/A</v>
        <stp/>
        <stp>##V3_BDPV12</stp>
        <stp>BAU9 Comdty</stp>
        <stp>PX_LAST</stp>
        <stp>[Live Pricing.xlsm]FX_Curve_Live!R135C4</stp>
        <tr r="D135" s="42"/>
      </tp>
      <tp t="e">
        <v>#N/A</v>
        <stp/>
        <stp>##V3_BDPV12</stp>
        <stp>EUSA30 Index</stp>
        <stp>PX_LAST</stp>
        <stp>[Live Pricing.xlsm]Rate_Live!R49C6</stp>
        <tr r="F49" s="39"/>
      </tp>
      <tp t="e">
        <v>#N/A</v>
        <stp/>
        <stp>##V3_BDHV12</stp>
        <stp>L U8 Comdty</stp>
        <stp>PX_LAST</stp>
        <stp>12/31/2018</stp>
        <stp>12/31/2018</stp>
        <stp>[Live Pricing.xlsm]Rate_History!R81C4</stp>
        <tr r="D81" s="49"/>
      </tp>
      <tp t="e">
        <v>#N/A</v>
        <stp/>
        <stp>##V3_BDPV12</stp>
        <stp>CLSWIB3 Index</stp>
        <stp>PX_LAST</stp>
        <stp>[Live Pricing.xlsm]Rate_Live!R182C6</stp>
        <tr r="F182" s="39"/>
      </tp>
      <tp t="e">
        <v>#N/A</v>
        <stp/>
        <stp>##V3_BDPV12</stp>
        <stp>CLSWIB5 Index</stp>
        <stp>PX_LAST</stp>
        <stp>[Live Pricing.xlsm]Rate_Live!R184C6</stp>
        <tr r="F184" s="39"/>
      </tp>
      <tp t="e">
        <v>#N/A</v>
        <stp/>
        <stp>##V3_BDPV12</stp>
        <stp>CLSWIB7 Index</stp>
        <stp>PX_LAST</stp>
        <stp>[Live Pricing.xlsm]Rate_Live!R186C6</stp>
        <tr r="F186" s="39"/>
      </tp>
      <tp t="e">
        <v>#N/A</v>
        <stp/>
        <stp>##V3_BDPV12</stp>
        <stp>CLSWIB9 Index</stp>
        <stp>PX_LAST</stp>
        <stp>[Live Pricing.xlsm]Rate_Live!R188C6</stp>
        <tr r="F188" s="39"/>
      </tp>
      <tp t="e">
        <v>#N/A</v>
        <stp/>
        <stp>##V3_BDPV12</stp>
        <stp>EUSA25 Index</stp>
        <stp>PX_LAST</stp>
        <stp>[Live Pricing.xlsm]Rate_Live!R48C6</stp>
        <tr r="F48" s="39"/>
      </tp>
      <tp t="e">
        <v>#N/A</v>
        <stp/>
        <stp>##V3_BDPV12</stp>
        <stp>SFSW2 Index</stp>
        <stp>PX_LAST</stp>
        <stp>[Live Pricing.xlsm]FX_Curve_Live!R106C6</stp>
        <tr r="F106" s="42"/>
      </tp>
      <tp t="e">
        <v>#N/A</v>
        <stp/>
        <stp>##V3_BDPV12</stp>
        <stp>SFSW3 Index</stp>
        <stp>PX_LAST</stp>
        <stp>[Live Pricing.xlsm]FX_Curve_Live!R107C6</stp>
        <tr r="F107" s="42"/>
      </tp>
      <tp t="e">
        <v>#N/A</v>
        <stp/>
        <stp>##V3_BDPV12</stp>
        <stp>JYSW10 Index</stp>
        <stp>PX_LAST</stp>
        <stp>[Live Pricing.xlsm]Rate_Live!R64C6</stp>
        <tr r="F64" s="39"/>
      </tp>
      <tp t="e">
        <v>#N/A</v>
        <stp/>
        <stp>##V3_BDHV12</stp>
        <stp>HASWDI10Y Index</stp>
        <stp>PX_LAST</stp>
        <stp>12/31/2018</stp>
        <stp>12/31/2018</stp>
        <stp>[Live Pricing.xlsm]Rate_History!R172C6</stp>
        <tr r="F172" s="49"/>
      </tp>
      <tp t="e">
        <v>#N/A</v>
        <stp/>
        <stp>##V3_BDHV12</stp>
        <stp>CDSW40 Index</stp>
        <stp>PX_LAST</stp>
        <stp>12/31/2018</stp>
        <stp>12/31/2018</stp>
        <stp>[Live Pricing.xlsm]Rate_History!R145C6</stp>
        <tr r="F145" s="49"/>
      </tp>
      <tp t="e">
        <v>#N/A</v>
        <stp/>
        <stp>##V3_BDHV12</stp>
        <stp>SFSW11 Index</stp>
        <stp>PX_LAST</stp>
        <stp>12/31/2018</stp>
        <stp>12/31/2018</stp>
        <stp>[Live Pricing.xlsm]Rate_History!R115C6</stp>
        <tr r="F115" s="49"/>
      </tp>
      <tp t="e">
        <v>#N/A</v>
        <stp/>
        <stp>##V3_BDHV12</stp>
        <stp>CLSWIB5 Index</stp>
        <stp>PX_LAST</stp>
        <stp>12/31/2018</stp>
        <stp>12/31/2018</stp>
        <stp>[Live Pricing.xlsm]Rate_History!R184C6</stp>
        <tr r="F184" s="49"/>
      </tp>
      <tp t="e">
        <v>#N/A</v>
        <stp/>
        <stp>##V3_BDHV12</stp>
        <stp>CLSWIBC Index</stp>
        <stp>PX_LAST</stp>
        <stp>12/31/2018</stp>
        <stp>12/31/2018</stp>
        <stp>[Live Pricing.xlsm]Rate_History!R184C2</stp>
        <tr r="B184" s="49"/>
      </tp>
      <tp t="e">
        <v>#N/A</v>
        <stp/>
        <stp>##V3_BDPV12</stp>
        <stp>SFSW30 Index</stp>
        <stp>PX_LAST</stp>
        <stp>[Live Pricing.xlsm]FX_Curve_Live!R122C6</stp>
        <tr r="F122" s="42"/>
      </tp>
      <tp t="e">
        <v>#N/A</v>
        <stp/>
        <stp>##V3_BDHV12</stp>
        <stp>BCN2Y BGN Curncy</stp>
        <stp>PX_LAST</stp>
        <stp>1/1/2019</stp>
        <stp>1/1/2019</stp>
        <stp>[Live Pricing.xlsm]FXFR!R13C4</stp>
        <tr r="D13" s="46"/>
      </tp>
      <tp t="e">
        <v>#N/A</v>
        <stp/>
        <stp>##V3_BDHV12</stp>
        <stp>GBP7Y BGN Curncy</stp>
        <stp>PX_LAST</stp>
        <stp>1/1/2019</stp>
        <stp>1/1/2019</stp>
        <stp>[Live Pricing.xlsm]FXFR!R62C4</stp>
        <tr r="D62" s="46"/>
      </tp>
      <tp t="e">
        <v>#N/A</v>
        <stp/>
        <stp>##V3_BDHV12</stp>
        <stp>GBP4M BGN Curncy</stp>
        <stp>PX_LAST</stp>
        <stp>1/1/2019</stp>
        <stp>1/1/2019</stp>
        <stp>[Live Pricing.xlsm]FXFR!R52C4</stp>
        <tr r="D52" s="46"/>
      </tp>
      <tp t="e">
        <v>#N/A</v>
        <stp/>
        <stp>##V3_BDPV12</stp>
        <stp>ESM0 Comdty</stp>
        <stp>PX_LAST</stp>
        <stp>[Live Pricing.xlsm]FX_Curve_Live!R113C4</stp>
        <tr r="D113" s="42"/>
      </tp>
      <tp t="e">
        <v>#N/A</v>
        <stp/>
        <stp>##V3_BDPV12</stp>
        <stp>BAM9 Comdty</stp>
        <stp>PX_LAST</stp>
        <stp>[Live Pricing.xlsm]FX_Curve_Live!R134C4</stp>
        <tr r="D134" s="42"/>
      </tp>
      <tp t="e">
        <v>#N/A</v>
        <stp/>
        <stp>##V3_BDPV12</stp>
        <stp>JYSW11 Index</stp>
        <stp>PX_LAST</stp>
        <stp>[Live Pricing.xlsm]Rate_Live!R65C6</stp>
        <tr r="F65" s="39"/>
      </tp>
      <tp t="e">
        <v>#N/A</v>
        <stp/>
        <stp>##V3_BDHV12</stp>
        <stp>CDSW30 Index</stp>
        <stp>PX_LAST</stp>
        <stp>12/31/2018</stp>
        <stp>12/31/2018</stp>
        <stp>[Live Pricing.xlsm]Rate_History!R144C6</stp>
        <tr r="F144" s="49"/>
      </tp>
      <tp t="e">
        <v>#N/A</v>
        <stp/>
        <stp>##V3_BDHV12</stp>
        <stp>SFSW10 Index</stp>
        <stp>PX_LAST</stp>
        <stp>12/31/2018</stp>
        <stp>12/31/2018</stp>
        <stp>[Live Pricing.xlsm]Rate_History!R114C6</stp>
        <tr r="F114" s="49"/>
      </tp>
      <tp t="e">
        <v>#N/A</v>
        <stp/>
        <stp>##V3_BDHV12</stp>
        <stp>CLSWIB6 Index</stp>
        <stp>PX_LAST</stp>
        <stp>12/31/2018</stp>
        <stp>12/31/2018</stp>
        <stp>[Live Pricing.xlsm]Rate_History!R185C6</stp>
        <tr r="F185" s="49"/>
      </tp>
      <tp t="e">
        <v>#N/A</v>
        <stp/>
        <stp>##V3_BDHV12</stp>
        <stp>CLSWIBI Index</stp>
        <stp>PX_LAST</stp>
        <stp>12/31/2018</stp>
        <stp>12/31/2018</stp>
        <stp>[Live Pricing.xlsm]Rate_History!R185C2</stp>
        <tr r="B185" s="49"/>
      </tp>
      <tp t="e">
        <v>#N/A</v>
        <stp/>
        <stp>##V3_BDHV12</stp>
        <stp>BCN9Y BGN Curncy</stp>
        <stp>PX_LAST</stp>
        <stp>1/1/2019</stp>
        <stp>1/1/2019</stp>
        <stp>[Live Pricing.xlsm]FXFR!R20C4</stp>
        <tr r="D20" s="46"/>
      </tp>
      <tp t="e">
        <v>#N/A</v>
        <stp/>
        <stp>##V3_BDHV12</stp>
        <stp>BCN6M BGN Curncy</stp>
        <stp>PX_LAST</stp>
        <stp>1/1/2019</stp>
        <stp>1/1/2019</stp>
        <stp>[Live Pricing.xlsm]FXFR!R10C4</stp>
        <tr r="D10" s="46"/>
      </tp>
      <tp t="e">
        <v>#N/A</v>
        <stp/>
        <stp>##V3_BDPV12</stp>
        <stp>JY0001M Index</stp>
        <stp>PX_LAST</stp>
        <stp>[Live Pricing.xlsm]Rate_Live!R57C2</stp>
        <tr r="B57" s="39"/>
      </tp>
      <tp t="e">
        <v>#N/A</v>
        <stp/>
        <stp>##V3_BDPV12</stp>
        <stp>JY0006M Index</stp>
        <stp>PX_LAST</stp>
        <stp>[Live Pricing.xlsm]Rate_Live!R60C2</stp>
        <tr r="B60" s="39"/>
      </tp>
      <tp t="e">
        <v>#N/A</v>
        <stp/>
        <stp>##V3_BDHV12</stp>
        <stp>CAD1W BGN Curncy</stp>
        <stp>PX_LAST</stp>
        <stp>1/1/2019</stp>
        <stp>1/1/2019</stp>
        <stp>[Live Pricing.xlsm]FXFR!R92C4</stp>
        <tr r="D92" s="46"/>
      </tp>
      <tp t="e">
        <v>#N/A</v>
        <stp/>
        <stp>##V3_BDHV12</stp>
        <stp>GBP3M BGN Curncy</stp>
        <stp>PX_LAST</stp>
        <stp>1/1/2019</stp>
        <stp>1/1/2019</stp>
        <stp>[Live Pricing.xlsm]FXFR!R51C4</stp>
        <tr r="D51" s="46"/>
      </tp>
      <tp t="e">
        <v>#N/A</v>
        <stp/>
        <stp>##V3_BDHV12</stp>
        <stp>GBP6Y BGN Curncy</stp>
        <stp>PX_LAST</stp>
        <stp>1/1/2019</stp>
        <stp>1/1/2019</stp>
        <stp>[Live Pricing.xlsm]FXFR!R61C4</stp>
        <tr r="D61" s="46"/>
      </tp>
      <tp t="e">
        <v>#N/A</v>
        <stp/>
        <stp>##V3_BDPV12</stp>
        <stp>CDOR01 Index</stp>
        <stp>PX_LAST</stp>
        <stp>[Live Pricing.xlsm]FX_Curve_Live!R132C2</stp>
        <tr r="B132" s="42"/>
      </tp>
      <tp t="e">
        <v>#N/A</v>
        <stp/>
        <stp>##V3_BDPV12</stp>
        <stp>CDOR06 Index</stp>
        <stp>PX_LAST</stp>
        <stp>[Live Pricing.xlsm]FX_Curve_Live!R135C2</stp>
        <tr r="B135" s="42"/>
      </tp>
      <tp t="e">
        <v>#N/A</v>
        <stp/>
        <stp>##V3_BDHV12</stp>
        <stp>US0001m Index</stp>
        <stp>PX_LAST</stp>
        <stp>12/31/2018</stp>
        <stp>12/31/2018</stp>
        <stp>[Live Pricing.xlsm]FX_Curve_History!R7C2</stp>
        <tr r="B7" s="50"/>
      </tp>
      <tp t="e">
        <v>#N/A</v>
        <stp/>
        <stp>##V3_BDPV12</stp>
        <stp>ESU9 Comdty</stp>
        <stp>PX_LAST</stp>
        <stp>[Live Pricing.xlsm]FX_Curve_Live!R110C4</stp>
        <tr r="D110" s="42"/>
      </tp>
      <tp t="e">
        <v>#N/A</v>
        <stp/>
        <stp>##V3_BDPV12</stp>
        <stp>BAH0 Comdty</stp>
        <stp>PX_LAST</stp>
        <stp>[Live Pricing.xlsm]FX_Curve_Live!R137C4</stp>
        <tr r="D137" s="42"/>
      </tp>
      <tp t="e">
        <v>#N/A</v>
        <stp/>
        <stp>##V3_BDHV12</stp>
        <stp>L H9 Comdty</stp>
        <stp>PX_LAST</stp>
        <stp>12/31/2018</stp>
        <stp>12/31/2018</stp>
        <stp>[Live Pricing.xlsm]Rate_History!R83C4</stp>
        <tr r="D83" s="49"/>
      </tp>
      <tp t="e">
        <v>#N/A</v>
        <stp/>
        <stp>##V3_BDPV12</stp>
        <stp>EUSA10 Index</stp>
        <stp>PX_LAST</stp>
        <stp>[Live Pricing.xlsm]Rate_Live!R39C6</stp>
        <tr r="F39" s="39"/>
      </tp>
      <tp t="e">
        <v>#N/A</v>
        <stp/>
        <stp>##V3_BDHV12</stp>
        <stp>USSW8 Index</stp>
        <stp>PX_LAST</stp>
        <stp>12/31/2018</stp>
        <stp>12/31/2018</stp>
        <stp>[Live Pricing.xlsm]Rate_History!R12C6</stp>
        <tr r="F12" s="49"/>
      </tp>
      <tp t="e">
        <v>#N/A</v>
        <stp/>
        <stp>##V3_BDHV12</stp>
        <stp>USSW9 Index</stp>
        <stp>PX_LAST</stp>
        <stp>12/31/2018</stp>
        <stp>12/31/2018</stp>
        <stp>[Live Pricing.xlsm]Rate_History!R13C6</stp>
        <tr r="F13" s="49"/>
      </tp>
      <tp t="e">
        <v>#N/A</v>
        <stp/>
        <stp>##V3_BDPV12</stp>
        <stp>CLSWIB2 Index</stp>
        <stp>PX_LAST</stp>
        <stp>[Live Pricing.xlsm]Rate_Live!R181C6</stp>
        <tr r="F181" s="39"/>
      </tp>
      <tp t="e">
        <v>#N/A</v>
        <stp/>
        <stp>##V3_BDPV12</stp>
        <stp>CLSWIB6 Index</stp>
        <stp>PX_LAST</stp>
        <stp>[Live Pricing.xlsm]Rate_Live!R185C6</stp>
        <tr r="F185" s="39"/>
      </tp>
      <tp t="e">
        <v>#N/A</v>
        <stp/>
        <stp>##V3_BDPV12</stp>
        <stp>SFSW6 Index</stp>
        <stp>PX_LAST</stp>
        <stp>[Live Pricing.xlsm]FX_Curve_Live!R110C6</stp>
        <tr r="F110" s="42"/>
      </tp>
      <tp t="e">
        <v>#N/A</v>
        <stp/>
        <stp>##V3_BDPV12</stp>
        <stp>SFSW7 Index</stp>
        <stp>PX_LAST</stp>
        <stp>[Live Pricing.xlsm]FX_Curve_Live!R111C6</stp>
        <tr r="F111" s="42"/>
      </tp>
      <tp t="e">
        <v>#N/A</v>
        <stp/>
        <stp>##V3_BDPV12</stp>
        <stp>JYSW30 Index</stp>
        <stp>PX_LAST</stp>
        <stp>[Live Pricing.xlsm]Rate_Live!R74C6</stp>
        <tr r="F74" s="39"/>
      </tp>
      <tp t="e">
        <v>#N/A</v>
        <stp/>
        <stp>##V3_BDPV12</stp>
        <stp>JYSW12 Index</stp>
        <stp>PX_LAST</stp>
        <stp>[Live Pricing.xlsm]Rate_Live!R66C6</stp>
        <tr r="F66" s="39"/>
      </tp>
      <tp t="e">
        <v>#N/A</v>
        <stp/>
        <stp>##V3_BDHV12</stp>
        <stp>HASWDI10Y Index</stp>
        <stp>PX_LAST</stp>
        <stp>12/31/2018</stp>
        <stp>12/31/2018</stp>
        <stp>[Live Pricing.xlsm]Rate_History!R170C6</stp>
        <tr r="F170" s="49"/>
      </tp>
      <tp t="e">
        <v>#N/A</v>
        <stp/>
        <stp>##V3_BDHV12</stp>
        <stp>SFSW13 Index</stp>
        <stp>PX_LAST</stp>
        <stp>12/31/2018</stp>
        <stp>12/31/2018</stp>
        <stp>[Live Pricing.xlsm]Rate_History!R117C6</stp>
        <tr r="F117" s="49"/>
      </tp>
      <tp t="e">
        <v>#N/A</v>
        <stp/>
        <stp>##V3_BDHV12</stp>
        <stp>CLSWIB7 Index</stp>
        <stp>PX_LAST</stp>
        <stp>12/31/2018</stp>
        <stp>12/31/2018</stp>
        <stp>[Live Pricing.xlsm]Rate_History!R186C6</stp>
        <tr r="F186" s="49"/>
      </tp>
      <tp t="e">
        <v>#N/A</v>
        <stp/>
        <stp>##V3_BDHV12</stp>
        <stp>CLSWIB1 Index</stp>
        <stp>PX_LAST</stp>
        <stp>12/31/2018</stp>
        <stp>12/31/2018</stp>
        <stp>[Live Pricing.xlsm]Rate_History!R186C2</stp>
        <tr r="B186" s="49"/>
      </tp>
      <tp t="e">
        <v>#N/A</v>
        <stp/>
        <stp>##V3_BDPV12</stp>
        <stp>CDSW12 Index</stp>
        <stp>PX_LAST</stp>
        <stp>[Live Pricing.xlsm]FX_Curve_Live!R140C6</stp>
        <tr r="F140" s="42"/>
      </tp>
      <tp t="e">
        <v>#N/A</v>
        <stp/>
        <stp>##V3_BDPV12</stp>
        <stp>CDSW20 Index</stp>
        <stp>PX_LAST</stp>
        <stp>[Live Pricing.xlsm]FX_Curve_Live!R142C6</stp>
        <tr r="F142" s="42"/>
      </tp>
      <tp t="e">
        <v>#N/A</v>
        <stp/>
        <stp>##V3_BDPV12</stp>
        <stp>SFSW20 Index</stp>
        <stp>PX_LAST</stp>
        <stp>[Live Pricing.xlsm]FX_Curve_Live!R120C6</stp>
        <tr r="F120" s="42"/>
      </tp>
      <tp t="e">
        <v>#N/A</v>
        <stp/>
        <stp>##V3_BDHV12</stp>
        <stp>BCN9M BGN Curncy</stp>
        <stp>PX_LAST</stp>
        <stp>1/1/2019</stp>
        <stp>1/1/2019</stp>
        <stp>[Live Pricing.xlsm]FXFR!R11C4</stp>
        <tr r="D11" s="46"/>
      </tp>
      <tp t="e">
        <v>#N/A</v>
        <stp/>
        <stp>##V3_BDHV12</stp>
        <stp>CAD1M BGN Curncy</stp>
        <stp>PX_LAST</stp>
        <stp>1/1/2019</stp>
        <stp>1/1/2019</stp>
        <stp>[Live Pricing.xlsm]FXFR!R93C4</stp>
        <tr r="D93" s="46"/>
      </tp>
      <tp t="e">
        <v>#N/A</v>
        <stp/>
        <stp>##V3_BDHV12</stp>
        <stp>GBP2M BGN Curncy</stp>
        <stp>PX_LAST</stp>
        <stp>1/1/2019</stp>
        <stp>1/1/2019</stp>
        <stp>[Live Pricing.xlsm]FXFR!R50C4</stp>
        <tr r="D50" s="46"/>
      </tp>
      <tp t="e">
        <v>#N/A</v>
        <stp/>
        <stp>##V3_BDHV12</stp>
        <stp>GBP5Y BGN Curncy</stp>
        <stp>PX_LAST</stp>
        <stp>1/1/2019</stp>
        <stp>1/1/2019</stp>
        <stp>[Live Pricing.xlsm]FXFR!R60C4</stp>
        <tr r="D60" s="46"/>
      </tp>
      <tp t="e">
        <v>#N/A</v>
        <stp/>
        <stp>##V3_BDPV12</stp>
        <stp>ESZ9 Comdty</stp>
        <stp>PX_LAST</stp>
        <stp>[Live Pricing.xlsm]FX_Curve_Live!R111C4</stp>
        <tr r="D111" s="42"/>
      </tp>
      <tp t="e">
        <v>#N/A</v>
        <stp/>
        <stp>##V3_BDPV12</stp>
        <stp>BAZ9 Comdty</stp>
        <stp>PX_LAST</stp>
        <stp>[Live Pricing.xlsm]FX_Curve_Live!R136C4</stp>
        <tr r="D136" s="42"/>
      </tp>
      <tp t="e">
        <v>#N/A</v>
        <stp/>
        <stp>##V3_BDHV12</stp>
        <stp>L Z8 Comdty</stp>
        <stp>PX_LAST</stp>
        <stp>12/31/2018</stp>
        <stp>12/31/2018</stp>
        <stp>[Live Pricing.xlsm]Rate_History!R82C4</stp>
        <tr r="D82" s="49"/>
      </tp>
      <tp t="e">
        <v>#N/A</v>
        <stp/>
        <stp>##V3_BDPV12</stp>
        <stp>EUSWEC Curncy</stp>
        <stp>PX_LAST</stp>
        <stp>[Live Pricing.xlsm]FX_Curve_Live!R31C2</stp>
        <tr r="B31" s="42"/>
      </tp>
      <tp t="e">
        <v>#N/A</v>
        <stp/>
        <stp>##V3_BDPV12</stp>
        <stp>JYSW13 Index</stp>
        <stp>PX_LAST</stp>
        <stp>[Live Pricing.xlsm]Rate_Live!R67C6</stp>
        <tr r="F67" s="39"/>
      </tp>
      <tp t="e">
        <v>#N/A</v>
        <stp/>
        <stp>##V3_BDHV12</stp>
        <stp>HASWDI10Y Index</stp>
        <stp>PX_LAST</stp>
        <stp>12/31/2018</stp>
        <stp>12/31/2018</stp>
        <stp>[Live Pricing.xlsm]Rate_History!R171C6</stp>
        <tr r="F171" s="49"/>
      </tp>
      <tp t="e">
        <v>#N/A</v>
        <stp/>
        <stp>##V3_BDHV12</stp>
        <stp>SFSW12 Index</stp>
        <stp>PX_LAST</stp>
        <stp>12/31/2018</stp>
        <stp>12/31/2018</stp>
        <stp>[Live Pricing.xlsm]Rate_History!R116C6</stp>
        <tr r="F116" s="49"/>
      </tp>
      <tp t="e">
        <v>#N/A</v>
        <stp/>
        <stp>##V3_BDHV12</stp>
        <stp>CLSWIB8 Index</stp>
        <stp>PX_LAST</stp>
        <stp>12/31/2018</stp>
        <stp>12/31/2018</stp>
        <stp>[Live Pricing.xlsm]Rate_History!R187C6</stp>
        <tr r="F187" s="49"/>
      </tp>
      <tp t="e">
        <v>#N/A</v>
        <stp/>
        <stp>##V3_BDPV12</stp>
        <stp>CDSW40 Index</stp>
        <stp>PX_LAST</stp>
        <stp>[Live Pricing.xlsm]FX_Curve_Live!R145C6</stp>
        <tr r="F145" s="42"/>
      </tp>
      <tp t="e">
        <v>#N/A</v>
        <stp/>
        <stp>##V3_BDHV12</stp>
        <stp>BCN5Y BGN Curncy</stp>
        <stp>PX_LAST</stp>
        <stp>1/1/2019</stp>
        <stp>1/1/2019</stp>
        <stp>[Live Pricing.xlsm]FXFR!R16C4</stp>
        <tr r="D16" s="46"/>
      </tp>
      <tp t="e">
        <v>#N/A</v>
        <stp/>
        <stp>##V3_BDHV12</stp>
        <stp>CAD2M BGN Curncy</stp>
        <stp>PX_LAST</stp>
        <stp>1/1/2019</stp>
        <stp>1/1/2019</stp>
        <stp>[Live Pricing.xlsm]FXFR!R94C4</stp>
        <tr r="D94" s="46"/>
      </tp>
      <tp t="e">
        <v>#N/A</v>
        <stp/>
        <stp>##V3_BDHV12</stp>
        <stp>GBP2Y BGN Curncy</stp>
        <stp>PX_LAST</stp>
        <stp>1/1/2019</stp>
        <stp>1/1/2019</stp>
        <stp>[Live Pricing.xlsm]FXFR!R57C4</stp>
        <tr r="D57" s="46"/>
      </tp>
      <tp t="e">
        <v>#N/A</v>
        <stp/>
        <stp>##V3_BDPV12</stp>
        <stp>ESU8 Comdty</stp>
        <stp>PX_LAST</stp>
        <stp>[Live Pricing.xlsm]FX_Curve_Live!R106C4</stp>
        <tr r="D106" s="42"/>
      </tp>
      <tp t="e">
        <v>#N/A</v>
        <stp/>
        <stp>##V3_BDPV12</stp>
        <stp>BAU8 Comdty</stp>
        <stp>PX_LAST</stp>
        <stp>[Live Pricing.xlsm]FX_Curve_Live!R131C4</stp>
        <tr r="D131" s="42"/>
      </tp>
      <tp t="e">
        <v>#N/A</v>
        <stp/>
        <stp>##V3_BDHV12</stp>
        <stp>L U9 Comdty</stp>
        <stp>PX_LAST</stp>
        <stp>12/31/2018</stp>
        <stp>12/31/2018</stp>
        <stp>[Live Pricing.xlsm]Rate_History!R85C4</stp>
        <tr r="D85" s="49"/>
      </tp>
      <tp t="e">
        <v>#N/A</v>
        <stp/>
        <stp>##V3_BDPV12</stp>
        <stp>JYSW25 Index</stp>
        <stp>PX_LAST</stp>
        <stp>[Live Pricing.xlsm]Rate_Live!R73C6</stp>
        <tr r="F73" s="39"/>
      </tp>
      <tp t="e">
        <v>#N/A</v>
        <stp/>
        <stp>##V3_BDPV12</stp>
        <stp>JYSW16 Index</stp>
        <stp>PX_LAST</stp>
        <stp>[Live Pricing.xlsm]Rate_Live!R70C6</stp>
        <tr r="F70" s="39"/>
      </tp>
      <tp t="e">
        <v>#N/A</v>
        <stp/>
        <stp>##V3_BDPV12</stp>
        <stp>JYSW40 Index</stp>
        <stp>PX_LAST</stp>
        <stp>[Live Pricing.xlsm]Rate_Live!R75C6</stp>
        <tr r="F75" s="39"/>
      </tp>
      <tp t="e">
        <v>#N/A</v>
        <stp/>
        <stp>##V3_BDHV12</stp>
        <stp>EDZ8 Comdty</stp>
        <stp>PX_LAST</stp>
        <stp>12/31/2018</stp>
        <stp>12/31/2018</stp>
        <stp>[Live Pricing.xlsm]FX_Curve_History!R7C4</stp>
        <tr r="D7" s="50"/>
      </tp>
      <tp t="e">
        <v>#N/A</v>
        <stp/>
        <stp>##V3_BDHV12</stp>
        <stp>HASWDI10Y Index</stp>
        <stp>PX_LAST</stp>
        <stp>12/31/2018</stp>
        <stp>12/31/2018</stp>
        <stp>[Live Pricing.xlsm]Rate_History!R166C6</stp>
        <tr r="F166" s="49"/>
      </tp>
      <tp t="e">
        <v>#N/A</v>
        <stp/>
        <stp>##V3_BDHV12</stp>
        <stp>CDSW15 Index</stp>
        <stp>PX_LAST</stp>
        <stp>12/31/2018</stp>
        <stp>12/31/2018</stp>
        <stp>[Live Pricing.xlsm]Rate_History!R141C6</stp>
        <tr r="F141" s="49"/>
      </tp>
      <tp t="e">
        <v>#N/A</v>
        <stp/>
        <stp>##V3_BDHV12</stp>
        <stp>SFSW25 Index</stp>
        <stp>PX_LAST</stp>
        <stp>12/31/2018</stp>
        <stp>12/31/2018</stp>
        <stp>[Live Pricing.xlsm]Rate_History!R121C6</stp>
        <tr r="F121" s="49"/>
      </tp>
      <tp t="e">
        <v>#N/A</v>
        <stp/>
        <stp>##V3_BDPV12</stp>
        <stp>CDSW15 Index</stp>
        <stp>PX_LAST</stp>
        <stp>[Live Pricing.xlsm]FX_Curve_Live!R141C6</stp>
        <tr r="F141" s="42"/>
      </tp>
      <tp t="e">
        <v>#N/A</v>
        <stp/>
        <stp>##V3_BDPV12</stp>
        <stp>CDSW30 Index</stp>
        <stp>PX_LAST</stp>
        <stp>[Live Pricing.xlsm]FX_Curve_Live!R144C6</stp>
        <tr r="F144" s="42"/>
      </tp>
      <tp t="e">
        <v>#N/A</v>
        <stp/>
        <stp>##V3_BDHV12</stp>
        <stp>BCN6Y BGN Curncy</stp>
        <stp>PX_LAST</stp>
        <stp>1/1/2019</stp>
        <stp>1/1/2019</stp>
        <stp>[Live Pricing.xlsm]FXFR!R17C4</stp>
        <tr r="D17" s="46"/>
      </tp>
      <tp t="e">
        <v>#N/A</v>
        <stp/>
        <stp>##V3_BDHV12</stp>
        <stp>CAD3M BGN Curncy</stp>
        <stp>PX_LAST</stp>
        <stp>1/1/2019</stp>
        <stp>1/1/2019</stp>
        <stp>[Live Pricing.xlsm]FXFR!R95C4</stp>
        <tr r="D95" s="46"/>
      </tp>
      <tp t="e">
        <v>#N/A</v>
        <stp/>
        <stp>##V3_BDPV12</stp>
        <stp>CDOR12 Index</stp>
        <stp>PX_LAST</stp>
        <stp>[Live Pricing.xlsm]FX_Curve_Live!R136C2</stp>
        <tr r="B136" s="42"/>
      </tp>
      <tp t="e">
        <v>#N/A</v>
        <stp/>
        <stp>##V3_BDPV12</stp>
        <stp>ESZ8 Comdty</stp>
        <stp>PX_LAST</stp>
        <stp>[Live Pricing.xlsm]FX_Curve_Live!R107C4</stp>
        <tr r="D107" s="42"/>
      </tp>
      <tp t="e">
        <v>#N/A</v>
        <stp/>
        <stp>##V3_BDHV12</stp>
        <stp>L M9 Comdty</stp>
        <stp>PX_LAST</stp>
        <stp>12/31/2018</stp>
        <stp>12/31/2018</stp>
        <stp>[Live Pricing.xlsm]Rate_History!R84C4</stp>
        <tr r="D84" s="49"/>
      </tp>
      <tp t="e">
        <v>#N/A</v>
        <stp/>
        <stp>##V3_BDPV12</stp>
        <stp>BPSW10 Index</stp>
        <stp>PX_LAST</stp>
        <stp>[Live Pricing.xlsm]Rate_Live!R89C6</stp>
        <tr r="F89" s="39"/>
      </tp>
      <tp t="e">
        <v>#N/A</v>
        <stp/>
        <stp>##V3_BDPV12</stp>
        <stp>JYSW17 Index</stp>
        <stp>PX_LAST</stp>
        <stp>[Live Pricing.xlsm]Rate_Live!R71C6</stp>
        <tr r="F71" s="39"/>
      </tp>
      <tp t="e">
        <v>#N/A</v>
        <stp/>
        <stp>##V3_BDPV12</stp>
        <stp>JYSW20 Index</stp>
        <stp>PX_LAST</stp>
        <stp>[Live Pricing.xlsm]Rate_Live!R72C6</stp>
        <tr r="F72" s="39"/>
      </tp>
      <tp t="e">
        <v>#N/A</v>
        <stp/>
        <stp>##V3_BDHV12</stp>
        <stp>EDU8 Comdty</stp>
        <stp>PX_LAST</stp>
        <stp>12/31/2018</stp>
        <stp>12/31/2018</stp>
        <stp>[Live Pricing.xlsm]FX_Curve_History!R6C4</stp>
        <tr r="D6" s="50"/>
        <tr r="D6" s="50"/>
      </tp>
      <tp t="e">
        <v>#N/A</v>
        <stp/>
        <stp>##V3_BDHV12</stp>
        <stp>HASWDI10Y Index</stp>
        <stp>PX_LAST</stp>
        <stp>12/31/2018</stp>
        <stp>12/31/2018</stp>
        <stp>[Live Pricing.xlsm]Rate_History!R167C6</stp>
        <tr r="F167" s="49"/>
      </tp>
      <tp t="e">
        <v>#N/A</v>
        <stp/>
        <stp>##V3_BDHV12</stp>
        <stp>BPSW40 Index</stp>
        <stp>PX_LAST</stp>
        <stp>12/31/2018</stp>
        <stp>12/31/2018</stp>
        <stp>[Live Pricing.xlsm]Rate_History!R100C6</stp>
        <tr r="F100" s="49"/>
      </tp>
      <tp t="e">
        <v>#N/A</v>
        <stp/>
        <stp>##V3_BDHV12</stp>
        <stp>CDSW12 Index</stp>
        <stp>PX_LAST</stp>
        <stp>12/31/2018</stp>
        <stp>12/31/2018</stp>
        <stp>[Live Pricing.xlsm]Rate_History!R140C6</stp>
        <tr r="F140" s="49"/>
      </tp>
      <tp t="e">
        <v>#N/A</v>
        <stp/>
        <stp>##V3_BDHV12</stp>
        <stp>SFSW20 Index</stp>
        <stp>PX_LAST</stp>
        <stp>12/31/2018</stp>
        <stp>12/31/2018</stp>
        <stp>[Live Pricing.xlsm]Rate_History!R120C6</stp>
        <tr r="F120" s="49"/>
      </tp>
      <tp t="e">
        <v>#N/A</v>
        <stp/>
        <stp>##V3_BDHV12</stp>
        <stp>CLSWIB2 Index</stp>
        <stp>PX_LAST</stp>
        <stp>12/31/2018</stp>
        <stp>12/31/2018</stp>
        <stp>[Live Pricing.xlsm]Rate_History!R181C6</stp>
        <tr r="F181" s="49"/>
      </tp>
      <tp t="e">
        <v>#N/A</v>
        <stp/>
        <stp>##V3_BDPV12</stp>
        <stp>EUSA9 Index</stp>
        <stp>PX_LAST</stp>
        <stp>[Live Pricing.xlsm]FX_Curve_Live!R38C6</stp>
        <tr r="F38" s="42"/>
      </tp>
      <tp t="e">
        <v>#N/A</v>
        <stp/>
        <stp>##V3_BDHV12</stp>
        <stp>BCN3Y BGN Curncy</stp>
        <stp>PX_LAST</stp>
        <stp>1/1/2019</stp>
        <stp>1/1/2019</stp>
        <stp>[Live Pricing.xlsm]FXFR!R14C4</stp>
        <tr r="D14" s="46"/>
      </tp>
      <tp t="e">
        <v>#N/A</v>
        <stp/>
        <stp>##V3_BDHV12</stp>
        <stp>CAD4M BGN Curncy</stp>
        <stp>PX_LAST</stp>
        <stp>1/1/2019</stp>
        <stp>1/1/2019</stp>
        <stp>[Live Pricing.xlsm]FXFR!R96C4</stp>
        <tr r="D96" s="46"/>
      </tp>
      <tp t="e">
        <v>#N/A</v>
        <stp/>
        <stp>##V3_BDHV12</stp>
        <stp>GBP9M BGN Curncy</stp>
        <stp>PX_LAST</stp>
        <stp>1/1/2019</stp>
        <stp>1/1/2019</stp>
        <stp>[Live Pricing.xlsm]FXFR!R55C4</stp>
        <tr r="D55" s="46"/>
      </tp>
      <tp t="e">
        <v>#N/A</v>
        <stp/>
        <stp>##V3_BDPV12</stp>
        <stp>CDOR03 Index</stp>
        <stp>PX_LAST</stp>
        <stp>[Live Pricing.xlsm]FX_Curve_Live!R134C2</stp>
        <tr r="B134" s="42"/>
      </tp>
      <tp t="e">
        <v>#N/A</v>
        <stp/>
        <stp>##V3_BDPV12</stp>
        <stp>BAH9 Comdty</stp>
        <stp>PX_LAST</stp>
        <stp>[Live Pricing.xlsm]FX_Curve_Live!R133C4</stp>
        <tr r="D133" s="42"/>
      </tp>
      <tp t="e">
        <v>#N/A</v>
        <stp/>
        <stp>##V3_BDHV12</stp>
        <stp>L H0 Comdty</stp>
        <stp>PX_LAST</stp>
        <stp>12/31/2018</stp>
        <stp>12/31/2018</stp>
        <stp>[Live Pricing.xlsm]Rate_History!R87C4</stp>
        <tr r="D87" s="49"/>
      </tp>
      <tp t="e">
        <v>#N/A</v>
        <stp/>
        <stp>##V3_BDPV12</stp>
        <stp>CLSWIB1 Index</stp>
        <stp>PX_LAST</stp>
        <stp>[Live Pricing.xlsm]Rate_Live!R186C2</stp>
        <tr r="B186" s="39"/>
      </tp>
      <tp t="e">
        <v>#N/A</v>
        <stp/>
        <stp>##V3_BDPV12</stp>
        <stp>CLSWIB4 Index</stp>
        <stp>PX_LAST</stp>
        <stp>[Live Pricing.xlsm]Rate_Live!R183C6</stp>
        <tr r="F183" s="39"/>
      </tp>
      <tp t="e">
        <v>#N/A</v>
        <stp/>
        <stp>##V3_BDHV12</stp>
        <stp>SF0002M Index</stp>
        <stp>PX_LAST</stp>
        <stp>12/31/2018</stp>
        <stp>12/31/2018</stp>
        <stp>[Live Pricing.xlsm]FX_Curve_History!R108C2</stp>
        <tr r="B108" s="50"/>
      </tp>
      <tp t="e">
        <v>#N/A</v>
        <stp/>
        <stp>##V3_BDHV12</stp>
        <stp>CDSW25 Index</stp>
        <stp>PX_LAST</stp>
        <stp>12/31/2018</stp>
        <stp>12/31/2018</stp>
        <stp>[Live Pricing.xlsm]Rate_History!R143C6</stp>
        <tr r="F143" s="49"/>
      </tp>
      <tp t="e">
        <v>#N/A</v>
        <stp/>
        <stp>##V3_BDHV12</stp>
        <stp>SFSW40 Index</stp>
        <stp>PX_LAST</stp>
        <stp>12/31/2018</stp>
        <stp>12/31/2018</stp>
        <stp>[Live Pricing.xlsm]Rate_History!R123C6</stp>
        <tr r="F123" s="49"/>
      </tp>
      <tp t="e">
        <v>#N/A</v>
        <stp/>
        <stp>##V3_BDHV12</stp>
        <stp>CLSWIB3 Index</stp>
        <stp>PX_LAST</stp>
        <stp>12/31/2018</stp>
        <stp>12/31/2018</stp>
        <stp>[Live Pricing.xlsm]Rate_History!R182C6</stp>
        <tr r="F182" s="49"/>
      </tp>
      <tp t="e">
        <v>#N/A</v>
        <stp/>
        <stp>##V3_BDHV12</stp>
        <stp>CLSWIBA Index</stp>
        <stp>PX_LAST</stp>
        <stp>12/31/2018</stp>
        <stp>12/31/2018</stp>
        <stp>[Live Pricing.xlsm]Rate_History!R182C2</stp>
        <tr r="B182" s="49"/>
      </tp>
      <tp t="e">
        <v>#N/A</v>
        <stp/>
        <stp>##V3_BDPV12</stp>
        <stp>CDSW25 Index</stp>
        <stp>PX_LAST</stp>
        <stp>[Live Pricing.xlsm]FX_Curve_Live!R143C6</stp>
        <tr r="F143" s="42"/>
      </tp>
      <tp t="e">
        <v>#N/A</v>
        <stp/>
        <stp>##V3_BDPV12</stp>
        <stp>SFSW10 Index</stp>
        <stp>PX_LAST</stp>
        <stp>[Live Pricing.xlsm]FX_Curve_Live!R114C6</stp>
        <tr r="F114" s="42"/>
      </tp>
      <tp t="e">
        <v>#N/A</v>
        <stp/>
        <stp>##V3_BDPV12</stp>
        <stp>SFSW11 Index</stp>
        <stp>PX_LAST</stp>
        <stp>[Live Pricing.xlsm]FX_Curve_Live!R115C6</stp>
        <tr r="F115" s="42"/>
      </tp>
      <tp t="e">
        <v>#N/A</v>
        <stp/>
        <stp>##V3_BDPV12</stp>
        <stp>SFSW12 Index</stp>
        <stp>PX_LAST</stp>
        <stp>[Live Pricing.xlsm]FX_Curve_Live!R116C6</stp>
        <tr r="F116" s="42"/>
      </tp>
      <tp t="e">
        <v>#N/A</v>
        <stp/>
        <stp>##V3_BDPV12</stp>
        <stp>SFSW13 Index</stp>
        <stp>PX_LAST</stp>
        <stp>[Live Pricing.xlsm]FX_Curve_Live!R117C6</stp>
        <tr r="F117" s="42"/>
      </tp>
      <tp t="e">
        <v>#N/A</v>
        <stp/>
        <stp>##V3_BDPV12</stp>
        <stp>SFSW25 Index</stp>
        <stp>PX_LAST</stp>
        <stp>[Live Pricing.xlsm]FX_Curve_Live!R121C6</stp>
        <tr r="F121" s="42"/>
      </tp>
      <tp t="e">
        <v>#N/A</v>
        <stp/>
        <stp>##V3_BDHV12</stp>
        <stp>BCN4Y BGN Curncy</stp>
        <stp>PX_LAST</stp>
        <stp>1/1/2019</stp>
        <stp>1/1/2019</stp>
        <stp>[Live Pricing.xlsm]FXFR!R15C4</stp>
        <tr r="D15" s="46"/>
      </tp>
      <tp t="e">
        <v>#N/A</v>
        <stp/>
        <stp>##V3_BDPV12</stp>
        <stp>JY0012M Index</stp>
        <stp>PX_LAST</stp>
        <stp>[Live Pricing.xlsm]Rate_Live!R61C2</stp>
        <tr r="B61" s="39"/>
      </tp>
      <tp t="e">
        <v>#N/A</v>
        <stp/>
        <stp>##V3_BDHV12</stp>
        <stp>CAD5M BGN Curncy</stp>
        <stp>PX_LAST</stp>
        <stp>1/1/2019</stp>
        <stp>1/1/2019</stp>
        <stp>[Live Pricing.xlsm]FXFR!R97C4</stp>
        <tr r="D97" s="46"/>
      </tp>
      <tp t="e">
        <v>#N/A</v>
        <stp/>
        <stp>##V3_BDHV12</stp>
        <stp>GBP9Y BGN Curncy</stp>
        <stp>PX_LAST</stp>
        <stp>1/1/2019</stp>
        <stp>1/1/2019</stp>
        <stp>[Live Pricing.xlsm]FXFR!R64C4</stp>
        <tr r="D64" s="46"/>
      </tp>
      <tp t="e">
        <v>#N/A</v>
        <stp/>
        <stp>##V3_BDHV12</stp>
        <stp>GBP6M BGN Curncy</stp>
        <stp>PX_LAST</stp>
        <stp>1/1/2019</stp>
        <stp>1/1/2019</stp>
        <stp>[Live Pricing.xlsm]FXFR!R54C4</stp>
        <tr r="D54" s="46"/>
      </tp>
      <tp t="e">
        <v>#N/A</v>
        <stp/>
        <stp>##V3_BDPV12</stp>
        <stp>BAZ8 Comdty</stp>
        <stp>PX_LAST</stp>
        <stp>[Live Pricing.xlsm]FX_Curve_Live!R132C4</stp>
        <tr r="D132" s="42"/>
      </tp>
      <tp t="e">
        <v>#N/A</v>
        <stp/>
        <stp>##V3_BDPV12</stp>
        <stp>BPSW25 Index</stp>
        <stp>PX_LAST</stp>
        <stp>[Live Pricing.xlsm]Rate_Live!R98C6</stp>
        <tr r="F98" s="39"/>
      </tp>
      <tp t="e">
        <v>#N/A</v>
        <stp/>
        <stp>##V3_BDHV12</stp>
        <stp>L Z9 Comdty</stp>
        <stp>PX_LAST</stp>
        <stp>12/31/2018</stp>
        <stp>12/31/2018</stp>
        <stp>[Live Pricing.xlsm]Rate_History!R86C4</stp>
        <tr r="D86" s="49"/>
      </tp>
      <tp t="e">
        <v>#N/A</v>
        <stp/>
        <stp>##V3_BDPV12</stp>
        <stp>BPSW30 Index</stp>
        <stp>PX_LAST</stp>
        <stp>[Live Pricing.xlsm]Rate_Live!R99C6</stp>
        <tr r="F99" s="39"/>
      </tp>
      <tp t="e">
        <v>#N/A</v>
        <stp/>
        <stp>##V3_BDHV12</stp>
        <stp>HASWDI10Y Index</stp>
        <stp>PX_LAST</stp>
        <stp>12/31/2018</stp>
        <stp>12/31/2018</stp>
        <stp>[Live Pricing.xlsm]Rate_History!R165C6</stp>
        <tr r="F165" s="49"/>
      </tp>
      <tp t="e">
        <v>#N/A</v>
        <stp/>
        <stp>##V3_BDHV12</stp>
        <stp>SF0003M Index</stp>
        <stp>PX_LAST</stp>
        <stp>12/31/2018</stp>
        <stp>12/31/2018</stp>
        <stp>[Live Pricing.xlsm]FX_Curve_History!R109C2</stp>
        <tr r="B109" s="50"/>
      </tp>
      <tp t="e">
        <v>#N/A</v>
        <stp/>
        <stp>##V3_BDHV12</stp>
        <stp>CDSW20 Index</stp>
        <stp>PX_LAST</stp>
        <stp>12/31/2018</stp>
        <stp>12/31/2018</stp>
        <stp>[Live Pricing.xlsm]Rate_History!R142C6</stp>
        <tr r="F142" s="49"/>
      </tp>
      <tp t="e">
        <v>#N/A</v>
        <stp/>
        <stp>##V3_BDHV12</stp>
        <stp>SFSW30 Index</stp>
        <stp>PX_LAST</stp>
        <stp>12/31/2018</stp>
        <stp>12/31/2018</stp>
        <stp>[Live Pricing.xlsm]Rate_History!R122C6</stp>
        <tr r="F122" s="49"/>
      </tp>
      <tp t="e">
        <v>#N/A</v>
        <stp/>
        <stp>##V3_BDHV12</stp>
        <stp>CLSWIB4 Index</stp>
        <stp>PX_LAST</stp>
        <stp>12/31/2018</stp>
        <stp>12/31/2018</stp>
        <stp>[Live Pricing.xlsm]Rate_History!R183C6</stp>
        <tr r="F183" s="49"/>
      </tp>
      <tp t="e">
        <v>#N/A</v>
        <stp/>
        <stp>##V3_BDPV12</stp>
        <stp>JYSW6 Index</stp>
        <stp>PX_LAST</stp>
        <stp>[Live Pricing.xlsm]FX_Curve_Live!R60C6</stp>
        <tr r="F60" s="42"/>
      </tp>
      <tp t="e">
        <v>#N/A</v>
        <stp/>
        <stp>##V3_BDHV12</stp>
        <stp>JPY2Y BGN Curncy</stp>
        <stp>PX_LAST</stp>
        <stp>1/1/2019</stp>
        <stp>1/1/2019</stp>
        <stp>[Live Pricing.xlsm]FXFR!R79C4</stp>
        <tr r="D79" s="46"/>
      </tp>
      <tp t="e">
        <v>#N/A</v>
        <stp/>
        <stp>##V3_BDHV12</stp>
        <stp>EUSWEC Curncy</stp>
        <stp>PX_LAST</stp>
        <stp>12/31/2018</stp>
        <stp>12/31/2018</stp>
        <stp>[Live Pricing.xlsm]FX_Curve_History!R31C2</stp>
        <tr r="B31" s="50"/>
      </tp>
      <tp t="e">
        <v>#N/A</v>
        <stp/>
        <stp>##V3_BDHV12</stp>
        <stp>BP0006M Index</stp>
        <stp>PX_LAST</stp>
        <stp>12/31/2018</stp>
        <stp>12/31/2018</stp>
        <stp>[Live Pricing.xlsm]FX_Curve_History!R85C2</stp>
        <tr r="B85" s="50"/>
      </tp>
      <tp t="e">
        <v>#N/A</v>
        <stp/>
        <stp>##V3_BDHV12</stp>
        <stp>JY00S/N Index</stp>
        <stp>PX_LAST</stp>
        <stp>12/31/2018</stp>
        <stp>12/31/2018</stp>
        <stp>[Live Pricing.xlsm]FX_Curve_History!R56C2</stp>
        <tr r="B56" s="50"/>
      </tp>
      <tp t="e">
        <v>#N/A</v>
        <stp/>
        <stp>##V3_BDHV12</stp>
        <stp>USSW30 Index</stp>
        <stp>PX_LAST</stp>
        <stp>12/31/2018</stp>
        <stp>12/31/2018</stp>
        <stp>[Live Pricing.xlsm]Rate_History!R24C6</stp>
        <tr r="F24" s="49"/>
      </tp>
      <tp t="e">
        <v>#N/A</v>
        <stp/>
        <stp>##V3_BDHV12</stp>
        <stp>USSW10 Index</stp>
        <stp>PX_LAST</stp>
        <stp>12/31/2018</stp>
        <stp>12/31/2018</stp>
        <stp>[Live Pricing.xlsm]Rate_History!R14C6</stp>
        <tr r="F14" s="49"/>
      </tp>
      <tp t="e">
        <v>#N/A</v>
        <stp/>
        <stp>##V3_BDHV12</stp>
        <stp>USSW11 Index</stp>
        <stp>PX_LAST</stp>
        <stp>12/31/2018</stp>
        <stp>12/31/2018</stp>
        <stp>[Live Pricing.xlsm]Rate_History!R15C6</stp>
        <tr r="F15" s="49"/>
      </tp>
      <tp t="e">
        <v>#N/A</v>
        <stp/>
        <stp>##V3_BDHV12</stp>
        <stp>USSW12 Index</stp>
        <stp>PX_LAST</stp>
        <stp>12/31/2018</stp>
        <stp>12/31/2018</stp>
        <stp>[Live Pricing.xlsm]Rate_History!R16C6</stp>
        <tr r="F16" s="49"/>
      </tp>
      <tp t="e">
        <v>#N/A</v>
        <stp/>
        <stp>##V3_BDHV12</stp>
        <stp>USSW13 Index</stp>
        <stp>PX_LAST</stp>
        <stp>12/31/2018</stp>
        <stp>12/31/2018</stp>
        <stp>[Live Pricing.xlsm]Rate_History!R17C6</stp>
        <tr r="F17" s="49"/>
      </tp>
      <tp t="e">
        <v>#N/A</v>
        <stp/>
        <stp>##V3_BDHV12</stp>
        <stp>BPSW20 Index</stp>
        <stp>PX_LAST</stp>
        <stp>12/31/2018</stp>
        <stp>12/31/2018</stp>
        <stp>[Live Pricing.xlsm]Rate_History!R97C6</stp>
        <tr r="F97" s="49"/>
      </tp>
      <tp t="e">
        <v>#N/A</v>
        <stp/>
        <stp>##V3_BDHV12</stp>
        <stp>BPSW14 Index</stp>
        <stp>PX_LAST</stp>
        <stp>12/31/2018</stp>
        <stp>12/31/2018</stp>
        <stp>[Live Pricing.xlsm]Rate_History!R93C6</stp>
        <tr r="F93" s="49"/>
      </tp>
      <tp t="e">
        <v>#N/A</v>
        <stp/>
        <stp>##V3_BDPV12</stp>
        <stp>USSW6 Index</stp>
        <stp>PX_LAST</stp>
        <stp>[Live Pricing.xlsm]FX_Curve_Live!R10C6</stp>
        <tr r="F10" s="42"/>
      </tp>
      <tp t="e">
        <v>#N/A</v>
        <stp/>
        <stp>##V3_BDPV12</stp>
        <stp>SF0001M Index</stp>
        <stp>PX_LAST</stp>
        <stp>[Live Pricing.xlsm]Rate_Live!R107C2</stp>
        <tr r="B107" s="39"/>
      </tp>
      <tp t="e">
        <v>#N/A</v>
        <stp/>
        <stp>##V3_BDHV12</stp>
        <stp>BPSW4 Index</stp>
        <stp>PX_LAST</stp>
        <stp>12/31/2018</stp>
        <stp>12/31/2018</stp>
        <stp>[Live Pricing.xlsm]Rate_History!R83C6</stp>
        <tr r="F83" s="49"/>
      </tp>
      <tp t="e">
        <v>#N/A</v>
        <stp/>
        <stp>##V3_BDPV12</stp>
        <stp>CLSWIB12 Index</stp>
        <stp>PX_LAST</stp>
        <stp>[Live Pricing.xlsm]Rate_Live!R191C6</stp>
        <tr r="F191" s="39"/>
      </tp>
      <tp t="e">
        <v>#N/A</v>
        <stp/>
        <stp>##V3_BDPV12</stp>
        <stp>YEH9 Comdty</stp>
        <stp>PX_LAST</stp>
        <stp>[Live Pricing.xlsm]Rate_Live!R58C4</stp>
        <tr r="D58" s="39"/>
      </tp>
      <tp t="e">
        <v>#N/A</v>
        <stp/>
        <stp>##V3_BDHV12</stp>
        <stp>EUR003m Index</stp>
        <stp>PX_LAST</stp>
        <stp>12/31/2018</stp>
        <stp>12/31/2018</stp>
        <stp>[Live Pricing.xlsm]Rate_History!R34C2</stp>
        <tr r="B34" s="49"/>
      </tp>
      <tp t="e">
        <v>#N/A</v>
        <stp/>
        <stp>##V3_BDPV12</stp>
        <stp>JYSW7 Index</stp>
        <stp>PX_LAST</stp>
        <stp>[Live Pricing.xlsm]FX_Curve_Live!R61C6</stp>
        <tr r="F61" s="42"/>
      </tp>
      <tp t="e">
        <v>#N/A</v>
        <stp/>
        <stp>##V3_BDPV12</stp>
        <stp>BPSW2 Index</stp>
        <stp>PX_LAST</stp>
        <stp>[Live Pricing.xlsm]FX_Curve_Live!R81C6</stp>
        <tr r="F81" s="42"/>
      </tp>
      <tp t="e">
        <v>#N/A</v>
        <stp/>
        <stp>##V3_BDHV12</stp>
        <stp>BP0003M Index</stp>
        <stp>PX_LAST</stp>
        <stp>12/31/2018</stp>
        <stp>12/31/2018</stp>
        <stp>[Live Pricing.xlsm]FX_Curve_History!R84C2</stp>
        <tr r="B84" s="50"/>
      </tp>
      <tp t="e">
        <v>#N/A</v>
        <stp/>
        <stp>##V3_BDHV12</stp>
        <stp>EUSA12 Index</stp>
        <stp>PX_LAST</stp>
        <stp>12/31/2018</stp>
        <stp>12/31/2018</stp>
        <stp>[Live Pricing.xlsm]Rate_History!R41C6</stp>
        <tr r="F41" s="49"/>
      </tp>
      <tp t="e">
        <v>#N/A</v>
        <stp/>
        <stp>##V3_BDHV12</stp>
        <stp>EUSA16 Index</stp>
        <stp>PX_LAST</stp>
        <stp>12/31/2018</stp>
        <stp>12/31/2018</stp>
        <stp>[Live Pricing.xlsm]Rate_History!R45C6</stp>
        <tr r="F45" s="49"/>
      </tp>
      <tp t="e">
        <v>#N/A</v>
        <stp/>
        <stp>##V3_BDHV12</stp>
        <stp>USSW40 Index</stp>
        <stp>PX_LAST</stp>
        <stp>12/31/2018</stp>
        <stp>12/31/2018</stp>
        <stp>[Live Pricing.xlsm]Rate_History!R25C6</stp>
        <tr r="F25" s="49"/>
      </tp>
      <tp t="e">
        <v>#N/A</v>
        <stp/>
        <stp>##V3_BDPV12</stp>
        <stp>USSW7 Index</stp>
        <stp>PX_LAST</stp>
        <stp>[Live Pricing.xlsm]FX_Curve_Live!R11C6</stp>
        <tr r="F11" s="42"/>
      </tp>
      <tp t="e">
        <v>#N/A</v>
        <stp/>
        <stp>##V3_BDHV12</stp>
        <stp>EUSA3 Index</stp>
        <stp>PX_LAST</stp>
        <stp>12/31/2018</stp>
        <stp>12/31/2018</stp>
        <stp>[Live Pricing.xlsm]Rate_History!R32C6</stp>
        <tr r="F32" s="49"/>
      </tp>
      <tp t="e">
        <v>#N/A</v>
        <stp/>
        <stp>##V3_BDHV12</stp>
        <stp>EUSA5 Index</stp>
        <stp>PX_LAST</stp>
        <stp>12/31/2018</stp>
        <stp>12/31/2018</stp>
        <stp>[Live Pricing.xlsm]Rate_History!R34C6</stp>
        <tr r="F34" s="49"/>
      </tp>
      <tp t="e">
        <v>#N/A</v>
        <stp/>
        <stp>##V3_BDHV12</stp>
        <stp>EUSA7 Index</stp>
        <stp>PX_LAST</stp>
        <stp>12/31/2018</stp>
        <stp>12/31/2018</stp>
        <stp>[Live Pricing.xlsm]Rate_History!R36C6</stp>
        <tr r="F36" s="49"/>
      </tp>
      <tp t="e">
        <v>#N/A</v>
        <stp/>
        <stp>##V3_BDHV12</stp>
        <stp>EUSA9 Index</stp>
        <stp>PX_LAST</stp>
        <stp>12/31/2018</stp>
        <stp>12/31/2018</stp>
        <stp>[Live Pricing.xlsm]Rate_History!R38C6</stp>
        <tr r="F38" s="49"/>
      </tp>
      <tp t="e">
        <v>#N/A</v>
        <stp/>
        <stp>##V3_BDPV12</stp>
        <stp>YEM9 Comdty</stp>
        <stp>PX_LAST</stp>
        <stp>[Live Pricing.xlsm]Rate_Live!R59C4</stp>
        <tr r="D59" s="39"/>
      </tp>
      <tp t="e">
        <v>#N/A</v>
        <stp/>
        <stp>##V3_BDHV12</stp>
        <stp>EUR006m Index</stp>
        <stp>PX_LAST</stp>
        <stp>12/31/2018</stp>
        <stp>12/31/2018</stp>
        <stp>[Live Pricing.xlsm]Rate_History!R35C2</stp>
        <tr r="B35" s="49"/>
      </tp>
      <tp t="e">
        <v>#N/A</v>
        <stp/>
        <stp>##V3_BDPV12</stp>
        <stp>BPSW3 Index</stp>
        <stp>PX_LAST</stp>
        <stp>[Live Pricing.xlsm]FX_Curve_Live!R82C6</stp>
        <tr r="F82" s="42"/>
      </tp>
      <tp t="e">
        <v>#N/A</v>
        <stp/>
        <stp>##V3_BDPV12</stp>
        <stp>JYSW8 Index</stp>
        <stp>PX_LAST</stp>
        <stp>[Live Pricing.xlsm]FX_Curve_Live!R62C6</stp>
        <tr r="F62" s="42"/>
      </tp>
      <tp t="e">
        <v>#N/A</v>
        <stp/>
        <stp>##V3_BDPV12</stp>
        <stp>USSW8 Index</stp>
        <stp>PX_LAST</stp>
        <stp>[Live Pricing.xlsm]FX_Curve_Live!R12C6</stp>
        <tr r="F12" s="42"/>
      </tp>
      <tp t="e">
        <v>#N/A</v>
        <stp/>
        <stp>##V3_BDHV12</stp>
        <stp>JY0001M Index</stp>
        <stp>PX_LAST</stp>
        <stp>12/31/2018</stp>
        <stp>12/31/2018</stp>
        <stp>[Live Pricing.xlsm]FX_Curve_History!R57C2</stp>
        <tr r="B57" s="50"/>
      </tp>
      <tp t="e">
        <v>#N/A</v>
        <stp/>
        <stp>##V3_BDHV12</stp>
        <stp>EUSA40 Index</stp>
        <stp>PX_LAST</stp>
        <stp>12/31/2018</stp>
        <stp>12/31/2018</stp>
        <stp>[Live Pricing.xlsm]Rate_History!R50C6</stp>
        <tr r="F50" s="49"/>
      </tp>
      <tp t="e">
        <v>#N/A</v>
        <stp/>
        <stp>##V3_BDHV12</stp>
        <stp>USSW25 Index</stp>
        <stp>PX_LAST</stp>
        <stp>12/31/2018</stp>
        <stp>12/31/2018</stp>
        <stp>[Live Pricing.xlsm]Rate_History!R23C6</stp>
        <tr r="F23" s="49"/>
      </tp>
      <tp t="e">
        <v>#N/A</v>
        <stp/>
        <stp>##V3_BDHV12</stp>
        <stp>USSW16 Index</stp>
        <stp>PX_LAST</stp>
        <stp>12/31/2018</stp>
        <stp>12/31/2018</stp>
        <stp>[Live Pricing.xlsm]Rate_History!R20C6</stp>
        <tr r="F20" s="49"/>
        <tr r="F20" s="49"/>
      </tp>
      <tp t="e">
        <v>#N/A</v>
        <stp/>
        <stp>##V3_BDHV12</stp>
        <stp>USSW17 Index</stp>
        <stp>PX_LAST</stp>
        <stp>12/31/2018</stp>
        <stp>12/31/2018</stp>
        <stp>[Live Pricing.xlsm]Rate_History!R21C6</stp>
        <tr r="F21" s="49"/>
        <tr r="F21" s="49"/>
      </tp>
      <tp t="e">
        <v>#N/A</v>
        <stp/>
        <stp>##V3_BDHV12</stp>
        <stp>JYSW14 Index</stp>
        <stp>PX_LAST</stp>
        <stp>12/31/2018</stp>
        <stp>12/31/2018</stp>
        <stp>[Live Pricing.xlsm]Rate_History!R68C6</stp>
        <tr r="F68" s="49"/>
      </tp>
      <tp t="e">
        <v>#N/A</v>
        <stp/>
        <stp>##V3_BDHV12</stp>
        <stp>JYSW15 Index</stp>
        <stp>PX_LAST</stp>
        <stp>12/31/2018</stp>
        <stp>12/31/2018</stp>
        <stp>[Live Pricing.xlsm]Rate_History!R69C6</stp>
        <tr r="F69" s="49"/>
      </tp>
      <tp t="e">
        <v>#N/A</v>
        <stp/>
        <stp>##V3_BDPV12</stp>
        <stp>SF00S/N Index</stp>
        <stp>PX_LAST</stp>
        <stp>[Live Pricing.xlsm]Rate_Live!R106C2</stp>
        <tr r="B106" s="39"/>
      </tp>
      <tp t="e">
        <v>#N/A</v>
        <stp/>
        <stp>##V3_BDPV12</stp>
        <stp>USSW17 Index</stp>
        <stp>PX_LAST</stp>
        <stp>[Live Pricing.xlsm]Rate_Live!R21C6</stp>
        <tr r="F21" s="39"/>
      </tp>
      <tp t="e">
        <v>#N/A</v>
        <stp/>
        <stp>##V3_BDPV12</stp>
        <stp>USSW20 Index</stp>
        <stp>PX_LAST</stp>
        <stp>[Live Pricing.xlsm]Rate_Live!R22C6</stp>
        <tr r="F22" s="39"/>
      </tp>
      <tp t="e">
        <v>#N/A</v>
        <stp/>
        <stp>##V3_BDPV12</stp>
        <stp>CLSWIB15 Index</stp>
        <stp>PX_LAST</stp>
        <stp>[Live Pricing.xlsm]Rate_Live!R194C6</stp>
        <tr r="F194" s="39"/>
      </tp>
      <tp t="e">
        <v>#N/A</v>
        <stp/>
        <stp>##V3_BDPV12</stp>
        <stp>YEM0 Comdty</stp>
        <stp>PX_LAST</stp>
        <stp>[Live Pricing.xlsm]Rate_Live!R63C4</stp>
        <tr r="D63" s="39"/>
      </tp>
      <tp t="e">
        <v>#N/A</v>
        <stp/>
        <stp>##V3_BDPV12</stp>
        <stp>EDM0 Comdty</stp>
        <stp>PX_LAST</stp>
        <stp>[Live Pricing.xlsm]Rate_Live!R13C4</stp>
        <tr r="D13" s="39"/>
      </tp>
      <tp t="e">
        <v>#N/A</v>
        <stp/>
        <stp>##V3_BDHV12</stp>
        <stp>CDOR02 Index</stp>
        <stp>PX_LAST</stp>
        <stp>12/31/2018</stp>
        <stp>12/31/2018</stp>
        <stp>[Live Pricing.xlsm]Rate_History!R133C2</stp>
        <tr r="B133" s="49"/>
        <tr r="B133" s="49"/>
      </tp>
      <tp t="e">
        <v>#N/A</v>
        <stp/>
        <stp>##V3_BDHV12</stp>
        <stp>EUR012m Index</stp>
        <stp>PX_LAST</stp>
        <stp>12/31/2018</stp>
        <stp>12/31/2018</stp>
        <stp>[Live Pricing.xlsm]Rate_History!R36C2</stp>
        <tr r="B36" s="49"/>
      </tp>
      <tp t="e">
        <v>#N/A</v>
        <stp/>
        <stp>##V3_BDPV12</stp>
        <stp>BPSW4 Index</stp>
        <stp>PX_LAST</stp>
        <stp>[Live Pricing.xlsm]FX_Curve_Live!R83C6</stp>
        <tr r="F83" s="42"/>
      </tp>
      <tp t="e">
        <v>#N/A</v>
        <stp/>
        <stp>##V3_BDPV12</stp>
        <stp>JYSW9 Index</stp>
        <stp>PX_LAST</stp>
        <stp>[Live Pricing.xlsm]FX_Curve_Live!R63C6</stp>
        <tr r="F63" s="42"/>
      </tp>
      <tp t="e">
        <v>#N/A</v>
        <stp/>
        <stp>##V3_BDPV12</stp>
        <stp>USSW9 Index</stp>
        <stp>PX_LAST</stp>
        <stp>[Live Pricing.xlsm]FX_Curve_Live!R13C6</stp>
        <tr r="F13" s="42"/>
      </tp>
      <tp t="e">
        <v>#N/A</v>
        <stp/>
        <stp>##V3_BDHV12</stp>
        <stp>BP0012M Index</stp>
        <stp>PX_LAST</stp>
        <stp>12/31/2018</stp>
        <stp>12/31/2018</stp>
        <stp>[Live Pricing.xlsm]FX_Curve_History!R86C2</stp>
        <tr r="B86" s="50"/>
      </tp>
      <tp t="e">
        <v>#N/A</v>
        <stp/>
        <stp>##V3_BDHV12</stp>
        <stp>EUSA11 Index</stp>
        <stp>PX_LAST</stp>
        <stp>12/31/2018</stp>
        <stp>12/31/2018</stp>
        <stp>[Live Pricing.xlsm]Rate_History!R40C6</stp>
        <tr r="F40" s="49"/>
      </tp>
      <tp t="e">
        <v>#N/A</v>
        <stp/>
        <stp>##V3_BDHV12</stp>
        <stp>EUSA13 Index</stp>
        <stp>PX_LAST</stp>
        <stp>12/31/2018</stp>
        <stp>12/31/2018</stp>
        <stp>[Live Pricing.xlsm]Rate_History!R42C6</stp>
        <tr r="F42" s="49"/>
      </tp>
      <tp t="e">
        <v>#N/A</v>
        <stp/>
        <stp>##V3_BDHV12</stp>
        <stp>EUSA15 Index</stp>
        <stp>PX_LAST</stp>
        <stp>12/31/2018</stp>
        <stp>12/31/2018</stp>
        <stp>[Live Pricing.xlsm]Rate_History!R44C6</stp>
        <tr r="F44" s="49"/>
      </tp>
      <tp t="e">
        <v>#N/A</v>
        <stp/>
        <stp>##V3_BDHV12</stp>
        <stp>EUSA17 Index</stp>
        <stp>PX_LAST</stp>
        <stp>12/31/2018</stp>
        <stp>12/31/2018</stp>
        <stp>[Live Pricing.xlsm]Rate_History!R46C6</stp>
        <tr r="F46" s="49"/>
      </tp>
      <tp t="e">
        <v>#N/A</v>
        <stp/>
        <stp>##V3_BDPV12</stp>
        <stp>USSW16 Index</stp>
        <stp>PX_LAST</stp>
        <stp>[Live Pricing.xlsm]Rate_Live!R20C6</stp>
        <tr r="F20" s="39"/>
      </tp>
      <tp t="e">
        <v>#N/A</v>
        <stp/>
        <stp>##V3_BDPV12</stp>
        <stp>USSW25 Index</stp>
        <stp>PX_LAST</stp>
        <stp>[Live Pricing.xlsm]Rate_Live!R23C6</stp>
        <tr r="F23" s="39"/>
      </tp>
      <tp t="e">
        <v>#N/A</v>
        <stp/>
        <stp>##V3_BDPV12</stp>
        <stp>USSW40 Index</stp>
        <stp>PX_LAST</stp>
        <stp>[Live Pricing.xlsm]Rate_Live!R25C6</stp>
        <tr r="F25" s="39"/>
      </tp>
      <tp t="e">
        <v>#N/A</v>
        <stp/>
        <stp>##V3_BDHV12</stp>
        <stp>EUSA2 Index</stp>
        <stp>PX_LAST</stp>
        <stp>12/31/2018</stp>
        <stp>12/31/2018</stp>
        <stp>[Live Pricing.xlsm]Rate_History!R31C6</stp>
        <tr r="F31" s="49"/>
      </tp>
      <tp t="e">
        <v>#N/A</v>
        <stp/>
        <stp>##V3_BDHV12</stp>
        <stp>EUSA6 Index</stp>
        <stp>PX_LAST</stp>
        <stp>12/31/2018</stp>
        <stp>12/31/2018</stp>
        <stp>[Live Pricing.xlsm]Rate_History!R35C6</stp>
        <tr r="F35" s="49"/>
      </tp>
      <tp t="e">
        <v>#N/A</v>
        <stp/>
        <stp>##V3_BDHV12</stp>
        <stp>JYSW4 Index</stp>
        <stp>PX_LAST</stp>
        <stp>12/31/2018</stp>
        <stp>12/31/2018</stp>
        <stp>[Live Pricing.xlsm]Rate_History!R58C6</stp>
        <tr r="F58" s="49"/>
      </tp>
      <tp t="e">
        <v>#N/A</v>
        <stp/>
        <stp>##V3_BDHV12</stp>
        <stp>JYSW5 Index</stp>
        <stp>PX_LAST</stp>
        <stp>12/31/2018</stp>
        <stp>12/31/2018</stp>
        <stp>[Live Pricing.xlsm]Rate_History!R59C6</stp>
        <tr r="F59" s="49"/>
      </tp>
      <tp t="e">
        <v>#N/A</v>
        <stp/>
        <stp>##V3_BDPV12</stp>
        <stp>CDSW8 Index</stp>
        <stp>PX_LAST</stp>
        <stp>[Live Pricing.xlsm]FX_Curve_Live!R137C6</stp>
        <tr r="F137" s="42"/>
      </tp>
      <tp t="e">
        <v>#N/A</v>
        <stp/>
        <stp>##V3_BDPV12</stp>
        <stp>YEH0 Comdty</stp>
        <stp>PX_LAST</stp>
        <stp>[Live Pricing.xlsm]Rate_Live!R62C4</stp>
        <tr r="D62" s="39"/>
      </tp>
      <tp t="e">
        <v>#N/A</v>
        <stp/>
        <stp>##V3_BDPV12</stp>
        <stp>EDH0 Comdty</stp>
        <stp>PX_LAST</stp>
        <stp>[Live Pricing.xlsm]Rate_Live!R12C4</stp>
        <tr r="D12" s="39"/>
      </tp>
      <tp t="e">
        <v>#N/A</v>
        <stp/>
        <stp>##V3_BDPV12</stp>
        <stp>BLBS2 Index</stp>
        <stp>PX_LAST</stp>
        <stp>[Live Pricing.xlsm]FX_Curve_Live!R156C13</stp>
        <stp>43430</stp>
        <stp>43430</stp>
        <tr r="M156" s="42"/>
      </tp>
      <tp t="e">
        <v>#N/A</v>
        <stp/>
        <stp>##V3_BDHV12</stp>
        <stp>CLSWIB10 Index</stp>
        <stp>PX_LAST</stp>
        <stp>12/31/2018</stp>
        <stp>12/31/2018</stp>
        <stp>[Live Pricing.xlsm]Rate_History!R189C6</stp>
        <tr r="F189" s="49"/>
      </tp>
      <tp t="e">
        <v>#N/A</v>
        <stp/>
        <stp>##V3_BDHV12</stp>
        <stp>CDOR01 Index</stp>
        <stp>PX_LAST</stp>
        <stp>12/31/2018</stp>
        <stp>12/31/2018</stp>
        <stp>[Live Pricing.xlsm]Rate_History!R132C2</stp>
        <tr r="B132" s="49"/>
      </tp>
      <tp t="e">
        <v>#N/A</v>
        <stp/>
        <stp>##V3_BDPV12</stp>
        <stp>USSW4 Index</stp>
        <stp>PX_LAST</stp>
        <stp>[Live Pricing.xlsm]FX_Curve_Live!R8C6</stp>
        <tr r="F8" s="42"/>
      </tp>
      <tp t="e">
        <v>#N/A</v>
        <stp/>
        <stp>##V3_BDPV12</stp>
        <stp>BPSW5 Index</stp>
        <stp>PX_LAST</stp>
        <stp>[Live Pricing.xlsm]FX_Curve_Live!R84C6</stp>
        <tr r="F84" s="42"/>
      </tp>
      <tp t="e">
        <v>#N/A</v>
        <stp/>
        <stp>##V3_BDHV12</stp>
        <stp>JY0012M Index</stp>
        <stp>PX_LAST</stp>
        <stp>12/31/2018</stp>
        <stp>12/31/2018</stp>
        <stp>[Live Pricing.xlsm]FX_Curve_History!R61C2</stp>
        <tr r="B61" s="50"/>
      </tp>
      <tp t="e">
        <v>#N/A</v>
        <stp/>
        <stp>##V3_BDHV12</stp>
        <stp>EUR2M BGN Curncy</stp>
        <stp>PX_LAST</stp>
        <stp>1/1/2019</stp>
        <stp>1/1/2019</stp>
        <stp>[Live Pricing.xlsm]FXFR!R28C4</stp>
        <tr r="D28" s="46"/>
      </tp>
      <tp t="e">
        <v>#N/A</v>
        <stp/>
        <stp>##V3_BDHV12</stp>
        <stp>EUR5Y BGN Curncy</stp>
        <stp>PX_LAST</stp>
        <stp>1/1/2019</stp>
        <stp>1/1/2019</stp>
        <stp>[Live Pricing.xlsm]FXFR!R38C4</stp>
        <tr r="D38" s="46"/>
      </tp>
      <tp t="e">
        <v>#N/A</v>
        <stp/>
        <stp>##V3_BDHV12</stp>
        <stp>BPSW12 Index</stp>
        <stp>PX_LAST</stp>
        <stp>12/31/2018</stp>
        <stp>12/31/2018</stp>
        <stp>[Live Pricing.xlsm]Rate_History!R91C6</stp>
        <tr r="F91" s="49"/>
      </tp>
      <tp t="e">
        <v>#N/A</v>
        <stp/>
        <stp>##V3_BDHV12</stp>
        <stp>BPSW16 Index</stp>
        <stp>PX_LAST</stp>
        <stp>12/31/2018</stp>
        <stp>12/31/2018</stp>
        <stp>[Live Pricing.xlsm]Rate_History!R95C6</stp>
        <tr r="F95" s="49"/>
      </tp>
      <tp t="e">
        <v>#N/A</v>
        <stp/>
        <stp>##V3_BDHV12</stp>
        <stp>YEH9 Comdty</stp>
        <stp>PX_LAST</stp>
        <stp>12/31/2018</stp>
        <stp>12/31/2018</stp>
        <stp>[Live Pricing.xlsm]Rate_History!R58C4</stp>
        <tr r="D58" s="49"/>
      </tp>
      <tp t="e">
        <v>#N/A</v>
        <stp/>
        <stp>##V3_BDHV12</stp>
        <stp>BPSW2 Index</stp>
        <stp>PX_LAST</stp>
        <stp>12/31/2018</stp>
        <stp>12/31/2018</stp>
        <stp>[Live Pricing.xlsm]Rate_History!R81C6</stp>
        <tr r="F81" s="49"/>
      </tp>
      <tp t="e">
        <v>#N/A</v>
        <stp/>
        <stp>##V3_BDHV12</stp>
        <stp>BPSW6 Index</stp>
        <stp>PX_LAST</stp>
        <stp>12/31/2018</stp>
        <stp>12/31/2018</stp>
        <stp>[Live Pricing.xlsm]Rate_History!R85C6</stp>
        <tr r="F85" s="49"/>
      </tp>
      <tp t="e">
        <v>#N/A</v>
        <stp/>
        <stp>##V3_BDPV12</stp>
        <stp>USSW13 Index</stp>
        <stp>PX_LAST</stp>
        <stp>[Live Pricing.xlsm]Rate_Live!R17C6</stp>
        <tr r="F17" s="39"/>
      </tp>
      <tp t="e">
        <v>#N/A</v>
        <stp/>
        <stp>##V3_BDPV12</stp>
        <stp>CLSWIB20 Index</stp>
        <stp>PX_LAST</stp>
        <stp>[Live Pricing.xlsm]Rate_Live!R197C6</stp>
        <tr r="F197" s="39"/>
      </tp>
      <tp t="e">
        <v>#N/A</v>
        <stp/>
        <stp>##V3_BDHV12</stp>
        <stp>CDOR06 Index</stp>
        <stp>PX_LAST</stp>
        <stp>12/31/2018</stp>
        <stp>12/31/2018</stp>
        <stp>[Live Pricing.xlsm]Rate_History!R135C2</stp>
        <tr r="B135" s="49"/>
      </tp>
      <tp t="e">
        <v>#N/A</v>
        <stp/>
        <stp>##V3_BDPV12</stp>
        <stp>BLBS1 Curncy</stp>
        <stp>PX_LAST</stp>
        <stp>[Live Pricing.xlsm]FX_Curve_Live!R156C16</stp>
        <tr r="P156" s="42"/>
      </tp>
      <tp t="e">
        <v>#N/A</v>
        <stp/>
        <stp>##V3_BDHV12</stp>
        <stp>HASWDI3Y Index</stp>
        <stp>PX_LAST</stp>
        <stp>12/31/2018</stp>
        <stp>12/31/2018</stp>
        <stp>[Live Pricing.xlsm]Rate_History!R158C6</stp>
        <tr r="F158" s="49"/>
      </tp>
      <tp t="e">
        <v>#N/A</v>
        <stp/>
        <stp>##V3_BDHV12</stp>
        <stp>HASWDI2M Index</stp>
        <stp>PX_LAST</stp>
        <stp>12/31/2018</stp>
        <stp>12/31/2018</stp>
        <stp>[Live Pricing.xlsm]Rate_History!R158C2</stp>
        <tr r="B158" s="49"/>
      </tp>
      <tp t="e">
        <v>#N/A</v>
        <stp/>
        <stp>##V3_BDHV12</stp>
        <stp>CHF4M BGN Curncy</stp>
        <stp>PX_LAST</stp>
        <stp>1/1/2019</stp>
        <stp>1/1/2019</stp>
        <stp>[Live Pricing.xlsm]FXFR!R118C4</stp>
        <tr r="D118" s="46"/>
      </tp>
      <tp t="e">
        <v>#N/A</v>
        <stp/>
        <stp>##V3_BDHV12</stp>
        <stp>CHF7Y BGN Curncy</stp>
        <stp>PX_LAST</stp>
        <stp>1/1/2019</stp>
        <stp>1/1/2019</stp>
        <stp>[Live Pricing.xlsm]FXFR!R128C4</stp>
        <tr r="D128" s="46"/>
      </tp>
      <tp t="e">
        <v>#N/A</v>
        <stp/>
        <stp>##V3_BDPV12</stp>
        <stp>USSW5 Index</stp>
        <stp>PX_LAST</stp>
        <stp>[Live Pricing.xlsm]FX_Curve_Live!R9C6</stp>
        <tr r="F9" s="42"/>
      </tp>
      <tp t="e">
        <v>#N/A</v>
        <stp/>
        <stp>##V3_BDPV12</stp>
        <stp>JY00S/N Index</stp>
        <stp>PX_LAST</stp>
        <stp>[Live Pricing.xlsm]Rate_Live!R56C2</stp>
        <tr r="B56" s="39"/>
      </tp>
      <tp t="e">
        <v>#N/A</v>
        <stp/>
        <stp>##V3_BDPV12</stp>
        <stp>BPSW6 Index</stp>
        <stp>PX_LAST</stp>
        <stp>[Live Pricing.xlsm]FX_Curve_Live!R85C6</stp>
        <tr r="F85" s="42"/>
      </tp>
      <tp t="e">
        <v>#N/A</v>
        <stp/>
        <stp>##V3_BDHV12</stp>
        <stp>JY0006M Index</stp>
        <stp>PX_LAST</stp>
        <stp>12/31/2018</stp>
        <stp>12/31/2018</stp>
        <stp>[Live Pricing.xlsm]FX_Curve_History!R60C2</stp>
        <tr r="B60" s="50"/>
      </tp>
      <tp t="e">
        <v>#N/A</v>
        <stp/>
        <stp>##V3_BDHV12</stp>
        <stp>EUR3M BGN Curncy</stp>
        <stp>PX_LAST</stp>
        <stp>1/1/2019</stp>
        <stp>1/1/2019</stp>
        <stp>[Live Pricing.xlsm]FXFR!R29C4</stp>
        <tr r="D29" s="46"/>
      </tp>
      <tp t="e">
        <v>#N/A</v>
        <stp/>
        <stp>##V3_BDHV12</stp>
        <stp>EUR6Y BGN Curncy</stp>
        <stp>PX_LAST</stp>
        <stp>1/1/2019</stp>
        <stp>1/1/2019</stp>
        <stp>[Live Pricing.xlsm]FXFR!R39C4</stp>
        <tr r="D39" s="46"/>
      </tp>
      <tp t="e">
        <v>#N/A</v>
        <stp/>
        <stp>##V3_BDHV12</stp>
        <stp>EUSA14 Index</stp>
        <stp>PX_LAST</stp>
        <stp>12/31/2018</stp>
        <stp>12/31/2018</stp>
        <stp>[Live Pricing.xlsm]Rate_History!R43C6</stp>
        <tr r="F43" s="49"/>
      </tp>
      <tp t="e">
        <v>#N/A</v>
        <stp/>
        <stp>##V3_BDHV12</stp>
        <stp>EUSA20 Index</stp>
        <stp>PX_LAST</stp>
        <stp>12/31/2018</stp>
        <stp>12/31/2018</stp>
        <stp>[Live Pricing.xlsm]Rate_History!R47C6</stp>
        <tr r="F47" s="49"/>
      </tp>
      <tp t="e">
        <v>#N/A</v>
        <stp/>
        <stp>##V3_BDHV12</stp>
        <stp>YEM9 Comdty</stp>
        <stp>PX_LAST</stp>
        <stp>12/31/2018</stp>
        <stp>12/31/2018</stp>
        <stp>[Live Pricing.xlsm]Rate_History!R59C4</stp>
        <tr r="D59" s="49"/>
      </tp>
      <tp t="e">
        <v>#N/A</v>
        <stp/>
        <stp>##V3_BDHV12</stp>
        <stp>US00o/n Index</stp>
        <stp>PX_LAST</stp>
        <stp>12/31/2018</stp>
        <stp>12/31/2018</stp>
        <stp>[Live Pricing.xlsm]FX_Curve_History!R6C2</stp>
        <tr r="B6" s="50"/>
      </tp>
      <tp t="e">
        <v>#N/A</v>
        <stp/>
        <stp>##V3_BDPV12</stp>
        <stp>HASWDI10Y Index</stp>
        <stp>PX_LAST</stp>
        <stp>[Live Pricing.xlsm]FX_Curve_Live!R165C9</stp>
        <stp/>
        <stp/>
        <tr r="I165" s="42"/>
      </tp>
      <tp t="e">
        <v>#N/A</v>
        <stp/>
        <stp>##V3_BDPV12</stp>
        <stp>USSW12 Index</stp>
        <stp>PX_LAST</stp>
        <stp>[Live Pricing.xlsm]Rate_Live!R16C6</stp>
        <tr r="F16" s="39"/>
      </tp>
      <tp t="e">
        <v>#N/A</v>
        <stp/>
        <stp>##V3_BDPV12</stp>
        <stp>USSW30 Index</stp>
        <stp>PX_LAST</stp>
        <stp>[Live Pricing.xlsm]Rate_Live!R24C6</stp>
        <tr r="F24" s="39"/>
      </tp>
      <tp t="e">
        <v>#N/A</v>
        <stp/>
        <stp>##V3_BDHV12</stp>
        <stp>JYSW8 Index</stp>
        <stp>PX_LAST</stp>
        <stp>12/31/2018</stp>
        <stp>12/31/2018</stp>
        <stp>[Live Pricing.xlsm]Rate_History!R62C6</stp>
        <tr r="F62" s="49"/>
      </tp>
      <tp t="e">
        <v>#N/A</v>
        <stp/>
        <stp>##V3_BDHV12</stp>
        <stp>JYSW9 Index</stp>
        <stp>PX_LAST</stp>
        <stp>12/31/2018</stp>
        <stp>12/31/2018</stp>
        <stp>[Live Pricing.xlsm]Rate_History!R63C6</stp>
        <tr r="F63" s="49"/>
      </tp>
      <tp t="e">
        <v>#N/A</v>
        <stp/>
        <stp>##V3_BDHV12</stp>
        <stp>CDOR03 Index</stp>
        <stp>PX_LAST</stp>
        <stp>12/31/2018</stp>
        <stp>12/31/2018</stp>
        <stp>[Live Pricing.xlsm]Rate_History!R134C2</stp>
        <tr r="B134" s="49"/>
      </tp>
      <tp t="e">
        <v>#N/A</v>
        <stp/>
        <stp>##V3_BDHV12</stp>
        <stp>HASWDI3M Index</stp>
        <stp>PX_LAST</stp>
        <stp>12/31/2018</stp>
        <stp>12/31/2018</stp>
        <stp>[Live Pricing.xlsm]Rate_History!R159C2</stp>
        <tr r="B159" s="49"/>
      </tp>
      <tp t="e">
        <v>#N/A</v>
        <stp/>
        <stp>##V3_BDHV12</stp>
        <stp>HASWDI4Y Index</stp>
        <stp>PX_LAST</stp>
        <stp>12/31/2018</stp>
        <stp>12/31/2018</stp>
        <stp>[Live Pricing.xlsm]Rate_History!R159C6</stp>
        <tr r="F159" s="49"/>
      </tp>
      <tp t="e">
        <v>#N/A</v>
        <stp/>
        <stp>##V3_BDHV12</stp>
        <stp>CHF8Y BGN Curncy</stp>
        <stp>PX_LAST</stp>
        <stp>1/1/2019</stp>
        <stp>1/1/2019</stp>
        <stp>[Live Pricing.xlsm]FXFR!R129C4</stp>
        <tr r="D129" s="46"/>
      </tp>
      <tp t="e">
        <v>#N/A</v>
        <stp/>
        <stp>##V3_BDHV12</stp>
        <stp>CHF5M BGN Curncy</stp>
        <stp>PX_LAST</stp>
        <stp>1/1/2019</stp>
        <stp>1/1/2019</stp>
        <stp>[Live Pricing.xlsm]FXFR!R119C4</stp>
        <tr r="D119" s="46"/>
      </tp>
      <tp t="e">
        <v>#N/A</v>
        <stp/>
        <stp>##V3_BDPV12</stp>
        <stp>JYSW2 Index</stp>
        <stp>PX_LAST</stp>
        <stp>[Live Pricing.xlsm]FX_Curve_Live!R56C6</stp>
        <tr r="F56" s="42"/>
      </tp>
      <tp t="e">
        <v>#N/A</v>
        <stp/>
        <stp>##V3_BDPV12</stp>
        <stp>BPSW7 Index</stp>
        <stp>PX_LAST</stp>
        <stp>[Live Pricing.xlsm]FX_Curve_Live!R86C6</stp>
        <tr r="F86" s="42"/>
      </tp>
      <tp t="e">
        <v>#N/A</v>
        <stp/>
        <stp>##V3_BDHV12</stp>
        <stp>BP0002M Index</stp>
        <stp>PX_LAST</stp>
        <stp>12/31/2018</stp>
        <stp>12/31/2018</stp>
        <stp>[Live Pricing.xlsm]FX_Curve_History!R83C2</stp>
        <tr r="B83" s="50"/>
      </tp>
      <tp t="e">
        <v>#N/A</v>
        <stp/>
        <stp>##V3_BDHV12</stp>
        <stp>USSW20 Index</stp>
        <stp>PX_LAST</stp>
        <stp>12/31/2018</stp>
        <stp>12/31/2018</stp>
        <stp>[Live Pricing.xlsm]Rate_History!R22C6</stp>
        <tr r="F22" s="49"/>
      </tp>
      <tp t="e">
        <v>#N/A</v>
        <stp/>
        <stp>##V3_BDHV12</stp>
        <stp>BPSW11 Index</stp>
        <stp>PX_LAST</stp>
        <stp>12/31/2018</stp>
        <stp>12/31/2018</stp>
        <stp>[Live Pricing.xlsm]Rate_History!R90C6</stp>
        <tr r="F90" s="49"/>
      </tp>
      <tp t="e">
        <v>#N/A</v>
        <stp/>
        <stp>##V3_BDHV12</stp>
        <stp>BPSW13 Index</stp>
        <stp>PX_LAST</stp>
        <stp>12/31/2018</stp>
        <stp>12/31/2018</stp>
        <stp>[Live Pricing.xlsm]Rate_History!R92C6</stp>
        <tr r="F92" s="49"/>
      </tp>
      <tp t="e">
        <v>#N/A</v>
        <stp/>
        <stp>##V3_BDHV12</stp>
        <stp>BPSW15 Index</stp>
        <stp>PX_LAST</stp>
        <stp>12/31/2018</stp>
        <stp>12/31/2018</stp>
        <stp>[Live Pricing.xlsm]Rate_History!R94C6</stp>
        <tr r="F94" s="49"/>
      </tp>
      <tp t="e">
        <v>#N/A</v>
        <stp/>
        <stp>##V3_BDHV12</stp>
        <stp>BPSW17 Index</stp>
        <stp>PX_LAST</stp>
        <stp>12/31/2018</stp>
        <stp>12/31/2018</stp>
        <stp>[Live Pricing.xlsm]Rate_History!R96C6</stp>
        <tr r="F96" s="49"/>
      </tp>
      <tp t="e">
        <v>#N/A</v>
        <stp/>
        <stp>##V3_BDPV12</stp>
        <stp>SF0012M Index</stp>
        <stp>PX_LAST</stp>
        <stp>[Live Pricing.xlsm]Rate_Live!R111C2</stp>
        <tr r="B111" s="39"/>
      </tp>
      <tp t="e">
        <v>#N/A</v>
        <stp/>
        <stp>##V3_BDHV12</stp>
        <stp>BPSW3 Index</stp>
        <stp>PX_LAST</stp>
        <stp>12/31/2018</stp>
        <stp>12/31/2018</stp>
        <stp>[Live Pricing.xlsm]Rate_History!R82C6</stp>
        <tr r="F82" s="49"/>
      </tp>
      <tp t="e">
        <v>#N/A</v>
        <stp/>
        <stp>##V3_BDHV12</stp>
        <stp>BPSW5 Index</stp>
        <stp>PX_LAST</stp>
        <stp>12/31/2018</stp>
        <stp>12/31/2018</stp>
        <stp>[Live Pricing.xlsm]Rate_History!R84C6</stp>
        <tr r="F84" s="49"/>
      </tp>
      <tp t="e">
        <v>#N/A</v>
        <stp/>
        <stp>##V3_BDHV12</stp>
        <stp>BPSW7 Index</stp>
        <stp>PX_LAST</stp>
        <stp>12/31/2018</stp>
        <stp>12/31/2018</stp>
        <stp>[Live Pricing.xlsm]Rate_History!R86C6</stp>
        <tr r="F86" s="49"/>
      </tp>
      <tp t="e">
        <v>#N/A</v>
        <stp/>
        <stp>##V3_BDHV12</stp>
        <stp>BPSW9 Index</stp>
        <stp>PX_LAST</stp>
        <stp>12/31/2018</stp>
        <stp>12/31/2018</stp>
        <stp>[Live Pricing.xlsm]Rate_History!R88C6</stp>
        <tr r="F88" s="49"/>
      </tp>
      <tp t="e">
        <v>#N/A</v>
        <stp/>
        <stp>##V3_BDPV12</stp>
        <stp>USSW11 Index</stp>
        <stp>PX_LAST</stp>
        <stp>[Live Pricing.xlsm]Rate_Live!R15C6</stp>
        <tr r="F15" s="39"/>
      </tp>
      <tp t="e">
        <v>#N/A</v>
        <stp/>
        <stp>##V3_BDPV12</stp>
        <stp>ERH0 Comdty</stp>
        <stp>PX_LAST</stp>
        <stp>[Live Pricing.xlsm]Rate_Live!R37C4</stp>
        <tr r="D37" s="39"/>
      </tp>
      <tp t="e">
        <v>#N/A</v>
        <stp/>
        <stp>##V3_BDPV12</stp>
        <stp>L H0 Comdty</stp>
        <stp>PX_LAST</stp>
        <stp>[Live Pricing.xlsm]Rate_Live!R87C4</stp>
        <tr r="D87" s="39"/>
      </tp>
      <tp t="e">
        <v>#N/A</v>
        <stp/>
        <stp>##V3_BDHV12</stp>
        <stp>CAD9Y BGN Curncy</stp>
        <stp>PX_LAST</stp>
        <stp>1/1/2019</stp>
        <stp>1/1/2019</stp>
        <stp>[Live Pricing.xlsm]FXFR!R108C4</stp>
        <tr r="D108" s="46"/>
      </tp>
      <tp t="e">
        <v>#N/A</v>
        <stp/>
        <stp>##V3_BDHV12</stp>
        <stp>EUR001m Index</stp>
        <stp>PX_LAST</stp>
        <stp>12/31/2018</stp>
        <stp>12/31/2018</stp>
        <stp>[Live Pricing.xlsm]Rate_History!R32C2</stp>
        <tr r="B32" s="49"/>
      </tp>
      <tp t="e">
        <v>#N/A</v>
        <stp/>
        <stp>##V3_BDPV12</stp>
        <stp>JYSW3 Index</stp>
        <stp>PX_LAST</stp>
        <stp>[Live Pricing.xlsm]FX_Curve_Live!R57C6</stp>
        <tr r="F57" s="42"/>
      </tp>
      <tp t="e">
        <v>#N/A</v>
        <stp/>
        <stp>##V3_BDPV12</stp>
        <stp>BPSW8 Index</stp>
        <stp>PX_LAST</stp>
        <stp>[Live Pricing.xlsm]FX_Curve_Live!R87C6</stp>
        <tr r="F87" s="42"/>
      </tp>
      <tp t="e">
        <v>#N/A</v>
        <stp/>
        <stp>##V3_BDHV12</stp>
        <stp>BP0001M Index</stp>
        <stp>PX_LAST</stp>
        <stp>12/31/2018</stp>
        <stp>12/31/2018</stp>
        <stp>[Live Pricing.xlsm]FX_Curve_History!R82C2</stp>
        <tr r="B82" s="50"/>
      </tp>
      <tp t="e">
        <v>#N/A</v>
        <stp/>
        <stp>##V3_BDHV12</stp>
        <stp>BP00O/N Index</stp>
        <stp>PX_LAST</stp>
        <stp>12/31/2018</stp>
        <stp>12/31/2018</stp>
        <stp>[Live Pricing.xlsm]FX_Curve_History!R81C2</stp>
        <tr r="B81" s="50"/>
      </tp>
      <tp t="e">
        <v>#N/A</v>
        <stp/>
        <stp>##V3_BDPV12</stp>
        <stp>SF0006M Index</stp>
        <stp>PX_LAST</stp>
        <stp>[Live Pricing.xlsm]Rate_Live!R110C2</stp>
        <tr r="B110" s="39"/>
      </tp>
      <tp t="e">
        <v>#N/A</v>
        <stp/>
        <stp>##V3_BDPV12</stp>
        <stp>USSW10 Index</stp>
        <stp>PX_LAST</stp>
        <stp>[Live Pricing.xlsm]Rate_Live!R14C6</stp>
        <tr r="F14" s="39"/>
      </tp>
      <tp t="e">
        <v>#N/A</v>
        <stp/>
        <stp>##V3_BDHV12</stp>
        <stp>EUSA4 Index</stp>
        <stp>PX_LAST</stp>
        <stp>12/31/2018</stp>
        <stp>12/31/2018</stp>
        <stp>[Live Pricing.xlsm]Rate_History!R33C6</stp>
        <tr r="F33" s="49"/>
      </tp>
      <tp t="e">
        <v>#N/A</v>
        <stp/>
        <stp>##V3_BDHV12</stp>
        <stp>CDOR12 Index</stp>
        <stp>PX_LAST</stp>
        <stp>12/31/2018</stp>
        <stp>12/31/2018</stp>
        <stp>[Live Pricing.xlsm]Rate_History!R136C2</stp>
        <tr r="B136" s="49"/>
      </tp>
      <tp t="e">
        <v>#N/A</v>
        <stp/>
        <stp>##V3_BDHV12</stp>
        <stp>EUR002m Index</stp>
        <stp>PX_LAST</stp>
        <stp>12/31/2018</stp>
        <stp>12/31/2018</stp>
        <stp>[Live Pricing.xlsm]Rate_History!R33C2</stp>
        <tr r="B33" s="49"/>
      </tp>
      <tp t="e">
        <v>#N/A</v>
        <stp/>
        <stp>##V3_BDPV12</stp>
        <stp>JYSW4 Index</stp>
        <stp>PX_LAST</stp>
        <stp>[Live Pricing.xlsm]FX_Curve_Live!R58C6</stp>
        <tr r="F58" s="42"/>
      </tp>
      <tp t="e">
        <v>#N/A</v>
        <stp/>
        <stp>##V3_BDPV12</stp>
        <stp>BPSW9 Index</stp>
        <stp>PX_LAST</stp>
        <stp>[Live Pricing.xlsm]FX_Curve_Live!R88C6</stp>
        <tr r="F88" s="42"/>
      </tp>
      <tp t="e">
        <v>#N/A</v>
        <stp/>
        <stp>##V3_BDHV12</stp>
        <stp>JPY1M BGN Curncy</stp>
        <stp>PX_LAST</stp>
        <stp>1/1/2019</stp>
        <stp>1/1/2019</stp>
        <stp>[Live Pricing.xlsm]FXFR!R71C4</stp>
        <tr r="D71" s="46"/>
      </tp>
      <tp t="e">
        <v>#N/A</v>
        <stp/>
        <stp>##V3_BDHV12</stp>
        <stp>JPY4Y BGN Curncy</stp>
        <stp>PX_LAST</stp>
        <stp>1/1/2019</stp>
        <stp>1/1/2019</stp>
        <stp>[Live Pricing.xlsm]FXFR!R81C4</stp>
        <tr r="D81" s="46"/>
      </tp>
      <tp t="e">
        <v>#N/A</v>
        <stp/>
        <stp>##V3_BDHV12</stp>
        <stp>USSW14 Index</stp>
        <stp>PX_LAST</stp>
        <stp>12/31/2018</stp>
        <stp>12/31/2018</stp>
        <stp>[Live Pricing.xlsm]Rate_History!R18C6</stp>
        <tr r="F18" s="49"/>
      </tp>
      <tp t="e">
        <v>#N/A</v>
        <stp/>
        <stp>##V3_BDHV12</stp>
        <stp>USSW15 Index</stp>
        <stp>PX_LAST</stp>
        <stp>12/31/2018</stp>
        <stp>12/31/2018</stp>
        <stp>[Live Pricing.xlsm]Rate_History!R19C6</stp>
        <tr r="F19" s="49"/>
      </tp>
      <tp t="e">
        <v>#N/A</v>
        <stp/>
        <stp>##V3_BDHV12</stp>
        <stp>JYSW16 Index</stp>
        <stp>PX_LAST</stp>
        <stp>12/31/2018</stp>
        <stp>12/31/2018</stp>
        <stp>[Live Pricing.xlsm]Rate_History!R70C6</stp>
        <tr r="F70" s="49"/>
      </tp>
      <tp t="e">
        <v>#N/A</v>
        <stp/>
        <stp>##V3_BDHV12</stp>
        <stp>JYSW17 Index</stp>
        <stp>PX_LAST</stp>
        <stp>12/31/2018</stp>
        <stp>12/31/2018</stp>
        <stp>[Live Pricing.xlsm]Rate_History!R71C6</stp>
        <tr r="F71" s="49"/>
      </tp>
      <tp t="e">
        <v>#N/A</v>
        <stp/>
        <stp>##V3_BDHV12</stp>
        <stp>JYSW25 Index</stp>
        <stp>PX_LAST</stp>
        <stp>12/31/2018</stp>
        <stp>12/31/2018</stp>
        <stp>[Live Pricing.xlsm]Rate_History!R73C6</stp>
        <tr r="F73" s="49"/>
      </tp>
      <tp t="e">
        <v>#N/A</v>
        <stp/>
        <stp>##V3_BDHV12</stp>
        <stp>BPSW8 Index</stp>
        <stp>PX_LAST</stp>
        <stp>12/31/2018</stp>
        <stp>12/31/2018</stp>
        <stp>[Live Pricing.xlsm]Rate_History!R87C6</stp>
        <tr r="F87" s="49"/>
      </tp>
      <tp t="e">
        <v>#N/A</v>
        <stp/>
        <stp>##V3_BDPV12</stp>
        <stp>YEU9 Comdty</stp>
        <stp>PX_LAST</stp>
        <stp>[Live Pricing.xlsm]Rate_Live!R60C4</stp>
        <tr r="D60" s="39"/>
      </tp>
      <tp t="e">
        <v>#N/A</v>
        <stp/>
        <stp>##V3_BDPV12</stp>
        <stp>ERU8 Comdty</stp>
        <stp>PX_LAST</stp>
        <stp>[Live Pricing.xlsm]Rate_Live!R31C4</stp>
        <tr r="D31" s="39"/>
      </tp>
      <tp t="e">
        <v>#N/A</v>
        <stp/>
        <stp>##V3_BDPV12</stp>
        <stp>EDU9 Comdty</stp>
        <stp>PX_LAST</stp>
        <stp>[Live Pricing.xlsm]Rate_Live!R10C4</stp>
        <tr r="D10" s="39"/>
      </tp>
      <tp t="e">
        <v>#N/A</v>
        <stp/>
        <stp>##V3_BDPV12</stp>
        <stp>L U8 Comdty</stp>
        <stp>PX_LAST</stp>
        <stp>[Live Pricing.xlsm]Rate_Live!R81C4</stp>
        <tr r="D81" s="39"/>
      </tp>
      <tp t="e">
        <v>#N/A</v>
        <stp/>
        <stp>##V3_BDHV12</stp>
        <stp>HASWDI9Y Index</stp>
        <stp>PX_LAST</stp>
        <stp>12/31/2018</stp>
        <stp>12/31/2018</stp>
        <stp>[Live Pricing.xlsm]Rate_History!R164C6</stp>
        <tr r="F164" s="49"/>
      </tp>
      <tp t="e">
        <v>#N/A</v>
        <stp/>
        <stp>##V3_BDHV12</stp>
        <stp>CAD7Y BGN Curncy</stp>
        <stp>PX_LAST</stp>
        <stp>1/1/2019</stp>
        <stp>1/1/2019</stp>
        <stp>[Live Pricing.xlsm]FXFR!R106C4</stp>
        <tr r="D106" s="46"/>
      </tp>
      <tp t="e">
        <v>#N/A</v>
        <stp/>
        <stp>##V3_BDHV12</stp>
        <stp>CHF1W BGN Curncy</stp>
        <stp>PX_LAST</stp>
        <stp>1/1/2019</stp>
        <stp>1/1/2019</stp>
        <stp>[Live Pricing.xlsm]FXFR!R114C4</stp>
        <tr r="D114" s="46"/>
      </tp>
      <tp t="e">
        <v>#N/A</v>
        <stp/>
        <stp>##V3_BDHV12</stp>
        <stp>CHF3Y BGN Curncy</stp>
        <stp>PX_LAST</stp>
        <stp>1/1/2019</stp>
        <stp>1/1/2019</stp>
        <stp>[Live Pricing.xlsm]FXFR!R124C4</stp>
        <tr r="D124" s="46"/>
      </tp>
      <tp t="e">
        <v>#N/A</v>
        <stp/>
        <stp>##V3_BDPV12</stp>
        <stp>JYSW5 Index</stp>
        <stp>PX_LAST</stp>
        <stp>[Live Pricing.xlsm]FX_Curve_Live!R59C6</stp>
        <tr r="F59" s="42"/>
      </tp>
      <tp t="e">
        <v>#N/A</v>
        <stp/>
        <stp>##V3_BDHV12</stp>
        <stp>JPY3Y BGN Curncy</stp>
        <stp>PX_LAST</stp>
        <stp>1/1/2019</stp>
        <stp>1/1/2019</stp>
        <stp>[Live Pricing.xlsm]FXFR!R80C4</stp>
        <tr r="D80" s="46"/>
      </tp>
      <tp t="e">
        <v>#N/A</v>
        <stp/>
        <stp>##V3_BDHV12</stp>
        <stp>JPY1W BGN Curncy</stp>
        <stp>PX_LAST</stp>
        <stp>1/1/2019</stp>
        <stp>1/1/2019</stp>
        <stp>[Live Pricing.xlsm]FXFR!R70C4</stp>
        <tr r="D70" s="46"/>
      </tp>
      <tp t="e">
        <v>#N/A</v>
        <stp/>
        <stp>##V3_BDHV12</stp>
        <stp>EUR2Y BGN Curncy</stp>
        <stp>PX_LAST</stp>
        <stp>1/1/2019</stp>
        <stp>1/1/2019</stp>
        <stp>[Live Pricing.xlsm]FXFR!R35C4</stp>
        <tr r="D35" s="46"/>
      </tp>
      <tp t="e">
        <v>#N/A</v>
        <stp/>
        <stp>##V3_BDHV12</stp>
        <stp>JYSW6 Index</stp>
        <stp>PX_LAST</stp>
        <stp>12/31/2018</stp>
        <stp>12/31/2018</stp>
        <stp>[Live Pricing.xlsm]Rate_History!R60C6</stp>
        <tr r="F60" s="49"/>
      </tp>
      <tp t="e">
        <v>#N/A</v>
        <stp/>
        <stp>##V3_BDHV12</stp>
        <stp>JYSW7 Index</stp>
        <stp>PX_LAST</stp>
        <stp>12/31/2018</stp>
        <stp>12/31/2018</stp>
        <stp>[Live Pricing.xlsm]Rate_History!R61C6</stp>
        <tr r="F61" s="49"/>
      </tp>
      <tp t="e">
        <v>#N/A</v>
        <stp/>
        <stp>##V3_BDPV12</stp>
        <stp>YEZ9 Comdty</stp>
        <stp>PX_LAST</stp>
        <stp>[Live Pricing.xlsm]Rate_Live!R61C4</stp>
        <tr r="D61" s="39"/>
      </tp>
      <tp t="e">
        <v>#N/A</v>
        <stp/>
        <stp>##V3_BDPV12</stp>
        <stp>ERM0 Comdty</stp>
        <stp>PX_LAST</stp>
        <stp>[Live Pricing.xlsm]Rate_Live!R38C4</stp>
        <tr r="D38" s="39"/>
      </tp>
      <tp t="e">
        <v>#N/A</v>
        <stp/>
        <stp>##V3_BDPV12</stp>
        <stp>EDZ9 Comdty</stp>
        <stp>PX_LAST</stp>
        <stp>[Live Pricing.xlsm]Rate_Live!R11C4</stp>
        <tr r="D11" s="39"/>
      </tp>
      <tp t="e">
        <v>#N/A</v>
        <stp/>
        <stp>##V3_BDPV12</stp>
        <stp>L M0 Comdty</stp>
        <stp>PX_LAST</stp>
        <stp>[Live Pricing.xlsm]Rate_Live!R88C4</stp>
        <tr r="D88" s="39"/>
      </tp>
      <tp t="e">
        <v>#N/A</v>
        <stp/>
        <stp>##V3_BDHV12</stp>
        <stp>CAD8Y BGN Curncy</stp>
        <stp>PX_LAST</stp>
        <stp>1/1/2019</stp>
        <stp>1/1/2019</stp>
        <stp>[Live Pricing.xlsm]FXFR!R107C4</stp>
        <tr r="D107" s="46"/>
      </tp>
      <tp t="e">
        <v>#N/A</v>
        <stp/>
        <stp>##V3_BDHV12</stp>
        <stp>CHF4Y BGN Curncy</stp>
        <stp>PX_LAST</stp>
        <stp>1/1/2019</stp>
        <stp>1/1/2019</stp>
        <stp>[Live Pricing.xlsm]FXFR!R125C4</stp>
        <tr r="D125" s="46"/>
      </tp>
      <tp t="e">
        <v>#N/A</v>
        <stp/>
        <stp>##V3_BDHV12</stp>
        <stp>CHF1M BGN Curncy</stp>
        <stp>PX_LAST</stp>
        <stp>1/1/2019</stp>
        <stp>1/1/2019</stp>
        <stp>[Live Pricing.xlsm]FXFR!R115C4</stp>
        <tr r="D115" s="46"/>
      </tp>
      <tp t="e">
        <v>#N/A</v>
        <stp/>
        <stp>##V3_BDPV12</stp>
        <stp>USSW2 Index</stp>
        <stp>PX_LAST</stp>
        <stp>[Live Pricing.xlsm]FX_Curve_Live!R6C6</stp>
        <tr r="F6" s="42"/>
      </tp>
      <tp t="e">
        <v>#N/A</v>
        <stp/>
        <stp>##V3_BDHV12</stp>
        <stp>JPY3M BGN Curncy</stp>
        <stp>PX_LAST</stp>
        <stp>1/1/2019</stp>
        <stp>1/1/2019</stp>
        <stp>[Live Pricing.xlsm]FXFR!R73C4</stp>
        <tr r="D73" s="46"/>
      </tp>
      <tp t="e">
        <v>#N/A</v>
        <stp/>
        <stp>##V3_BDHV12</stp>
        <stp>JPY6Y BGN Curncy</stp>
        <stp>PX_LAST</stp>
        <stp>1/1/2019</stp>
        <stp>1/1/2019</stp>
        <stp>[Live Pricing.xlsm]FXFR!R83C4</stp>
        <tr r="D83" s="46"/>
      </tp>
      <tp t="e">
        <v>#N/A</v>
        <stp/>
        <stp>##V3_BDHV12</stp>
        <stp>EUR3Y BGN Curncy</stp>
        <stp>PX_LAST</stp>
        <stp>1/1/2019</stp>
        <stp>1/1/2019</stp>
        <stp>[Live Pricing.xlsm]FXFR!R36C4</stp>
        <tr r="D36" s="46"/>
      </tp>
      <tp t="e">
        <v>#N/A</v>
        <stp/>
        <stp>##V3_BDHV12</stp>
        <stp>EUR1W BGN Curncy</stp>
        <stp>PX_LAST</stp>
        <stp>1/1/2019</stp>
        <stp>1/1/2019</stp>
        <stp>[Live Pricing.xlsm]FXFR!R26C4</stp>
        <tr r="D26" s="46"/>
      </tp>
      <tp t="e">
        <v>#N/A</v>
        <stp/>
        <stp>##V3_BDHV12</stp>
        <stp>BPSW25 Index</stp>
        <stp>PX_LAST</stp>
        <stp>12/31/2018</stp>
        <stp>12/31/2018</stp>
        <stp>[Live Pricing.xlsm]Rate_History!R98C6</stp>
        <tr r="F98" s="49"/>
      </tp>
      <tp t="e">
        <v>#N/A</v>
        <stp/>
        <stp>##V3_BDHV12</stp>
        <stp>JYSW10 Index</stp>
        <stp>PX_LAST</stp>
        <stp>12/31/2018</stp>
        <stp>12/31/2018</stp>
        <stp>[Live Pricing.xlsm]Rate_History!R64C6</stp>
        <tr r="F64" s="49"/>
      </tp>
      <tp t="e">
        <v>#N/A</v>
        <stp/>
        <stp>##V3_BDHV12</stp>
        <stp>JYSW11 Index</stp>
        <stp>PX_LAST</stp>
        <stp>12/31/2018</stp>
        <stp>12/31/2018</stp>
        <stp>[Live Pricing.xlsm]Rate_History!R65C6</stp>
        <tr r="F65" s="49"/>
      </tp>
      <tp t="e">
        <v>#N/A</v>
        <stp/>
        <stp>##V3_BDHV12</stp>
        <stp>JYSW12 Index</stp>
        <stp>PX_LAST</stp>
        <stp>12/31/2018</stp>
        <stp>12/31/2018</stp>
        <stp>[Live Pricing.xlsm]Rate_History!R66C6</stp>
        <tr r="F66" s="49"/>
      </tp>
      <tp t="e">
        <v>#N/A</v>
        <stp/>
        <stp>##V3_BDHV12</stp>
        <stp>JYSW13 Index</stp>
        <stp>PX_LAST</stp>
        <stp>12/31/2018</stp>
        <stp>12/31/2018</stp>
        <stp>[Live Pricing.xlsm]Rate_History!R67C6</stp>
        <tr r="F67" s="49"/>
      </tp>
      <tp t="e">
        <v>#N/A</v>
        <stp/>
        <stp>##V3_BDHV12</stp>
        <stp>JYSW30 Index</stp>
        <stp>PX_LAST</stp>
        <stp>12/31/2018</stp>
        <stp>12/31/2018</stp>
        <stp>[Live Pricing.xlsm]Rate_History!R74C6</stp>
        <tr r="F74" s="49"/>
      </tp>
      <tp t="e">
        <v>#N/A</v>
        <stp/>
        <stp>##V3_BDHV12</stp>
        <stp>YEU8 Comdty</stp>
        <stp>PX_LAST</stp>
        <stp>12/31/2018</stp>
        <stp>12/31/2018</stp>
        <stp>[Live Pricing.xlsm]Rate_History!R56C4</stp>
        <tr r="D56" s="49"/>
      </tp>
      <tp t="e">
        <v>#N/A</v>
        <stp/>
        <stp>##V3_BDPV12</stp>
        <stp>USSW15 Index</stp>
        <stp>PX_LAST</stp>
        <stp>[Live Pricing.xlsm]Rate_Live!R19C6</stp>
        <tr r="F19" s="39"/>
      </tp>
      <tp t="e">
        <v>#N/A</v>
        <stp/>
        <stp>##V3_BDPV12</stp>
        <stp>CLSWIB10 Index</stp>
        <stp>PX_LAST</stp>
        <stp>[Live Pricing.xlsm]Rate_Live!R189C6</stp>
        <tr r="F189" s="39"/>
      </tp>
      <tp t="e">
        <v>#N/A</v>
        <stp/>
        <stp>##V3_BDHV12</stp>
        <stp>HASWDI1Y Index</stp>
        <stp>PX_LAST</stp>
        <stp>12/31/2018</stp>
        <stp>12/31/2018</stp>
        <stp>[Live Pricing.xlsm]Rate_History!R156C6</stp>
        <tr r="F156" s="49"/>
      </tp>
      <tp t="e">
        <v>#N/A</v>
        <stp/>
        <stp>##V3_BDHV12</stp>
        <stp>CHF5Y BGN Curncy</stp>
        <stp>PX_LAST</stp>
        <stp>1/1/2019</stp>
        <stp>1/1/2019</stp>
        <stp>[Live Pricing.xlsm]FXFR!R126C4</stp>
        <tr r="D126" s="46"/>
      </tp>
      <tp t="e">
        <v>#N/A</v>
        <stp/>
        <stp>##V3_BDHV12</stp>
        <stp>CAD5Y BGN Curncy</stp>
        <stp>PX_LAST</stp>
        <stp>1/1/2019</stp>
        <stp>1/1/2019</stp>
        <stp>[Live Pricing.xlsm]FXFR!R104C4</stp>
        <tr r="D104" s="46"/>
      </tp>
      <tp t="e">
        <v>#N/A</v>
        <stp/>
        <stp>##V3_BDHV12</stp>
        <stp>CHF2M BGN Curncy</stp>
        <stp>PX_LAST</stp>
        <stp>1/1/2019</stp>
        <stp>1/1/2019</stp>
        <stp>[Live Pricing.xlsm]FXFR!R116C4</stp>
        <tr r="D116" s="46"/>
      </tp>
      <tp t="e">
        <v>#N/A</v>
        <stp/>
        <stp>##V3_BDPV12</stp>
        <stp>USSW3 Index</stp>
        <stp>PX_LAST</stp>
        <stp>[Live Pricing.xlsm]FX_Curve_Live!R7C6</stp>
        <tr r="F7" s="42"/>
      </tp>
      <tp t="e">
        <v>#N/A</v>
        <stp/>
        <stp>##V3_BDPV12</stp>
        <stp>BP00O/N Index</stp>
        <stp>PX_LAST</stp>
        <stp>[Live Pricing.xlsm]Rate_Live!R81C2</stp>
        <tr r="B81" s="39"/>
      </tp>
      <tp t="e">
        <v>#N/A</v>
        <stp/>
        <stp>##V3_BDHV12</stp>
        <stp>JPY2M BGN Curncy</stp>
        <stp>PX_LAST</stp>
        <stp>1/1/2019</stp>
        <stp>1/1/2019</stp>
        <stp>[Live Pricing.xlsm]FXFR!R72C4</stp>
        <tr r="D72" s="46"/>
      </tp>
      <tp t="e">
        <v>#N/A</v>
        <stp/>
        <stp>##V3_BDHV12</stp>
        <stp>JPY5Y BGN Curncy</stp>
        <stp>PX_LAST</stp>
        <stp>1/1/2019</stp>
        <stp>1/1/2019</stp>
        <stp>[Live Pricing.xlsm]FXFR!R82C4</stp>
        <tr r="D82" s="46"/>
      </tp>
      <tp t="e">
        <v>#N/A</v>
        <stp/>
        <stp>##V3_BDHV12</stp>
        <stp>EUR1M BGN Curncy</stp>
        <stp>PX_LAST</stp>
        <stp>1/1/2019</stp>
        <stp>1/1/2019</stp>
        <stp>[Live Pricing.xlsm]FXFR!R27C4</stp>
        <tr r="D27" s="46"/>
      </tp>
      <tp t="e">
        <v>#N/A</v>
        <stp/>
        <stp>##V3_BDHV12</stp>
        <stp>EUR4Y BGN Curncy</stp>
        <stp>PX_LAST</stp>
        <stp>1/1/2019</stp>
        <stp>1/1/2019</stp>
        <stp>[Live Pricing.xlsm]FXFR!R37C4</stp>
        <tr r="D37" s="46"/>
      </tp>
      <tp t="e">
        <v>#N/A</v>
        <stp/>
        <stp>##V3_BDHV12</stp>
        <stp>EUSA30 Index</stp>
        <stp>PX_LAST</stp>
        <stp>12/31/2018</stp>
        <stp>12/31/2018</stp>
        <stp>[Live Pricing.xlsm]Rate_History!R49C6</stp>
        <tr r="F49" s="49"/>
      </tp>
      <tp t="e">
        <v>#N/A</v>
        <stp/>
        <stp>##V3_BDHV12</stp>
        <stp>EUSA10 Index</stp>
        <stp>PX_LAST</stp>
        <stp>12/31/2018</stp>
        <stp>12/31/2018</stp>
        <stp>[Live Pricing.xlsm]Rate_History!R39C6</stp>
        <tr r="F39" s="49"/>
      </tp>
      <tp t="e">
        <v>#N/A</v>
        <stp/>
        <stp>##V3_BDHV12</stp>
        <stp>JYSW40 Index</stp>
        <stp>PX_LAST</stp>
        <stp>12/31/2018</stp>
        <stp>12/31/2018</stp>
        <stp>[Live Pricing.xlsm]Rate_History!R75C6</stp>
        <tr r="F75" s="49"/>
      </tp>
      <tp t="e">
        <v>#N/A</v>
        <stp/>
        <stp>##V3_BDHV12</stp>
        <stp>YEZ8 Comdty</stp>
        <stp>PX_LAST</stp>
        <stp>12/31/2018</stp>
        <stp>12/31/2018</stp>
        <stp>[Live Pricing.xlsm]Rate_History!R57C4</stp>
        <tr r="D57" s="49"/>
      </tp>
      <tp t="e">
        <v>#N/A</v>
        <stp/>
        <stp>##V3_BDPV12</stp>
        <stp>USSW14 Index</stp>
        <stp>PX_LAST</stp>
        <stp>[Live Pricing.xlsm]Rate_Live!R18C6</stp>
        <tr r="F18" s="39"/>
      </tp>
      <tp t="e">
        <v>#N/A</v>
        <stp/>
        <stp>##V3_BDHV12</stp>
        <stp>JYSW2 Index</stp>
        <stp>PX_LAST</stp>
        <stp>12/31/2018</stp>
        <stp>12/31/2018</stp>
        <stp>[Live Pricing.xlsm]Rate_History!R56C6</stp>
        <tr r="F56" s="49"/>
      </tp>
      <tp t="e">
        <v>#N/A</v>
        <stp/>
        <stp>##V3_BDHV12</stp>
        <stp>JYSW3 Index</stp>
        <stp>PX_LAST</stp>
        <stp>12/31/2018</stp>
        <stp>12/31/2018</stp>
        <stp>[Live Pricing.xlsm]Rate_History!R57C6</stp>
        <tr r="F57" s="49"/>
      </tp>
      <tp t="e">
        <v>#N/A</v>
        <stp/>
        <stp>##V3_BDPV12</stp>
        <stp>CDSW4 Index</stp>
        <stp>PX_LAST</stp>
        <stp>[Live Pricing.xlsm]FX_Curve_Live!R133C6</stp>
        <tr r="F133" s="42"/>
      </tp>
      <tp t="e">
        <v>#N/A</v>
        <stp/>
        <stp>##V3_BDPV12</stp>
        <stp>ERH9 Comdty</stp>
        <stp>PX_LAST</stp>
        <stp>[Live Pricing.xlsm]Rate_Live!R33C4</stp>
        <tr r="D33" s="39"/>
      </tp>
      <tp t="e">
        <v>#N/A</v>
        <stp/>
        <stp>##V3_BDPV12</stp>
        <stp>ERZ8 Comdty</stp>
        <stp>PX_LAST</stp>
        <stp>[Live Pricing.xlsm]Rate_Live!R32C4</stp>
        <tr r="D32" s="39"/>
      </tp>
      <tp t="e">
        <v>#N/A</v>
        <stp/>
        <stp>##V3_BDPV12</stp>
        <stp>L H9 Comdty</stp>
        <stp>PX_LAST</stp>
        <stp>[Live Pricing.xlsm]Rate_Live!R83C4</stp>
        <tr r="D83" s="39"/>
      </tp>
      <tp t="e">
        <v>#N/A</v>
        <stp/>
        <stp>##V3_BDPV12</stp>
        <stp>L Z8 Comdty</stp>
        <stp>PX_LAST</stp>
        <stp>[Live Pricing.xlsm]Rate_Live!R82C4</stp>
        <tr r="D82" s="39"/>
      </tp>
      <tp t="e">
        <v>#N/A</v>
        <stp/>
        <stp>##V3_BDHV12</stp>
        <stp>CLSWIB12 Index</stp>
        <stp>PX_LAST</stp>
        <stp>12/31/2018</stp>
        <stp>12/31/2018</stp>
        <stp>[Live Pricing.xlsm]Rate_History!R191C6</stp>
        <tr r="F191" s="49"/>
      </tp>
      <tp t="e">
        <v>#N/A</v>
        <stp/>
        <stp>##V3_BDHV12</stp>
        <stp>HASWDI2Y Index</stp>
        <stp>PX_LAST</stp>
        <stp>12/31/2018</stp>
        <stp>12/31/2018</stp>
        <stp>[Live Pricing.xlsm]Rate_History!R157C6</stp>
        <tr r="F157" s="49"/>
      </tp>
      <tp t="e">
        <v>#N/A</v>
        <stp/>
        <stp>##V3_BDHV12</stp>
        <stp>HASWDI1M Index</stp>
        <stp>PX_LAST</stp>
        <stp>12/31/2018</stp>
        <stp>12/31/2018</stp>
        <stp>[Live Pricing.xlsm]Rate_History!R157C2</stp>
        <tr r="B157" s="49"/>
      </tp>
      <tp t="e">
        <v>#N/A</v>
        <stp/>
        <stp>##V3_BDHV12</stp>
        <stp>CHF6Y BGN Curncy</stp>
        <stp>PX_LAST</stp>
        <stp>1/1/2019</stp>
        <stp>1/1/2019</stp>
        <stp>[Live Pricing.xlsm]FXFR!R127C4</stp>
        <tr r="D127" s="46"/>
      </tp>
      <tp t="e">
        <v>#N/A</v>
        <stp/>
        <stp>##V3_BDHV12</stp>
        <stp>CAD6Y BGN Curncy</stp>
        <stp>PX_LAST</stp>
        <stp>1/1/2019</stp>
        <stp>1/1/2019</stp>
        <stp>[Live Pricing.xlsm]FXFR!R105C4</stp>
        <tr r="D105" s="46"/>
      </tp>
      <tp t="e">
        <v>#N/A</v>
        <stp/>
        <stp>##V3_BDHV12</stp>
        <stp>CHF3M BGN Curncy</stp>
        <stp>PX_LAST</stp>
        <stp>1/1/2019</stp>
        <stp>1/1/2019</stp>
        <stp>[Live Pricing.xlsm]FXFR!R117C4</stp>
        <tr r="D117" s="46"/>
      </tp>
      <tp t="e">
        <v>#N/A</v>
        <stp/>
        <stp>##V3_BDHV12</stp>
        <stp>JPY8Y BGN Curncy</stp>
        <stp>PX_LAST</stp>
        <stp>1/1/2019</stp>
        <stp>1/1/2019</stp>
        <stp>[Live Pricing.xlsm]FXFR!R85C4</stp>
        <tr r="D85" s="46"/>
      </tp>
      <tp t="e">
        <v>#N/A</v>
        <stp/>
        <stp>##V3_BDHV12</stp>
        <stp>JPY5M BGN Curncy</stp>
        <stp>PX_LAST</stp>
        <stp>1/1/2019</stp>
        <stp>1/1/2019</stp>
        <stp>[Live Pricing.xlsm]FXFR!R75C4</stp>
        <tr r="D75" s="46"/>
      </tp>
      <tp t="e">
        <v>#N/A</v>
        <stp/>
        <stp>##V3_BDHV12</stp>
        <stp>JY0003M Index</stp>
        <stp>PX_LAST</stp>
        <stp>12/31/2018</stp>
        <stp>12/31/2018</stp>
        <stp>[Live Pricing.xlsm]FX_Curve_History!R59C2</stp>
        <tr r="B59" s="50"/>
      </tp>
      <tp t="e">
        <v>#N/A</v>
        <stp/>
        <stp>##V3_BDHV12</stp>
        <stp>EUR7Y BGN Curncy</stp>
        <stp>PX_LAST</stp>
        <stp>1/1/2019</stp>
        <stp>1/1/2019</stp>
        <stp>[Live Pricing.xlsm]FXFR!R40C4</stp>
        <tr r="D40" s="46"/>
      </tp>
      <tp t="e">
        <v>#N/A</v>
        <stp/>
        <stp>##V3_BDHV12</stp>
        <stp>EUR4M BGN Curncy</stp>
        <stp>PX_LAST</stp>
        <stp>1/1/2019</stp>
        <stp>1/1/2019</stp>
        <stp>[Live Pricing.xlsm]FXFR!R30C4</stp>
        <tr r="D30" s="46"/>
      </tp>
      <tp t="e">
        <v>#N/A</v>
        <stp/>
        <stp>##V3_BDHV12</stp>
        <stp>JYSW20 Index</stp>
        <stp>PX_LAST</stp>
        <stp>12/31/2018</stp>
        <stp>12/31/2018</stp>
        <stp>[Live Pricing.xlsm]Rate_History!R72C6</stp>
        <tr r="F72" s="49"/>
      </tp>
      <tp t="e">
        <v>#N/A</v>
        <stp/>
        <stp>##V3_BDHV12</stp>
        <stp>YEU9 Comdty</stp>
        <stp>PX_LAST</stp>
        <stp>12/31/2018</stp>
        <stp>12/31/2018</stp>
        <stp>[Live Pricing.xlsm]Rate_History!R60C4</stp>
        <tr r="D60" s="49"/>
      </tp>
      <tp t="e">
        <v>#N/A</v>
        <stp/>
        <stp>##V3_BDPV12</stp>
        <stp>ERM9 Comdty</stp>
        <stp>PX_LAST</stp>
        <stp>[Live Pricing.xlsm]Rate_Live!R34C4</stp>
        <tr r="D34" s="39"/>
      </tp>
      <tp t="e">
        <v>#N/A</v>
        <stp/>
        <stp>##V3_BDPV12</stp>
        <stp>L M9 Comdty</stp>
        <stp>PX_LAST</stp>
        <stp>[Live Pricing.xlsm]Rate_Live!R84C4</stp>
        <tr r="D84" s="39"/>
      </tp>
      <tp t="e">
        <v>#N/A</v>
        <stp/>
        <stp>##V3_BDHV12</stp>
        <stp>HASWDI6M Index</stp>
        <stp>PX_LAST</stp>
        <stp>12/31/2018</stp>
        <stp>12/31/2018</stp>
        <stp>[Live Pricing.xlsm]Rate_History!R160C2</stp>
        <tr r="B160" s="49"/>
      </tp>
      <tp t="e">
        <v>#N/A</v>
        <stp/>
        <stp>##V3_BDHV12</stp>
        <stp>HASWDI5Y Index</stp>
        <stp>PX_LAST</stp>
        <stp>12/31/2018</stp>
        <stp>12/31/2018</stp>
        <stp>[Live Pricing.xlsm]Rate_History!R160C6</stp>
        <tr r="F160" s="49"/>
      </tp>
      <tp t="e">
        <v>#N/A</v>
        <stp/>
        <stp>##V3_BDHV12</stp>
        <stp>CHF9Y BGN Curncy</stp>
        <stp>PX_LAST</stp>
        <stp>1/1/2019</stp>
        <stp>1/1/2019</stp>
        <stp>[Live Pricing.xlsm]FXFR!R130C4</stp>
        <tr r="D130" s="46"/>
      </tp>
      <tp t="e">
        <v>#N/A</v>
        <stp/>
        <stp>##V3_BDHV12</stp>
        <stp>CHF6M BGN Curncy</stp>
        <stp>PX_LAST</stp>
        <stp>1/1/2019</stp>
        <stp>1/1/2019</stp>
        <stp>[Live Pricing.xlsm]FXFR!R120C4</stp>
        <tr r="D120" s="46"/>
      </tp>
      <tp t="e">
        <v>#N/A</v>
        <stp/>
        <stp>##V3_BDHV12</stp>
        <stp>CAD3Y BGN Curncy</stp>
        <stp>PX_LAST</stp>
        <stp>1/1/2019</stp>
        <stp>1/1/2019</stp>
        <stp>[Live Pricing.xlsm]FXFR!R102C4</stp>
        <tr r="D102" s="46"/>
      </tp>
      <tp t="e">
        <v>#N/A</v>
        <stp/>
        <stp>##V3_BDPV12</stp>
        <stp>BPSW40 Index</stp>
        <stp>PX_LAST</stp>
        <stp>[Live Pricing.xlsm]FX_Curve_Live!R100C6</stp>
        <tr r="F100" s="42"/>
      </tp>
      <tp t="e">
        <v>#N/A</v>
        <stp/>
        <stp>##V3_BDHV12</stp>
        <stp>JPY7Y BGN Curncy</stp>
        <stp>PX_LAST</stp>
        <stp>1/1/2019</stp>
        <stp>1/1/2019</stp>
        <stp>[Live Pricing.xlsm]FXFR!R84C4</stp>
        <tr r="D84" s="46"/>
      </tp>
      <tp t="e">
        <v>#N/A</v>
        <stp/>
        <stp>##V3_BDHV12</stp>
        <stp>JPY4M BGN Curncy</stp>
        <stp>PX_LAST</stp>
        <stp>1/1/2019</stp>
        <stp>1/1/2019</stp>
        <stp>[Live Pricing.xlsm]FXFR!R74C4</stp>
        <tr r="D74" s="46"/>
      </tp>
      <tp t="e">
        <v>#N/A</v>
        <stp/>
        <stp>##V3_BDHV12</stp>
        <stp>JY0002M Index</stp>
        <stp>PX_LAST</stp>
        <stp>12/31/2018</stp>
        <stp>12/31/2018</stp>
        <stp>[Live Pricing.xlsm]FX_Curve_History!R58C2</stp>
        <tr r="B58" s="50"/>
      </tp>
      <tp t="e">
        <v>#N/A</v>
        <stp/>
        <stp>##V3_BDHV12</stp>
        <stp>EUR8Y BGN Curncy</stp>
        <stp>PX_LAST</stp>
        <stp>1/1/2019</stp>
        <stp>1/1/2019</stp>
        <stp>[Live Pricing.xlsm]FXFR!R41C4</stp>
        <tr r="D41" s="46"/>
      </tp>
      <tp t="e">
        <v>#N/A</v>
        <stp/>
        <stp>##V3_BDHV12</stp>
        <stp>EUR5M BGN Curncy</stp>
        <stp>PX_LAST</stp>
        <stp>1/1/2019</stp>
        <stp>1/1/2019</stp>
        <stp>[Live Pricing.xlsm]FXFR!R31C4</stp>
        <tr r="D31" s="46"/>
      </tp>
      <tp t="e">
        <v>#N/A</v>
        <stp/>
        <stp>##V3_BDHV12</stp>
        <stp>YEZ9 Comdty</stp>
        <stp>PX_LAST</stp>
        <stp>12/31/2018</stp>
        <stp>12/31/2018</stp>
        <stp>[Live Pricing.xlsm]Rate_History!R61C4</stp>
        <tr r="D61" s="49"/>
      </tp>
      <tp t="e">
        <v>#N/A</v>
        <stp/>
        <stp>##V3_BDPV12</stp>
        <stp>CDSW3 Index</stp>
        <stp>PX_LAST</stp>
        <stp>[Live Pricing.xlsm]FX_Curve_Live!R132C6</stp>
        <tr r="F132" s="42"/>
      </tp>
      <tp t="e">
        <v>#N/A</v>
        <stp/>
        <stp>##V3_BDPV12</stp>
        <stp>CDSW5 Index</stp>
        <stp>PX_LAST</stp>
        <stp>[Live Pricing.xlsm]FX_Curve_Live!R134C6</stp>
        <tr r="F134" s="42"/>
      </tp>
      <tp t="e">
        <v>#N/A</v>
        <stp/>
        <stp>##V3_BDPV12</stp>
        <stp>CDSW7 Index</stp>
        <stp>PX_LAST</stp>
        <stp>[Live Pricing.xlsm]FX_Curve_Live!R136C6</stp>
        <tr r="F136" s="42"/>
      </tp>
      <tp t="e">
        <v>#N/A</v>
        <stp/>
        <stp>##V3_BDPV12</stp>
        <stp>CDSW9 Index</stp>
        <stp>PX_LAST</stp>
        <stp>[Live Pricing.xlsm]FX_Curve_Live!R138C6</stp>
        <tr r="F138" s="42"/>
      </tp>
      <tp t="e">
        <v>#N/A</v>
        <stp/>
        <stp>##V3_BDPV12</stp>
        <stp>ERU9 Comdty</stp>
        <stp>PX_LAST</stp>
        <stp>[Live Pricing.xlsm]Rate_Live!R35C4</stp>
        <tr r="D35" s="39"/>
      </tp>
      <tp t="e">
        <v>#N/A</v>
        <stp/>
        <stp>##V3_BDPV12</stp>
        <stp>L U9 Comdty</stp>
        <stp>PX_LAST</stp>
        <stp>[Live Pricing.xlsm]Rate_Live!R85C4</stp>
        <tr r="D85" s="39"/>
      </tp>
      <tp t="e">
        <v>#N/A</v>
        <stp/>
        <stp>##V3_BDHV12</stp>
        <stp>CLSWIB20 Index</stp>
        <stp>PX_LAST</stp>
        <stp>12/31/2018</stp>
        <stp>12/31/2018</stp>
        <stp>[Live Pricing.xlsm]Rate_History!R197C6</stp>
        <tr r="F197" s="49"/>
      </tp>
      <tp t="e">
        <v>#N/A</v>
        <stp/>
        <stp>##V3_BDHV12</stp>
        <stp>CLSWIB1F Index</stp>
        <stp>PX_LAST</stp>
        <stp>12/31/2018</stp>
        <stp>12/31/2018</stp>
        <stp>[Live Pricing.xlsm]Rate_History!R187C2</stp>
        <tr r="B187" s="49"/>
      </tp>
      <tp t="e">
        <v>#N/A</v>
        <stp/>
        <stp>##V3_BDHV12</stp>
        <stp>HASWDI9M Index</stp>
        <stp>PX_LAST</stp>
        <stp>12/31/2018</stp>
        <stp>12/31/2018</stp>
        <stp>[Live Pricing.xlsm]Rate_History!R161C2</stp>
        <tr r="B161" s="49"/>
      </tp>
      <tp t="e">
        <v>#N/A</v>
        <stp/>
        <stp>##V3_BDHV12</stp>
        <stp>HASWDI6Y Index</stp>
        <stp>PX_LAST</stp>
        <stp>12/31/2018</stp>
        <stp>12/31/2018</stp>
        <stp>[Live Pricing.xlsm]Rate_History!R161C6</stp>
        <tr r="F161" s="49"/>
      </tp>
      <tp t="e">
        <v>#N/A</v>
        <stp/>
        <stp>##V3_BDHV12</stp>
        <stp>CABROVER Index</stp>
        <stp>PX_LAST</stp>
        <stp>12/31/2018</stp>
        <stp>12/31/2018</stp>
        <stp>[Live Pricing.xlsm]Rate_History!R131C2</stp>
        <tr r="B131" s="49"/>
      </tp>
      <tp t="e">
        <v>#N/A</v>
        <stp/>
        <stp>##V3_BDHV12</stp>
        <stp>CHF9M BGN Curncy</stp>
        <stp>PX_LAST</stp>
        <stp>1/1/2019</stp>
        <stp>1/1/2019</stp>
        <stp>[Live Pricing.xlsm]FXFR!R121C4</stp>
        <tr r="D121" s="46"/>
      </tp>
      <tp t="e">
        <v>#N/A</v>
        <stp/>
        <stp>##V3_BDHV12</stp>
        <stp>CAD4Y BGN Curncy</stp>
        <stp>PX_LAST</stp>
        <stp>1/1/2019</stp>
        <stp>1/1/2019</stp>
        <stp>[Live Pricing.xlsm]FXFR!R103C4</stp>
        <tr r="D103" s="46"/>
      </tp>
      <tp t="e">
        <v>#N/A</v>
        <stp/>
        <stp>##V3_BDHV12</stp>
        <stp>JPY9M BGN Curncy</stp>
        <stp>PX_LAST</stp>
        <stp>1/1/2019</stp>
        <stp>1/1/2019</stp>
        <stp>[Live Pricing.xlsm]FXFR!R77C4</stp>
        <tr r="D77" s="46"/>
      </tp>
      <tp t="e">
        <v>#N/A</v>
        <stp/>
        <stp>##V3_BDHV12</stp>
        <stp>EUR9Y BGN Curncy</stp>
        <stp>PX_LAST</stp>
        <stp>1/1/2019</stp>
        <stp>1/1/2019</stp>
        <stp>[Live Pricing.xlsm]FXFR!R42C4</stp>
        <tr r="D42" s="46"/>
      </tp>
      <tp t="e">
        <v>#N/A</v>
        <stp/>
        <stp>##V3_BDHV12</stp>
        <stp>EUR6M BGN Curncy</stp>
        <stp>PX_LAST</stp>
        <stp>1/1/2019</stp>
        <stp>1/1/2019</stp>
        <stp>[Live Pricing.xlsm]FXFR!R32C4</stp>
        <tr r="D32" s="46"/>
      </tp>
      <tp t="e">
        <v>#N/A</v>
        <stp/>
        <stp>##V3_BDHV12</stp>
        <stp>BPSW30 Index</stp>
        <stp>PX_LAST</stp>
        <stp>12/31/2018</stp>
        <stp>12/31/2018</stp>
        <stp>[Live Pricing.xlsm]Rate_History!R99C6</stp>
        <tr r="F99" s="49"/>
      </tp>
      <tp t="e">
        <v>#N/A</v>
        <stp/>
        <stp>##V3_BDHV12</stp>
        <stp>BPSW10 Index</stp>
        <stp>PX_LAST</stp>
        <stp>12/31/2018</stp>
        <stp>12/31/2018</stp>
        <stp>[Live Pricing.xlsm]Rate_History!R89C6</stp>
        <tr r="F89" s="49"/>
      </tp>
      <tp t="e">
        <v>#N/A</v>
        <stp/>
        <stp>##V3_BDPV12</stp>
        <stp>SF0003M Index</stp>
        <stp>PX_LAST</stp>
        <stp>[Live Pricing.xlsm]Rate_Live!R109C2</stp>
        <tr r="B109" s="39"/>
      </tp>
      <tp t="e">
        <v>#N/A</v>
        <stp/>
        <stp>##V3_BDHV12</stp>
        <stp>YEH0 Comdty</stp>
        <stp>PX_LAST</stp>
        <stp>12/31/2018</stp>
        <stp>12/31/2018</stp>
        <stp>[Live Pricing.xlsm]Rate_History!R62C4</stp>
        <tr r="D62" s="49"/>
      </tp>
      <tp t="e">
        <v>#N/A</v>
        <stp/>
        <stp>##V3_BDPV12</stp>
        <stp>YEZ8 Comdty</stp>
        <stp>PX_LAST</stp>
        <stp>[Live Pricing.xlsm]Rate_Live!R57C4</stp>
        <tr r="D57" s="39"/>
      </tp>
      <tp t="e">
        <v>#N/A</v>
        <stp/>
        <stp>##V3_BDPV12</stp>
        <stp>ERZ9 Comdty</stp>
        <stp>PX_LAST</stp>
        <stp>[Live Pricing.xlsm]Rate_Live!R36C4</stp>
        <tr r="D36" s="39"/>
      </tp>
      <tp t="e">
        <v>#N/A</v>
        <stp/>
        <stp>##V3_BDPV12</stp>
        <stp>L Z9 Comdty</stp>
        <stp>PX_LAST</stp>
        <stp>[Live Pricing.xlsm]Rate_Live!R86C4</stp>
        <tr r="D86" s="39"/>
      </tp>
      <tp t="e">
        <v>#N/A</v>
        <stp/>
        <stp>##V3_BDHV12</stp>
        <stp>CLSWIB15 Index</stp>
        <stp>PX_LAST</stp>
        <stp>12/31/2018</stp>
        <stp>12/31/2018</stp>
        <stp>[Live Pricing.xlsm]Rate_History!R194C6</stp>
        <tr r="F194" s="49"/>
      </tp>
      <tp t="e">
        <v>#N/A</v>
        <stp/>
        <stp>##V3_BDHV12</stp>
        <stp>HASWDI7Y Index</stp>
        <stp>PX_LAST</stp>
        <stp>12/31/2018</stp>
        <stp>12/31/2018</stp>
        <stp>[Live Pricing.xlsm]Rate_History!R162C6</stp>
        <tr r="F162" s="49"/>
      </tp>
      <tp t="e">
        <v>#N/A</v>
        <stp/>
        <stp>##V3_BDHV12</stp>
        <stp>JPY9Y BGN Curncy</stp>
        <stp>PX_LAST</stp>
        <stp>1/1/2019</stp>
        <stp>1/1/2019</stp>
        <stp>[Live Pricing.xlsm]FXFR!R86C4</stp>
        <tr r="D86" s="46"/>
      </tp>
      <tp t="e">
        <v>#N/A</v>
        <stp/>
        <stp>##V3_BDHV12</stp>
        <stp>JPY6M BGN Curncy</stp>
        <stp>PX_LAST</stp>
        <stp>1/1/2019</stp>
        <stp>1/1/2019</stp>
        <stp>[Live Pricing.xlsm]FXFR!R76C4</stp>
        <tr r="D76" s="46"/>
      </tp>
      <tp t="e">
        <v>#N/A</v>
        <stp/>
        <stp>##V3_BDHV12</stp>
        <stp>EUR9M BGN Curncy</stp>
        <stp>PX_LAST</stp>
        <stp>1/1/2019</stp>
        <stp>1/1/2019</stp>
        <stp>[Live Pricing.xlsm]FXFR!R33C4</stp>
        <tr r="D33" s="46"/>
      </tp>
      <tp t="e">
        <v>#N/A</v>
        <stp/>
        <stp>##V3_BDHV12</stp>
        <stp>EUSA25 Index</stp>
        <stp>PX_LAST</stp>
        <stp>12/31/2018</stp>
        <stp>12/31/2018</stp>
        <stp>[Live Pricing.xlsm]Rate_History!R48C6</stp>
        <tr r="F48" s="49"/>
      </tp>
      <tp t="e">
        <v>#N/A</v>
        <stp/>
        <stp>##V3_BDPV12</stp>
        <stp>SF0002M Index</stp>
        <stp>PX_LAST</stp>
        <stp>[Live Pricing.xlsm]Rate_Live!R108C2</stp>
        <tr r="B108" s="39"/>
      </tp>
      <tp t="e">
        <v>#N/A</v>
        <stp/>
        <stp>##V3_BDHV12</stp>
        <stp>YEM0 Comdty</stp>
        <stp>PX_LAST</stp>
        <stp>12/31/2018</stp>
        <stp>12/31/2018</stp>
        <stp>[Live Pricing.xlsm]Rate_History!R63C4</stp>
        <tr r="D63" s="49"/>
      </tp>
      <tp t="e">
        <v>#N/A</v>
        <stp/>
        <stp>##V3_BDHV12</stp>
        <stp>EUSA8 Index</stp>
        <stp>PX_LAST</stp>
        <stp>12/31/2018</stp>
        <stp>12/31/2018</stp>
        <stp>[Live Pricing.xlsm]Rate_History!R37C6</stp>
        <tr r="F37" s="49"/>
      </tp>
      <tp t="e">
        <v>#N/A</v>
        <stp/>
        <stp>##V3_BDPV12</stp>
        <stp>CDSW2 Index</stp>
        <stp>PX_LAST</stp>
        <stp>[Live Pricing.xlsm]FX_Curve_Live!R131C6</stp>
        <tr r="F131" s="42"/>
      </tp>
      <tp t="e">
        <v>#N/A</v>
        <stp/>
        <stp>##V3_BDPV12</stp>
        <stp>CDSW6 Index</stp>
        <stp>PX_LAST</stp>
        <stp>[Live Pricing.xlsm]FX_Curve_Live!R135C6</stp>
        <tr r="F135" s="42"/>
      </tp>
      <tp t="e">
        <v>#N/A</v>
        <stp/>
        <stp>##V3_BDPV12</stp>
        <stp>YEU8 Comdty</stp>
        <stp>PX_LAST</stp>
        <stp>[Live Pricing.xlsm]Rate_Live!R56C4</stp>
        <tr r="D56" s="39"/>
      </tp>
      <tp t="e">
        <v>#N/A</v>
        <stp/>
        <stp>##V3_BDHV12</stp>
        <stp>HASWDI8Y Index</stp>
        <stp>PX_LAST</stp>
        <stp>12/31/2018</stp>
        <stp>12/31/2018</stp>
        <stp>[Live Pricing.xlsm]Rate_History!R163C6</stp>
        <tr r="F163" s="49"/>
      </tp>
      <tp t="e">
        <v>#N/A</v>
        <stp/>
        <stp>##V3_BDHV12</stp>
        <stp>CHF2Y BGN Curncy</stp>
        <stp>PX_LAST</stp>
        <stp>1/1/2019</stp>
        <stp>1/1/2019</stp>
        <stp>[Live Pricing.xlsm]FXFR!R123C4</stp>
        <tr r="D123" s="46"/>
      </tp>
      <tp t="e">
        <v>#N/A</v>
        <stp/>
        <stp>##V3_BDHV12</stp>
        <stp>CAD2Y BGN Curncy</stp>
        <stp>PX_LAST</stp>
        <stp>1/1/2019</stp>
        <stp>1/1/2019</stp>
        <stp>[Live Pricing.xlsm]FXFR!R101C4</stp>
        <tr r="D101" s="4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0</xdr:rowOff>
    </xdr:from>
    <xdr:to>
      <xdr:col>0</xdr:col>
      <xdr:colOff>704850</xdr:colOff>
      <xdr:row>1</xdr:row>
      <xdr:rowOff>0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0"/>
          <a:ext cx="676276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0</xdr:rowOff>
        </xdr:from>
        <xdr:to>
          <xdr:col>3</xdr:col>
          <xdr:colOff>247650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352425</xdr:rowOff>
        </xdr:from>
        <xdr:to>
          <xdr:col>4</xdr:col>
          <xdr:colOff>533400</xdr:colOff>
          <xdr:row>3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Get_DFs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0</xdr:rowOff>
    </xdr:from>
    <xdr:to>
      <xdr:col>0</xdr:col>
      <xdr:colOff>704850</xdr:colOff>
      <xdr:row>1</xdr:row>
      <xdr:rowOff>0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0"/>
          <a:ext cx="676276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4C105-1FBD-441A-9673-6DCEDF2F6984}">
  <sheetPr codeName="Sheet2">
    <tabColor rgb="FFFFC000"/>
    <pageSetUpPr fitToPage="1"/>
  </sheetPr>
  <dimension ref="A1:O74"/>
  <sheetViews>
    <sheetView showGridLines="0" zoomScaleNormal="100" workbookViewId="0">
      <selection activeCell="H6" sqref="H6"/>
    </sheetView>
  </sheetViews>
  <sheetFormatPr defaultRowHeight="15" x14ac:dyDescent="0.25"/>
  <cols>
    <col min="1" max="1" width="26.28515625" customWidth="1"/>
    <col min="2" max="2" width="12.42578125" customWidth="1"/>
    <col min="3" max="3" width="11.28515625" customWidth="1"/>
    <col min="4" max="4" width="11.5703125" customWidth="1"/>
    <col min="5" max="5" width="13.140625" customWidth="1"/>
    <col min="6" max="6" width="10.42578125" customWidth="1"/>
    <col min="7" max="7" width="11" customWidth="1"/>
    <col min="8" max="8" width="14.5703125" customWidth="1"/>
    <col min="9" max="9" width="12.85546875" customWidth="1"/>
    <col min="10" max="10" width="12.28515625" customWidth="1"/>
  </cols>
  <sheetData>
    <row r="1" spans="1:15" s="3" customFormat="1" ht="32.25" customHeight="1" x14ac:dyDescent="0.25">
      <c r="A1" s="59" t="s">
        <v>495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41"/>
      <c r="M1" s="41"/>
      <c r="N1" s="41"/>
      <c r="O1" s="41"/>
    </row>
    <row r="2" spans="1:15" s="3" customFormat="1" ht="28.5" x14ac:dyDescent="0.45">
      <c r="A2" s="58" t="s">
        <v>496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40"/>
      <c r="M2" s="40"/>
      <c r="N2" s="40"/>
      <c r="O2" s="40"/>
    </row>
    <row r="3" spans="1:15" s="3" customFormat="1" ht="34.5" customHeight="1" x14ac:dyDescent="0.45">
      <c r="A3" s="56" t="s">
        <v>498</v>
      </c>
      <c r="B3" s="56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</row>
    <row r="4" spans="1:15" ht="15.75" x14ac:dyDescent="0.25">
      <c r="A4" s="28" t="s">
        <v>497</v>
      </c>
      <c r="B4" s="29">
        <f ca="1">TODAY()-1</f>
        <v>43466</v>
      </c>
      <c r="C4" s="28"/>
    </row>
    <row r="5" spans="1:15" x14ac:dyDescent="0.25">
      <c r="A5" s="30" t="s">
        <v>509</v>
      </c>
      <c r="B5" s="30" t="s">
        <v>575</v>
      </c>
      <c r="N5" s="55"/>
    </row>
    <row r="6" spans="1:15" ht="15.75" x14ac:dyDescent="0.25">
      <c r="A6" s="30" t="s">
        <v>499</v>
      </c>
      <c r="B6" s="29">
        <f ca="1">Today-1</f>
        <v>43465</v>
      </c>
      <c r="N6" s="55"/>
    </row>
    <row r="7" spans="1:15" ht="15.75" x14ac:dyDescent="0.25">
      <c r="A7" s="30" t="s">
        <v>500</v>
      </c>
      <c r="B7" s="29">
        <f ca="1">Today-1</f>
        <v>43465</v>
      </c>
    </row>
    <row r="8" spans="1:15" ht="15.75" x14ac:dyDescent="0.25">
      <c r="A8" s="30" t="s">
        <v>501</v>
      </c>
      <c r="B8" s="29">
        <f ca="1">Today-1</f>
        <v>43465</v>
      </c>
    </row>
    <row r="9" spans="1:15" x14ac:dyDescent="0.25">
      <c r="A9" s="30"/>
      <c r="B9" s="30"/>
    </row>
    <row r="11" spans="1:15" ht="21" x14ac:dyDescent="0.35">
      <c r="A11" s="57" t="s">
        <v>502</v>
      </c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3"/>
      <c r="M11" s="3"/>
      <c r="N11" s="3"/>
    </row>
    <row r="12" spans="1:15" ht="15.75" x14ac:dyDescent="0.25">
      <c r="A12" s="31" t="s">
        <v>503</v>
      </c>
      <c r="B12" s="31" t="s">
        <v>504</v>
      </c>
      <c r="C12" s="31" t="s">
        <v>497</v>
      </c>
      <c r="D12" s="31" t="s">
        <v>229</v>
      </c>
      <c r="E12" s="31" t="s">
        <v>493</v>
      </c>
      <c r="F12" s="31" t="s">
        <v>505</v>
      </c>
      <c r="G12" s="31" t="s">
        <v>506</v>
      </c>
      <c r="H12" s="31" t="s">
        <v>507</v>
      </c>
      <c r="I12" s="31" t="s">
        <v>541</v>
      </c>
      <c r="J12" s="31" t="s">
        <v>540</v>
      </c>
      <c r="K12" s="31" t="s">
        <v>539</v>
      </c>
    </row>
    <row r="13" spans="1:15" x14ac:dyDescent="0.25">
      <c r="A13" s="44" t="s">
        <v>572</v>
      </c>
      <c r="B13" s="44" t="s">
        <v>483</v>
      </c>
      <c r="C13" s="45">
        <v>43467</v>
      </c>
      <c r="D13" s="16" t="s">
        <v>530</v>
      </c>
      <c r="E13" s="36">
        <v>590000000</v>
      </c>
      <c r="F13" s="16" t="s">
        <v>529</v>
      </c>
      <c r="G13" s="44" t="s">
        <v>508</v>
      </c>
      <c r="H13" s="34">
        <v>2.61016718107837E-2</v>
      </c>
      <c r="I13" s="36">
        <v>0</v>
      </c>
      <c r="J13" s="47"/>
      <c r="K13" s="47"/>
    </row>
    <row r="14" spans="1:15" x14ac:dyDescent="0.25">
      <c r="A14" s="44" t="s">
        <v>571</v>
      </c>
      <c r="B14" s="44" t="s">
        <v>483</v>
      </c>
      <c r="C14" s="45">
        <v>43467</v>
      </c>
      <c r="D14" s="16" t="s">
        <v>530</v>
      </c>
      <c r="E14" s="36">
        <v>590000000</v>
      </c>
      <c r="F14" s="16" t="s">
        <v>529</v>
      </c>
      <c r="G14" s="44" t="s">
        <v>508</v>
      </c>
      <c r="H14" s="34">
        <v>2.6037354024383501E-2</v>
      </c>
      <c r="I14" s="36">
        <v>0</v>
      </c>
      <c r="J14" s="47"/>
      <c r="K14" s="47"/>
    </row>
    <row r="15" spans="1:15" x14ac:dyDescent="0.25">
      <c r="A15" s="44" t="s">
        <v>574</v>
      </c>
      <c r="B15" s="45" t="s">
        <v>483</v>
      </c>
      <c r="C15" s="45">
        <v>43467</v>
      </c>
      <c r="D15" s="46" t="s">
        <v>530</v>
      </c>
      <c r="E15" s="47">
        <v>590000000</v>
      </c>
      <c r="F15" s="44" t="s">
        <v>529</v>
      </c>
      <c r="G15" s="44" t="s">
        <v>508</v>
      </c>
      <c r="H15" s="46">
        <v>2.6683039891864602E-2</v>
      </c>
      <c r="I15" s="47">
        <v>0</v>
      </c>
      <c r="J15" s="47"/>
      <c r="K15" s="48"/>
    </row>
    <row r="16" spans="1:15" x14ac:dyDescent="0.25">
      <c r="A16" s="44" t="s">
        <v>573</v>
      </c>
      <c r="B16" s="45" t="s">
        <v>483</v>
      </c>
      <c r="C16" s="45">
        <v>43467</v>
      </c>
      <c r="D16" s="46" t="s">
        <v>530</v>
      </c>
      <c r="E16" s="47">
        <v>590000000</v>
      </c>
      <c r="F16" s="44" t="s">
        <v>529</v>
      </c>
      <c r="G16" s="44" t="s">
        <v>508</v>
      </c>
      <c r="H16" s="46">
        <v>2.7393414072188999E-2</v>
      </c>
      <c r="I16" s="47">
        <v>0</v>
      </c>
      <c r="J16" s="47"/>
      <c r="K16" s="48"/>
    </row>
    <row r="17" spans="1:11" x14ac:dyDescent="0.25">
      <c r="A17" s="16" t="s">
        <v>543</v>
      </c>
      <c r="B17" s="16" t="s">
        <v>483</v>
      </c>
      <c r="C17" s="32">
        <v>43467</v>
      </c>
      <c r="D17" s="16" t="s">
        <v>530</v>
      </c>
      <c r="E17" s="36">
        <v>358000000</v>
      </c>
      <c r="F17" s="16" t="s">
        <v>529</v>
      </c>
      <c r="G17" s="16" t="s">
        <v>508</v>
      </c>
      <c r="H17" s="34">
        <v>2.93461188073613E-2</v>
      </c>
      <c r="I17" s="36">
        <v>0</v>
      </c>
      <c r="J17" s="36"/>
    </row>
    <row r="18" spans="1:11" x14ac:dyDescent="0.25">
      <c r="A18" s="16" t="s">
        <v>544</v>
      </c>
      <c r="B18" s="16" t="s">
        <v>483</v>
      </c>
      <c r="C18" s="32">
        <v>43467</v>
      </c>
      <c r="D18" s="16" t="s">
        <v>530</v>
      </c>
      <c r="E18" s="36">
        <v>438000000</v>
      </c>
      <c r="F18" s="16" t="s">
        <v>529</v>
      </c>
      <c r="G18" s="16" t="s">
        <v>508</v>
      </c>
      <c r="H18" s="34">
        <v>2.9656008129603399E-2</v>
      </c>
      <c r="I18" s="36">
        <v>0</v>
      </c>
      <c r="J18" s="36"/>
    </row>
    <row r="19" spans="1:11" x14ac:dyDescent="0.25">
      <c r="A19" s="16" t="s">
        <v>545</v>
      </c>
      <c r="B19" s="16" t="s">
        <v>483</v>
      </c>
      <c r="C19" s="32">
        <v>43467</v>
      </c>
      <c r="D19" s="16" t="s">
        <v>530</v>
      </c>
      <c r="E19" s="36">
        <v>590000000</v>
      </c>
      <c r="F19" s="16" t="s">
        <v>529</v>
      </c>
      <c r="G19" s="16" t="s">
        <v>508</v>
      </c>
      <c r="H19" s="34">
        <v>2.57560949609946E-2</v>
      </c>
      <c r="I19" s="36">
        <v>0</v>
      </c>
      <c r="J19" s="36"/>
    </row>
    <row r="20" spans="1:11" x14ac:dyDescent="0.25">
      <c r="A20" s="16" t="s">
        <v>546</v>
      </c>
      <c r="B20" s="16" t="s">
        <v>483</v>
      </c>
      <c r="C20" s="32">
        <v>43467</v>
      </c>
      <c r="D20" s="16" t="s">
        <v>530</v>
      </c>
      <c r="E20" s="36">
        <v>590000000</v>
      </c>
      <c r="F20" s="16" t="s">
        <v>529</v>
      </c>
      <c r="G20" s="16" t="s">
        <v>508</v>
      </c>
      <c r="H20" s="34">
        <v>2.5696043260185399E-2</v>
      </c>
      <c r="I20" s="36">
        <v>0</v>
      </c>
      <c r="J20" s="36"/>
    </row>
    <row r="21" spans="1:11" x14ac:dyDescent="0.25">
      <c r="A21" s="16" t="s">
        <v>547</v>
      </c>
      <c r="B21" s="16" t="s">
        <v>483</v>
      </c>
      <c r="C21" s="32">
        <v>43467</v>
      </c>
      <c r="D21" s="16" t="s">
        <v>530</v>
      </c>
      <c r="E21" s="36">
        <v>358000000</v>
      </c>
      <c r="F21" s="16" t="s">
        <v>529</v>
      </c>
      <c r="G21" s="16" t="s">
        <v>508</v>
      </c>
      <c r="H21" s="34">
        <v>2.92374769853312E-2</v>
      </c>
      <c r="I21" s="36">
        <v>0</v>
      </c>
      <c r="J21" s="36"/>
    </row>
    <row r="22" spans="1:11" x14ac:dyDescent="0.25">
      <c r="A22" s="16" t="s">
        <v>548</v>
      </c>
      <c r="B22" s="16" t="s">
        <v>483</v>
      </c>
      <c r="C22" s="32">
        <v>43467</v>
      </c>
      <c r="D22" s="16" t="s">
        <v>530</v>
      </c>
      <c r="E22" s="36">
        <v>438000000</v>
      </c>
      <c r="F22" s="16" t="s">
        <v>529</v>
      </c>
      <c r="G22" s="16" t="s">
        <v>508</v>
      </c>
      <c r="H22" s="34">
        <v>2.9671025579420199E-2</v>
      </c>
      <c r="I22" s="36">
        <v>0</v>
      </c>
      <c r="J22" s="36"/>
      <c r="K22" s="3"/>
    </row>
    <row r="23" spans="1:11" x14ac:dyDescent="0.25">
      <c r="A23" s="16" t="s">
        <v>549</v>
      </c>
      <c r="B23" s="16" t="s">
        <v>483</v>
      </c>
      <c r="C23" s="32">
        <v>43467</v>
      </c>
      <c r="D23" s="16" t="s">
        <v>530</v>
      </c>
      <c r="E23" s="36">
        <v>100000000</v>
      </c>
      <c r="F23" s="16" t="s">
        <v>529</v>
      </c>
      <c r="G23" s="16" t="s">
        <v>508</v>
      </c>
      <c r="H23" s="34">
        <v>2.86084938123604E-2</v>
      </c>
      <c r="I23" s="36">
        <v>0</v>
      </c>
      <c r="J23" s="36"/>
      <c r="K23" s="3"/>
    </row>
    <row r="24" spans="1:11" x14ac:dyDescent="0.25">
      <c r="A24" s="16" t="s">
        <v>550</v>
      </c>
      <c r="B24" s="16" t="s">
        <v>483</v>
      </c>
      <c r="C24" s="32">
        <v>43467</v>
      </c>
      <c r="D24" s="16" t="s">
        <v>530</v>
      </c>
      <c r="E24" s="36">
        <v>100000000</v>
      </c>
      <c r="F24" s="16" t="s">
        <v>529</v>
      </c>
      <c r="G24" s="16" t="s">
        <v>508</v>
      </c>
      <c r="H24" s="34">
        <v>2.8974047839629799E-2</v>
      </c>
      <c r="I24" s="36">
        <v>0</v>
      </c>
      <c r="J24" s="36"/>
      <c r="K24" s="3"/>
    </row>
    <row r="25" spans="1:11" x14ac:dyDescent="0.25">
      <c r="A25" s="16" t="s">
        <v>576</v>
      </c>
      <c r="B25" s="16" t="s">
        <v>483</v>
      </c>
      <c r="C25" s="32">
        <v>43467</v>
      </c>
      <c r="D25" s="16" t="s">
        <v>530</v>
      </c>
      <c r="E25" s="36">
        <v>2929594.7568521062</v>
      </c>
      <c r="F25" s="16" t="s">
        <v>529</v>
      </c>
      <c r="G25" s="16" t="s">
        <v>508</v>
      </c>
      <c r="H25" s="34">
        <v>7.2382417843006697E-2</v>
      </c>
      <c r="I25" s="36">
        <v>0</v>
      </c>
      <c r="J25" s="36"/>
      <c r="K25" s="3"/>
    </row>
    <row r="26" spans="1:11" x14ac:dyDescent="0.25">
      <c r="A26" s="16" t="s">
        <v>577</v>
      </c>
      <c r="B26" s="16" t="s">
        <v>483</v>
      </c>
      <c r="C26" s="32">
        <v>43467</v>
      </c>
      <c r="D26" s="16" t="s">
        <v>578</v>
      </c>
      <c r="E26" s="36">
        <v>3568660570.7100005</v>
      </c>
      <c r="F26" s="16" t="s">
        <v>529</v>
      </c>
      <c r="G26" s="16" t="s">
        <v>508</v>
      </c>
      <c r="H26" s="34">
        <v>0.120411080917664</v>
      </c>
      <c r="I26" s="36">
        <v>0</v>
      </c>
      <c r="J26" s="36"/>
      <c r="K26" s="3"/>
    </row>
    <row r="27" spans="1:11" x14ac:dyDescent="0.25">
      <c r="A27" s="16" t="s">
        <v>583</v>
      </c>
      <c r="B27" s="16" t="s">
        <v>483</v>
      </c>
      <c r="C27" s="35">
        <v>43467</v>
      </c>
      <c r="D27" s="33" t="s">
        <v>530</v>
      </c>
      <c r="E27" s="37">
        <v>42173000</v>
      </c>
      <c r="F27" s="16" t="s">
        <v>651</v>
      </c>
      <c r="G27" s="33" t="s">
        <v>652</v>
      </c>
      <c r="H27" s="34">
        <v>2.5447879207347E-2</v>
      </c>
      <c r="I27" s="36">
        <v>-973165.95133799</v>
      </c>
      <c r="J27" s="36"/>
      <c r="K27" s="3"/>
    </row>
    <row r="28" spans="1:11" x14ac:dyDescent="0.25">
      <c r="A28" s="16" t="s">
        <v>584</v>
      </c>
      <c r="B28" s="16" t="s">
        <v>483</v>
      </c>
      <c r="C28" s="35">
        <v>43467</v>
      </c>
      <c r="D28" s="33" t="s">
        <v>530</v>
      </c>
      <c r="E28" s="37">
        <v>112500000</v>
      </c>
      <c r="F28" s="16" t="s">
        <v>651</v>
      </c>
      <c r="G28" s="33" t="s">
        <v>653</v>
      </c>
      <c r="H28" s="34">
        <v>2.7140884830336699E-2</v>
      </c>
      <c r="I28" s="36">
        <v>-3905196.7795767901</v>
      </c>
      <c r="J28" s="36"/>
      <c r="K28" s="3"/>
    </row>
    <row r="29" spans="1:11" x14ac:dyDescent="0.25">
      <c r="A29" s="16" t="s">
        <v>581</v>
      </c>
      <c r="B29" s="16" t="s">
        <v>483</v>
      </c>
      <c r="C29" s="35">
        <v>43467</v>
      </c>
      <c r="D29" s="16" t="s">
        <v>654</v>
      </c>
      <c r="E29" s="36">
        <v>1134080</v>
      </c>
      <c r="F29" s="16" t="s">
        <v>529</v>
      </c>
      <c r="G29" s="33" t="s">
        <v>655</v>
      </c>
      <c r="H29" s="34">
        <v>2.0789923904935401E-4</v>
      </c>
      <c r="I29" s="36">
        <v>-53831.4403808063</v>
      </c>
      <c r="J29" s="36"/>
      <c r="K29" s="3"/>
    </row>
    <row r="30" spans="1:11" x14ac:dyDescent="0.25">
      <c r="A30" s="16" t="s">
        <v>585</v>
      </c>
      <c r="B30" s="16" t="s">
        <v>483</v>
      </c>
      <c r="C30" s="35">
        <v>43467</v>
      </c>
      <c r="D30" s="16" t="s">
        <v>654</v>
      </c>
      <c r="E30" s="36">
        <v>1134080</v>
      </c>
      <c r="F30" s="16" t="s">
        <v>529</v>
      </c>
      <c r="G30" s="33" t="s">
        <v>655</v>
      </c>
      <c r="H30" s="34">
        <v>2.0789923904935401E-4</v>
      </c>
      <c r="I30" s="36">
        <v>-53831.4403808063</v>
      </c>
      <c r="J30" s="36"/>
      <c r="K30" s="3"/>
    </row>
    <row r="31" spans="1:11" x14ac:dyDescent="0.25">
      <c r="A31" s="16" t="s">
        <v>586</v>
      </c>
      <c r="B31" s="16" t="s">
        <v>483</v>
      </c>
      <c r="C31" s="35">
        <v>43467</v>
      </c>
      <c r="D31" s="16" t="s">
        <v>654</v>
      </c>
      <c r="E31" s="36">
        <v>1134080</v>
      </c>
      <c r="F31" s="16" t="s">
        <v>529</v>
      </c>
      <c r="G31" s="33" t="s">
        <v>655</v>
      </c>
      <c r="H31" s="34">
        <v>2.0789923904935401E-4</v>
      </c>
      <c r="I31" s="36">
        <v>-53831.4403808063</v>
      </c>
      <c r="J31" s="36"/>
      <c r="K31" s="3"/>
    </row>
    <row r="32" spans="1:11" x14ac:dyDescent="0.25">
      <c r="A32" s="16" t="s">
        <v>587</v>
      </c>
      <c r="B32" s="16" t="s">
        <v>483</v>
      </c>
      <c r="C32" s="35">
        <v>43467</v>
      </c>
      <c r="D32" s="16" t="s">
        <v>654</v>
      </c>
      <c r="E32" s="36">
        <v>1134080</v>
      </c>
      <c r="F32" s="16" t="s">
        <v>529</v>
      </c>
      <c r="G32" s="33" t="s">
        <v>655</v>
      </c>
      <c r="H32" s="34">
        <v>2.0789923904935401E-4</v>
      </c>
      <c r="I32" s="36">
        <v>-53831.4403808063</v>
      </c>
      <c r="J32" s="36"/>
      <c r="K32" s="3"/>
    </row>
    <row r="33" spans="1:11" x14ac:dyDescent="0.25">
      <c r="A33" s="16" t="s">
        <v>588</v>
      </c>
      <c r="B33" s="16" t="s">
        <v>483</v>
      </c>
      <c r="C33" s="35">
        <v>43467</v>
      </c>
      <c r="D33" s="16" t="s">
        <v>654</v>
      </c>
      <c r="E33" s="36">
        <v>1134080</v>
      </c>
      <c r="F33" s="16" t="s">
        <v>529</v>
      </c>
      <c r="G33" s="33" t="s">
        <v>655</v>
      </c>
      <c r="H33" s="34">
        <v>2.0789923904935401E-4</v>
      </c>
      <c r="I33" s="36">
        <v>-53831.4403808063</v>
      </c>
      <c r="J33" s="36"/>
      <c r="K33" s="3"/>
    </row>
    <row r="34" spans="1:11" x14ac:dyDescent="0.25">
      <c r="A34" s="16" t="s">
        <v>589</v>
      </c>
      <c r="B34" s="16" t="s">
        <v>483</v>
      </c>
      <c r="C34" s="35">
        <v>43467</v>
      </c>
      <c r="D34" s="16" t="s">
        <v>654</v>
      </c>
      <c r="E34" s="36">
        <v>1134080</v>
      </c>
      <c r="F34" s="16" t="s">
        <v>529</v>
      </c>
      <c r="G34" s="33" t="s">
        <v>655</v>
      </c>
      <c r="H34" s="34">
        <v>2.0789923904935401E-4</v>
      </c>
      <c r="I34" s="36">
        <v>-53831.4403808063</v>
      </c>
      <c r="J34" s="36"/>
      <c r="K34" s="3"/>
    </row>
    <row r="35" spans="1:11" x14ac:dyDescent="0.25">
      <c r="A35" s="16" t="s">
        <v>590</v>
      </c>
      <c r="B35" s="16" t="s">
        <v>483</v>
      </c>
      <c r="C35" s="35">
        <v>43467</v>
      </c>
      <c r="D35" s="16" t="s">
        <v>654</v>
      </c>
      <c r="E35" s="36">
        <v>1134080</v>
      </c>
      <c r="F35" s="16" t="s">
        <v>529</v>
      </c>
      <c r="G35" s="33" t="s">
        <v>655</v>
      </c>
      <c r="H35" s="34">
        <v>2.0789923904935401E-4</v>
      </c>
      <c r="I35" s="36">
        <v>-53831.4403808063</v>
      </c>
      <c r="J35" s="36"/>
      <c r="K35" s="3"/>
    </row>
    <row r="36" spans="1:11" x14ac:dyDescent="0.25">
      <c r="A36" s="16" t="s">
        <v>591</v>
      </c>
      <c r="B36" s="16" t="s">
        <v>483</v>
      </c>
      <c r="C36" s="35">
        <v>43467</v>
      </c>
      <c r="D36" s="16" t="s">
        <v>654</v>
      </c>
      <c r="E36" s="36">
        <v>1134080</v>
      </c>
      <c r="F36" s="16" t="s">
        <v>529</v>
      </c>
      <c r="G36" s="33" t="s">
        <v>655</v>
      </c>
      <c r="H36" s="34">
        <v>2.0789923904935401E-4</v>
      </c>
      <c r="I36" s="36">
        <v>-53831.4403808063</v>
      </c>
      <c r="J36" s="36"/>
      <c r="K36" s="3"/>
    </row>
    <row r="37" spans="1:11" x14ac:dyDescent="0.25">
      <c r="A37" s="16" t="s">
        <v>592</v>
      </c>
      <c r="B37" s="16" t="s">
        <v>483</v>
      </c>
      <c r="C37" s="35">
        <v>43467</v>
      </c>
      <c r="D37" s="16" t="s">
        <v>654</v>
      </c>
      <c r="E37" s="36">
        <v>1134080</v>
      </c>
      <c r="F37" s="16" t="s">
        <v>529</v>
      </c>
      <c r="G37" s="33" t="s">
        <v>655</v>
      </c>
      <c r="H37" s="34">
        <v>2.0789923904935401E-4</v>
      </c>
      <c r="I37" s="36">
        <v>-53831.4403808063</v>
      </c>
      <c r="J37" s="36"/>
      <c r="K37" s="3"/>
    </row>
    <row r="38" spans="1:11" x14ac:dyDescent="0.25">
      <c r="A38" s="16" t="s">
        <v>593</v>
      </c>
      <c r="B38" s="16" t="s">
        <v>483</v>
      </c>
      <c r="C38" s="35">
        <v>43467</v>
      </c>
      <c r="D38" s="16" t="s">
        <v>654</v>
      </c>
      <c r="E38" s="36">
        <v>646240</v>
      </c>
      <c r="F38" s="16" t="s">
        <v>529</v>
      </c>
      <c r="G38" s="33" t="s">
        <v>655</v>
      </c>
      <c r="H38" s="34">
        <v>2.07899239049359E-4</v>
      </c>
      <c r="I38" s="36">
        <v>-41929.454767732401</v>
      </c>
      <c r="J38" s="36"/>
      <c r="K38" s="3"/>
    </row>
    <row r="39" spans="1:11" x14ac:dyDescent="0.25">
      <c r="A39" s="16" t="s">
        <v>594</v>
      </c>
      <c r="B39" s="16" t="s">
        <v>483</v>
      </c>
      <c r="C39" s="35">
        <v>43467</v>
      </c>
      <c r="D39" s="16" t="s">
        <v>654</v>
      </c>
      <c r="E39" s="36">
        <v>1558280</v>
      </c>
      <c r="F39" s="16" t="s">
        <v>529</v>
      </c>
      <c r="G39" s="33" t="s">
        <v>656</v>
      </c>
      <c r="H39" s="34">
        <v>2.2810652708944902E-6</v>
      </c>
      <c r="I39" s="36">
        <v>-97554.094610115906</v>
      </c>
      <c r="J39" s="36"/>
      <c r="K39" s="3"/>
    </row>
    <row r="40" spans="1:11" x14ac:dyDescent="0.25">
      <c r="A40" s="16" t="s">
        <v>595</v>
      </c>
      <c r="B40" s="16" t="s">
        <v>483</v>
      </c>
      <c r="C40" s="35">
        <v>43467</v>
      </c>
      <c r="D40" s="16" t="s">
        <v>654</v>
      </c>
      <c r="E40" s="36">
        <v>1558280</v>
      </c>
      <c r="F40" s="16" t="s">
        <v>529</v>
      </c>
      <c r="G40" s="33" t="s">
        <v>656</v>
      </c>
      <c r="H40" s="34">
        <v>2.2810652708944902E-6</v>
      </c>
      <c r="I40" s="36">
        <v>-97554.094610115906</v>
      </c>
      <c r="J40" s="36"/>
    </row>
    <row r="41" spans="1:11" x14ac:dyDescent="0.25">
      <c r="A41" s="16" t="s">
        <v>596</v>
      </c>
      <c r="B41" s="16" t="s">
        <v>483</v>
      </c>
      <c r="C41" s="35">
        <v>43467</v>
      </c>
      <c r="D41" s="16" t="s">
        <v>654</v>
      </c>
      <c r="E41" s="36">
        <v>1558280</v>
      </c>
      <c r="F41" s="16" t="s">
        <v>529</v>
      </c>
      <c r="G41" s="33" t="s">
        <v>656</v>
      </c>
      <c r="H41" s="34">
        <v>2.2810652708944902E-6</v>
      </c>
      <c r="I41" s="36">
        <v>-97554.094610115906</v>
      </c>
      <c r="J41" s="36"/>
    </row>
    <row r="42" spans="1:11" x14ac:dyDescent="0.25">
      <c r="A42" s="16" t="s">
        <v>597</v>
      </c>
      <c r="B42" s="16" t="s">
        <v>483</v>
      </c>
      <c r="C42" s="35">
        <v>43467</v>
      </c>
      <c r="D42" s="16" t="s">
        <v>654</v>
      </c>
      <c r="E42" s="36">
        <v>1558280</v>
      </c>
      <c r="F42" s="16" t="s">
        <v>529</v>
      </c>
      <c r="G42" s="33" t="s">
        <v>656</v>
      </c>
      <c r="H42" s="34">
        <v>2.2810652708944902E-6</v>
      </c>
      <c r="I42" s="36">
        <v>-97554.094610115906</v>
      </c>
      <c r="J42" s="36"/>
    </row>
    <row r="43" spans="1:11" x14ac:dyDescent="0.25">
      <c r="A43" s="16" t="s">
        <v>598</v>
      </c>
      <c r="B43" s="16" t="s">
        <v>483</v>
      </c>
      <c r="C43" s="35">
        <v>43467</v>
      </c>
      <c r="D43" s="16" t="s">
        <v>654</v>
      </c>
      <c r="E43" s="36">
        <v>1558280</v>
      </c>
      <c r="F43" s="16" t="s">
        <v>529</v>
      </c>
      <c r="G43" s="33" t="s">
        <v>656</v>
      </c>
      <c r="H43" s="34">
        <v>2.2810652708944902E-6</v>
      </c>
      <c r="I43" s="36">
        <v>-97554.094610115906</v>
      </c>
      <c r="J43" s="36"/>
    </row>
    <row r="44" spans="1:11" x14ac:dyDescent="0.25">
      <c r="A44" s="16" t="s">
        <v>599</v>
      </c>
      <c r="B44" s="16" t="s">
        <v>483</v>
      </c>
      <c r="C44" s="35">
        <v>43467</v>
      </c>
      <c r="D44" s="16" t="s">
        <v>654</v>
      </c>
      <c r="E44" s="36">
        <v>1304201</v>
      </c>
      <c r="F44" s="16" t="s">
        <v>651</v>
      </c>
      <c r="G44" s="33" t="s">
        <v>657</v>
      </c>
      <c r="H44" s="34">
        <v>-1.59014659093109E-3</v>
      </c>
      <c r="I44" s="36">
        <v>-89143.702693093495</v>
      </c>
      <c r="J44" s="36"/>
    </row>
    <row r="45" spans="1:11" x14ac:dyDescent="0.25">
      <c r="A45" s="16" t="s">
        <v>600</v>
      </c>
      <c r="B45" s="16" t="s">
        <v>483</v>
      </c>
      <c r="C45" s="35">
        <v>43467</v>
      </c>
      <c r="D45" s="16" t="s">
        <v>654</v>
      </c>
      <c r="E45" s="36">
        <v>7638920</v>
      </c>
      <c r="F45" s="16" t="s">
        <v>651</v>
      </c>
      <c r="G45" s="33" t="s">
        <v>657</v>
      </c>
      <c r="H45" s="34">
        <v>-1.59014659093111E-3</v>
      </c>
      <c r="I45" s="36">
        <v>-522129.34461507498</v>
      </c>
      <c r="J45" s="36"/>
    </row>
    <row r="46" spans="1:11" x14ac:dyDescent="0.25">
      <c r="A46" s="16" t="s">
        <v>601</v>
      </c>
      <c r="B46" s="16" t="s">
        <v>483</v>
      </c>
      <c r="C46" s="35">
        <v>43467</v>
      </c>
      <c r="D46" s="16" t="s">
        <v>654</v>
      </c>
      <c r="E46" s="36">
        <v>4098894</v>
      </c>
      <c r="F46" s="16" t="s">
        <v>651</v>
      </c>
      <c r="G46" s="33" t="s">
        <v>657</v>
      </c>
      <c r="H46" s="34">
        <v>-1.5901465909310701E-3</v>
      </c>
      <c r="I46" s="36">
        <v>-280164.32137876301</v>
      </c>
      <c r="J46" s="36"/>
    </row>
    <row r="47" spans="1:11" x14ac:dyDescent="0.25">
      <c r="A47" s="16" t="s">
        <v>602</v>
      </c>
      <c r="B47" s="16" t="s">
        <v>483</v>
      </c>
      <c r="C47" s="35">
        <v>43467</v>
      </c>
      <c r="D47" s="16" t="s">
        <v>654</v>
      </c>
      <c r="E47" s="36">
        <v>13075195</v>
      </c>
      <c r="F47" s="16" t="s">
        <v>651</v>
      </c>
      <c r="G47" s="33" t="s">
        <v>658</v>
      </c>
      <c r="H47" s="34">
        <v>4.2885620983868196E-3</v>
      </c>
      <c r="I47" s="36">
        <v>-2012726.0079727501</v>
      </c>
      <c r="J47" s="36"/>
    </row>
    <row r="48" spans="1:11" x14ac:dyDescent="0.25">
      <c r="A48" s="16" t="s">
        <v>603</v>
      </c>
      <c r="B48" s="16" t="s">
        <v>483</v>
      </c>
      <c r="C48" s="35">
        <v>43467</v>
      </c>
      <c r="D48" s="16" t="s">
        <v>654</v>
      </c>
      <c r="E48" s="36">
        <v>8303507</v>
      </c>
      <c r="F48" s="16" t="s">
        <v>651</v>
      </c>
      <c r="G48" s="33" t="s">
        <v>658</v>
      </c>
      <c r="H48" s="34">
        <v>4.3327800759516101E-3</v>
      </c>
      <c r="I48" s="36">
        <v>-1261182.28562376</v>
      </c>
      <c r="J48" s="36"/>
    </row>
    <row r="49" spans="1:10" x14ac:dyDescent="0.25">
      <c r="A49" s="16" t="s">
        <v>604</v>
      </c>
      <c r="B49" s="16" t="s">
        <v>483</v>
      </c>
      <c r="C49" s="35">
        <v>43467</v>
      </c>
      <c r="D49" s="16" t="s">
        <v>654</v>
      </c>
      <c r="E49" s="36">
        <v>372822393</v>
      </c>
      <c r="F49" s="16" t="s">
        <v>651</v>
      </c>
      <c r="G49" s="33" t="s">
        <v>659</v>
      </c>
      <c r="H49" s="34">
        <v>-1.38015585231643E-3</v>
      </c>
      <c r="I49" s="36">
        <v>-13088781.0967471</v>
      </c>
      <c r="J49" s="36"/>
    </row>
    <row r="50" spans="1:10" x14ac:dyDescent="0.25">
      <c r="A50" s="16" t="s">
        <v>605</v>
      </c>
      <c r="B50" s="16" t="s">
        <v>483</v>
      </c>
      <c r="C50" s="35">
        <v>43467</v>
      </c>
      <c r="D50" s="16" t="s">
        <v>654</v>
      </c>
      <c r="E50" s="36">
        <v>2095092</v>
      </c>
      <c r="F50" s="16" t="s">
        <v>651</v>
      </c>
      <c r="G50" s="33" t="s">
        <v>660</v>
      </c>
      <c r="H50" s="34">
        <v>9.29960361155375E-4</v>
      </c>
      <c r="I50" s="36">
        <v>-36209.830259394097</v>
      </c>
    </row>
    <row r="51" spans="1:10" x14ac:dyDescent="0.25">
      <c r="A51" s="16" t="s">
        <v>606</v>
      </c>
      <c r="B51" s="16" t="s">
        <v>483</v>
      </c>
      <c r="C51" s="35">
        <v>43467</v>
      </c>
      <c r="D51" s="16" t="s">
        <v>654</v>
      </c>
      <c r="E51" s="36">
        <v>3317862.7453318164</v>
      </c>
      <c r="F51" s="16" t="s">
        <v>651</v>
      </c>
      <c r="G51" s="33" t="s">
        <v>660</v>
      </c>
      <c r="H51" s="34">
        <v>9.2998861971566797E-4</v>
      </c>
      <c r="I51" s="36">
        <v>-72420.136736519795</v>
      </c>
    </row>
    <row r="52" spans="1:10" x14ac:dyDescent="0.25">
      <c r="A52" s="16" t="s">
        <v>607</v>
      </c>
      <c r="B52" s="16" t="s">
        <v>483</v>
      </c>
      <c r="C52" s="35">
        <v>43467</v>
      </c>
      <c r="D52" s="16" t="s">
        <v>654</v>
      </c>
      <c r="E52" s="36">
        <v>2095092</v>
      </c>
      <c r="F52" s="16" t="s">
        <v>651</v>
      </c>
      <c r="G52" s="33" t="s">
        <v>660</v>
      </c>
      <c r="H52" s="34">
        <v>9.29960361155375E-4</v>
      </c>
      <c r="I52" s="36">
        <v>-36209.830259394097</v>
      </c>
    </row>
    <row r="53" spans="1:10" x14ac:dyDescent="0.25">
      <c r="A53" s="16" t="s">
        <v>608</v>
      </c>
      <c r="B53" s="16" t="s">
        <v>483</v>
      </c>
      <c r="C53" s="35">
        <v>43467</v>
      </c>
      <c r="D53" s="16" t="s">
        <v>654</v>
      </c>
      <c r="E53" s="36">
        <v>2095092</v>
      </c>
      <c r="F53" s="16" t="s">
        <v>651</v>
      </c>
      <c r="G53" s="33" t="s">
        <v>660</v>
      </c>
      <c r="H53" s="34">
        <v>9.29960361155375E-4</v>
      </c>
      <c r="I53" s="36">
        <v>-36209.830259394097</v>
      </c>
    </row>
    <row r="54" spans="1:10" x14ac:dyDescent="0.25">
      <c r="A54" s="16" t="s">
        <v>609</v>
      </c>
      <c r="B54" s="16" t="s">
        <v>483</v>
      </c>
      <c r="C54" s="35">
        <v>43467</v>
      </c>
      <c r="D54" s="16" t="s">
        <v>654</v>
      </c>
      <c r="E54" s="36">
        <v>1209703</v>
      </c>
      <c r="F54" s="16" t="s">
        <v>651</v>
      </c>
      <c r="G54" s="33" t="s">
        <v>661</v>
      </c>
      <c r="H54" s="34">
        <v>4.6280209566678899E-3</v>
      </c>
      <c r="I54" s="36">
        <v>-42784.291887601998</v>
      </c>
    </row>
    <row r="55" spans="1:10" x14ac:dyDescent="0.25">
      <c r="A55" s="16" t="s">
        <v>610</v>
      </c>
      <c r="B55" s="16" t="s">
        <v>483</v>
      </c>
      <c r="C55" s="35">
        <v>43467</v>
      </c>
      <c r="D55" s="16" t="s">
        <v>654</v>
      </c>
      <c r="E55" s="36">
        <v>2331076</v>
      </c>
      <c r="F55" s="16" t="s">
        <v>651</v>
      </c>
      <c r="G55" s="33" t="s">
        <v>661</v>
      </c>
      <c r="H55" s="34">
        <v>4.6280209566678804E-3</v>
      </c>
      <c r="I55" s="36">
        <v>-66359.273055309299</v>
      </c>
    </row>
    <row r="56" spans="1:10" x14ac:dyDescent="0.25">
      <c r="A56" s="16" t="s">
        <v>611</v>
      </c>
      <c r="B56" s="16" t="s">
        <v>483</v>
      </c>
      <c r="C56" s="35">
        <v>43467</v>
      </c>
      <c r="D56" s="16" t="s">
        <v>654</v>
      </c>
      <c r="E56" s="36">
        <v>12544700</v>
      </c>
      <c r="F56" s="16" t="s">
        <v>651</v>
      </c>
      <c r="G56" s="33" t="s">
        <v>662</v>
      </c>
      <c r="H56" s="34">
        <v>4.0945929216275297E-3</v>
      </c>
      <c r="I56" s="36">
        <v>-331532.04492196301</v>
      </c>
    </row>
    <row r="57" spans="1:10" x14ac:dyDescent="0.25">
      <c r="A57" s="16" t="s">
        <v>612</v>
      </c>
      <c r="B57" s="16" t="s">
        <v>483</v>
      </c>
      <c r="C57" s="35">
        <v>43467</v>
      </c>
      <c r="D57" s="16" t="s">
        <v>654</v>
      </c>
      <c r="E57" s="36">
        <v>18302355</v>
      </c>
      <c r="F57" s="16" t="s">
        <v>651</v>
      </c>
      <c r="G57" s="33" t="s">
        <v>663</v>
      </c>
      <c r="H57" s="34">
        <v>3.55584564242418E-3</v>
      </c>
      <c r="I57" s="36">
        <v>-275756.54781848501</v>
      </c>
    </row>
    <row r="58" spans="1:10" x14ac:dyDescent="0.25">
      <c r="A58" s="16" t="s">
        <v>613</v>
      </c>
      <c r="B58" s="16" t="s">
        <v>483</v>
      </c>
      <c r="C58" s="35">
        <v>43467</v>
      </c>
      <c r="D58" s="16" t="s">
        <v>654</v>
      </c>
      <c r="E58" s="36">
        <v>18302355</v>
      </c>
      <c r="F58" s="16" t="s">
        <v>651</v>
      </c>
      <c r="G58" s="33" t="s">
        <v>663</v>
      </c>
      <c r="H58" s="34">
        <v>3.55584564242418E-3</v>
      </c>
      <c r="I58" s="36">
        <v>-275756.54781848501</v>
      </c>
    </row>
    <row r="59" spans="1:10" x14ac:dyDescent="0.25">
      <c r="A59" s="16" t="s">
        <v>614</v>
      </c>
      <c r="B59" s="16" t="s">
        <v>483</v>
      </c>
      <c r="C59" s="35">
        <v>43467</v>
      </c>
      <c r="D59" s="16" t="s">
        <v>654</v>
      </c>
      <c r="E59" s="36">
        <v>2291886</v>
      </c>
      <c r="F59" s="16" t="s">
        <v>529</v>
      </c>
      <c r="G59" s="33" t="s">
        <v>664</v>
      </c>
      <c r="H59" s="34">
        <v>-3.0928227809385401E-4</v>
      </c>
      <c r="I59" s="36">
        <v>-150332.99681696499</v>
      </c>
    </row>
    <row r="60" spans="1:10" x14ac:dyDescent="0.25">
      <c r="A60" s="16" t="s">
        <v>615</v>
      </c>
      <c r="B60" s="16" t="s">
        <v>483</v>
      </c>
      <c r="C60" s="35">
        <v>43467</v>
      </c>
      <c r="D60" s="16" t="s">
        <v>654</v>
      </c>
      <c r="E60" s="36">
        <v>1799947</v>
      </c>
      <c r="F60" s="16" t="s">
        <v>529</v>
      </c>
      <c r="G60" s="33" t="s">
        <v>664</v>
      </c>
      <c r="H60" s="34">
        <v>-1.0477511246208299E-4</v>
      </c>
      <c r="I60" s="36">
        <v>-124002.767071735</v>
      </c>
    </row>
    <row r="61" spans="1:10" x14ac:dyDescent="0.25">
      <c r="A61" s="16" t="s">
        <v>616</v>
      </c>
      <c r="B61" s="16" t="s">
        <v>483</v>
      </c>
      <c r="C61" s="35">
        <v>43467</v>
      </c>
      <c r="D61" s="16" t="s">
        <v>654</v>
      </c>
      <c r="E61" s="36">
        <v>2394191</v>
      </c>
      <c r="F61" s="16" t="s">
        <v>529</v>
      </c>
      <c r="G61" s="33" t="s">
        <v>665</v>
      </c>
      <c r="H61" s="34">
        <v>-2.9139236956452901E-4</v>
      </c>
      <c r="I61" s="36">
        <v>-150762.51610205899</v>
      </c>
    </row>
    <row r="62" spans="1:10" x14ac:dyDescent="0.25">
      <c r="A62" s="16" t="s">
        <v>617</v>
      </c>
      <c r="B62" s="16" t="s">
        <v>483</v>
      </c>
      <c r="C62" s="35">
        <v>43467</v>
      </c>
      <c r="D62" s="16" t="s">
        <v>654</v>
      </c>
      <c r="E62" s="36">
        <v>2238803</v>
      </c>
      <c r="F62" s="16" t="s">
        <v>529</v>
      </c>
      <c r="G62" s="33" t="s">
        <v>664</v>
      </c>
      <c r="H62" s="34">
        <v>-1.04779717831121E-4</v>
      </c>
      <c r="I62" s="36">
        <v>-154228.86074902801</v>
      </c>
    </row>
    <row r="63" spans="1:10" x14ac:dyDescent="0.25">
      <c r="A63" s="16" t="s">
        <v>618</v>
      </c>
      <c r="B63" s="16" t="s">
        <v>483</v>
      </c>
      <c r="C63" s="35">
        <v>43467</v>
      </c>
      <c r="D63" s="16" t="s">
        <v>654</v>
      </c>
      <c r="E63" s="36">
        <v>2498722</v>
      </c>
      <c r="F63" s="16" t="s">
        <v>529</v>
      </c>
      <c r="G63" s="33" t="s">
        <v>665</v>
      </c>
      <c r="H63" s="34">
        <v>-2.4990827036058903E-4</v>
      </c>
      <c r="I63" s="36">
        <v>-162899.92631732</v>
      </c>
    </row>
    <row r="64" spans="1:10" x14ac:dyDescent="0.25">
      <c r="A64" s="16" t="s">
        <v>619</v>
      </c>
      <c r="B64" s="16" t="s">
        <v>483</v>
      </c>
      <c r="C64" s="35">
        <v>43467</v>
      </c>
      <c r="D64" s="16" t="s">
        <v>654</v>
      </c>
      <c r="E64" s="36">
        <v>2835164</v>
      </c>
      <c r="F64" s="16" t="s">
        <v>529</v>
      </c>
      <c r="G64" s="33" t="s">
        <v>666</v>
      </c>
      <c r="H64" s="34">
        <v>4.6027989858338702E-3</v>
      </c>
      <c r="I64" s="36">
        <v>-139333.01937695401</v>
      </c>
    </row>
    <row r="65" spans="1:9" x14ac:dyDescent="0.25">
      <c r="A65" s="16" t="s">
        <v>620</v>
      </c>
      <c r="B65" s="16" t="s">
        <v>483</v>
      </c>
      <c r="C65" s="35">
        <v>43467</v>
      </c>
      <c r="D65" s="16" t="s">
        <v>654</v>
      </c>
      <c r="E65" s="36">
        <v>6835500</v>
      </c>
      <c r="F65" s="16" t="s">
        <v>651</v>
      </c>
      <c r="G65" s="33" t="s">
        <v>667</v>
      </c>
      <c r="H65" s="34">
        <v>5.0741219855925598E-3</v>
      </c>
      <c r="I65" s="36">
        <v>-83112.0345323035</v>
      </c>
    </row>
    <row r="66" spans="1:9" x14ac:dyDescent="0.25">
      <c r="A66" s="16" t="s">
        <v>621</v>
      </c>
      <c r="B66" s="16" t="s">
        <v>483</v>
      </c>
      <c r="C66" s="35">
        <v>43467</v>
      </c>
      <c r="D66" s="16" t="s">
        <v>654</v>
      </c>
      <c r="E66" s="36">
        <v>953691</v>
      </c>
      <c r="F66" s="16" t="s">
        <v>651</v>
      </c>
      <c r="G66" s="33" t="s">
        <v>668</v>
      </c>
      <c r="H66" s="34">
        <v>2.1878335607167002E-3</v>
      </c>
      <c r="I66" s="36">
        <v>-14764.947728577799</v>
      </c>
    </row>
    <row r="67" spans="1:9" x14ac:dyDescent="0.25">
      <c r="A67" s="16" t="s">
        <v>622</v>
      </c>
      <c r="B67" s="16" t="s">
        <v>483</v>
      </c>
      <c r="C67" s="35">
        <v>43467</v>
      </c>
      <c r="D67" s="16" t="s">
        <v>654</v>
      </c>
      <c r="E67" s="36">
        <v>1267207</v>
      </c>
      <c r="F67" s="16" t="s">
        <v>651</v>
      </c>
      <c r="G67" s="33" t="s">
        <v>668</v>
      </c>
      <c r="H67" s="34">
        <v>2.21199776931552E-3</v>
      </c>
      <c r="I67" s="36">
        <v>-18956.622165298701</v>
      </c>
    </row>
    <row r="68" spans="1:9" x14ac:dyDescent="0.25">
      <c r="A68" s="16" t="s">
        <v>623</v>
      </c>
      <c r="B68" s="16" t="s">
        <v>483</v>
      </c>
      <c r="C68" s="35">
        <v>43467</v>
      </c>
      <c r="D68" s="16" t="s">
        <v>654</v>
      </c>
      <c r="E68" s="36">
        <v>1728987</v>
      </c>
      <c r="F68" s="16" t="s">
        <v>651</v>
      </c>
      <c r="G68" s="33" t="s">
        <v>669</v>
      </c>
      <c r="H68" s="34">
        <v>4.1072362512854796E-3</v>
      </c>
      <c r="I68" s="36">
        <v>-35875.297413530898</v>
      </c>
    </row>
    <row r="69" spans="1:9" x14ac:dyDescent="0.25">
      <c r="A69" s="16" t="s">
        <v>624</v>
      </c>
      <c r="B69" s="16" t="s">
        <v>483</v>
      </c>
      <c r="C69" s="35">
        <v>43467</v>
      </c>
      <c r="D69" s="16" t="s">
        <v>654</v>
      </c>
      <c r="E69" s="36">
        <v>5647782</v>
      </c>
      <c r="F69" s="16" t="s">
        <v>651</v>
      </c>
      <c r="G69" s="33" t="s">
        <v>670</v>
      </c>
      <c r="H69" s="34">
        <v>4.6676404291292797E-3</v>
      </c>
      <c r="I69" s="36">
        <v>-733170.90672083502</v>
      </c>
    </row>
    <row r="70" spans="1:9" x14ac:dyDescent="0.25">
      <c r="A70" s="16" t="s">
        <v>625</v>
      </c>
      <c r="B70" s="16" t="s">
        <v>483</v>
      </c>
      <c r="C70" s="35">
        <v>43467</v>
      </c>
      <c r="D70" s="16" t="s">
        <v>654</v>
      </c>
      <c r="E70" s="36">
        <v>25651162.399999999</v>
      </c>
      <c r="F70" s="16" t="s">
        <v>651</v>
      </c>
      <c r="G70" s="33" t="s">
        <v>671</v>
      </c>
      <c r="H70" s="34">
        <v>3.2580373805362998E-4</v>
      </c>
      <c r="I70" s="36">
        <v>-4255620.8043217901</v>
      </c>
    </row>
    <row r="71" spans="1:9" x14ac:dyDescent="0.25">
      <c r="A71" s="16" t="s">
        <v>626</v>
      </c>
      <c r="B71" s="16" t="s">
        <v>483</v>
      </c>
      <c r="C71" s="35">
        <v>43467</v>
      </c>
      <c r="D71" s="16" t="s">
        <v>654</v>
      </c>
      <c r="E71" s="36">
        <v>25651162.399999999</v>
      </c>
      <c r="F71" s="16" t="s">
        <v>651</v>
      </c>
      <c r="G71" s="33" t="s">
        <v>671</v>
      </c>
      <c r="H71" s="34">
        <v>3.2580373805362998E-4</v>
      </c>
      <c r="I71" s="36">
        <v>-4255620.8043217901</v>
      </c>
    </row>
    <row r="72" spans="1:9" x14ac:dyDescent="0.25">
      <c r="A72" s="16" t="s">
        <v>627</v>
      </c>
      <c r="B72" s="16" t="s">
        <v>483</v>
      </c>
      <c r="C72" s="35">
        <v>43467</v>
      </c>
      <c r="D72" s="16" t="s">
        <v>654</v>
      </c>
      <c r="E72" s="36">
        <v>25651162.399999999</v>
      </c>
      <c r="F72" s="16" t="s">
        <v>651</v>
      </c>
      <c r="G72" s="33" t="s">
        <v>671</v>
      </c>
      <c r="H72" s="34">
        <v>3.2580373805362998E-4</v>
      </c>
      <c r="I72" s="36">
        <v>-4255620.8043217901</v>
      </c>
    </row>
    <row r="73" spans="1:9" x14ac:dyDescent="0.25">
      <c r="A73" s="16" t="s">
        <v>628</v>
      </c>
      <c r="B73" s="16" t="s">
        <v>483</v>
      </c>
      <c r="C73" s="35">
        <v>43467</v>
      </c>
      <c r="D73" s="16" t="s">
        <v>654</v>
      </c>
      <c r="E73" s="36">
        <v>25651162.399999999</v>
      </c>
      <c r="F73" s="16" t="s">
        <v>651</v>
      </c>
      <c r="G73" s="33" t="s">
        <v>671</v>
      </c>
      <c r="H73" s="34">
        <v>3.2580373805362998E-4</v>
      </c>
      <c r="I73" s="36">
        <v>-4255620.8043217901</v>
      </c>
    </row>
    <row r="74" spans="1:9" x14ac:dyDescent="0.25">
      <c r="A74" s="16" t="s">
        <v>629</v>
      </c>
      <c r="B74" s="16" t="s">
        <v>483</v>
      </c>
      <c r="C74" s="35">
        <v>43467</v>
      </c>
      <c r="D74" s="16" t="s">
        <v>654</v>
      </c>
      <c r="E74" s="36">
        <v>25651162.399999999</v>
      </c>
      <c r="F74" s="16" t="s">
        <v>651</v>
      </c>
      <c r="G74" s="33" t="s">
        <v>671</v>
      </c>
      <c r="H74" s="34">
        <v>3.2580373805362998E-4</v>
      </c>
      <c r="I74" s="36">
        <v>-4255620.8043217901</v>
      </c>
    </row>
  </sheetData>
  <mergeCells count="4">
    <mergeCell ref="A3:B3"/>
    <mergeCell ref="A11:K11"/>
    <mergeCell ref="A2:K2"/>
    <mergeCell ref="A1:K1"/>
  </mergeCells>
  <pageMargins left="0.7" right="0.7" top="0.75" bottom="0.75" header="0.3" footer="0.3"/>
  <pageSetup scale="46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Pricing">
                <anchor moveWithCells="1" siz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3</xdr:col>
                    <xdr:colOff>247650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Get_Dfs">
                <anchor moveWithCells="1" sizeWithCells="1">
                  <from>
                    <xdr:col>3</xdr:col>
                    <xdr:colOff>266700</xdr:colOff>
                    <xdr:row>1</xdr:row>
                    <xdr:rowOff>352425</xdr:rowOff>
                  </from>
                  <to>
                    <xdr:col>4</xdr:col>
                    <xdr:colOff>533400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8E357-B140-4D73-BEA7-D3D70C82A6D2}">
  <sheetPr codeName="Sheet3">
    <tabColor rgb="FF92D050"/>
  </sheetPr>
  <dimension ref="A1:AF503"/>
  <sheetViews>
    <sheetView showGridLines="0" tabSelected="1" zoomScaleNormal="100" workbookViewId="0">
      <selection activeCell="A3" sqref="A3:AF3"/>
    </sheetView>
  </sheetViews>
  <sheetFormatPr defaultRowHeight="15" x14ac:dyDescent="0.25"/>
  <cols>
    <col min="1" max="2" width="8" customWidth="1"/>
    <col min="3" max="3" width="8.28515625" customWidth="1"/>
    <col min="4" max="8" width="8" customWidth="1"/>
    <col min="9" max="9" width="9.28515625" customWidth="1"/>
    <col min="10" max="10" width="9.140625" customWidth="1"/>
    <col min="11" max="11" width="10.28515625" customWidth="1"/>
    <col min="12" max="34" width="8" customWidth="1"/>
  </cols>
  <sheetData>
    <row r="1" spans="1:32" ht="26.25" x14ac:dyDescent="0.25">
      <c r="A1" s="59" t="s">
        <v>495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</row>
    <row r="2" spans="1:32" ht="28.5" x14ac:dyDescent="0.45">
      <c r="A2" s="58" t="s">
        <v>496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</row>
    <row r="3" spans="1:32" ht="21" x14ac:dyDescent="0.35">
      <c r="A3" s="60" t="s">
        <v>551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</row>
    <row r="4" spans="1:32" ht="15.75" customHeight="1" x14ac:dyDescent="0.25">
      <c r="A4" s="62" t="s">
        <v>560</v>
      </c>
      <c r="B4" s="62"/>
      <c r="C4" s="62"/>
    </row>
    <row r="5" spans="1:32" x14ac:dyDescent="0.25">
      <c r="A5" s="61" t="s">
        <v>497</v>
      </c>
      <c r="B5" s="61"/>
      <c r="C5" s="52">
        <f ca="1">Pricer!B4</f>
        <v>43466</v>
      </c>
    </row>
    <row r="6" spans="1:32" x14ac:dyDescent="0.25">
      <c r="A6" s="61" t="s">
        <v>509</v>
      </c>
      <c r="B6" s="61"/>
      <c r="C6" s="52" t="s">
        <v>575</v>
      </c>
    </row>
    <row r="7" spans="1:32" x14ac:dyDescent="0.25">
      <c r="A7" s="61" t="s">
        <v>499</v>
      </c>
      <c r="B7" s="61"/>
      <c r="C7" s="52">
        <f ca="1">Pricer!B6</f>
        <v>43465</v>
      </c>
    </row>
    <row r="8" spans="1:32" x14ac:dyDescent="0.25">
      <c r="A8" s="61" t="s">
        <v>500</v>
      </c>
      <c r="B8" s="61"/>
      <c r="C8" s="52">
        <f ca="1">Pricer!B7</f>
        <v>43465</v>
      </c>
    </row>
    <row r="9" spans="1:32" x14ac:dyDescent="0.25">
      <c r="A9" s="61" t="s">
        <v>501</v>
      </c>
      <c r="B9" s="61"/>
      <c r="C9" s="52">
        <f ca="1">Pricer!B8</f>
        <v>43465</v>
      </c>
    </row>
    <row r="10" spans="1:32" ht="21" x14ac:dyDescent="0.35">
      <c r="A10" s="57" t="s">
        <v>552</v>
      </c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</row>
    <row r="11" spans="1:32" x14ac:dyDescent="0.25">
      <c r="A11" s="49" t="s">
        <v>553</v>
      </c>
      <c r="B11" s="49" t="s">
        <v>554</v>
      </c>
      <c r="C11" s="49" t="s">
        <v>553</v>
      </c>
      <c r="D11" s="49" t="s">
        <v>555</v>
      </c>
      <c r="E11" s="49" t="s">
        <v>553</v>
      </c>
      <c r="F11" s="49" t="s">
        <v>556</v>
      </c>
      <c r="G11" s="49" t="s">
        <v>553</v>
      </c>
      <c r="H11" s="49" t="s">
        <v>557</v>
      </c>
      <c r="I11" s="49" t="s">
        <v>553</v>
      </c>
      <c r="J11" s="49" t="s">
        <v>561</v>
      </c>
      <c r="K11" s="49" t="s">
        <v>553</v>
      </c>
      <c r="L11" s="49" t="s">
        <v>562</v>
      </c>
      <c r="M11" s="49" t="s">
        <v>553</v>
      </c>
      <c r="N11" s="49" t="s">
        <v>558</v>
      </c>
      <c r="O11" s="49" t="s">
        <v>553</v>
      </c>
      <c r="P11" s="49" t="s">
        <v>559</v>
      </c>
      <c r="Q11" s="49" t="s">
        <v>553</v>
      </c>
      <c r="R11" s="49" t="s">
        <v>563</v>
      </c>
      <c r="S11" s="49" t="s">
        <v>553</v>
      </c>
      <c r="T11" s="49" t="s">
        <v>564</v>
      </c>
      <c r="U11" s="49" t="s">
        <v>553</v>
      </c>
      <c r="V11" s="49" t="s">
        <v>565</v>
      </c>
      <c r="W11" s="49" t="s">
        <v>553</v>
      </c>
      <c r="X11" s="49" t="s">
        <v>566</v>
      </c>
      <c r="Y11" s="49" t="s">
        <v>553</v>
      </c>
      <c r="Z11" s="49" t="s">
        <v>567</v>
      </c>
      <c r="AA11" s="49" t="s">
        <v>553</v>
      </c>
      <c r="AB11" s="49" t="s">
        <v>568</v>
      </c>
      <c r="AC11" s="49" t="s">
        <v>553</v>
      </c>
      <c r="AD11" s="49" t="s">
        <v>569</v>
      </c>
      <c r="AE11" s="49" t="s">
        <v>553</v>
      </c>
      <c r="AF11" s="49" t="s">
        <v>570</v>
      </c>
    </row>
    <row r="12" spans="1:32" x14ac:dyDescent="0.25">
      <c r="A12" s="50">
        <v>43467</v>
      </c>
      <c r="B12" s="51">
        <v>1</v>
      </c>
      <c r="C12" s="50">
        <v>43467</v>
      </c>
      <c r="D12" s="51">
        <v>1</v>
      </c>
      <c r="E12" s="50">
        <v>43467</v>
      </c>
      <c r="F12" s="51">
        <v>1</v>
      </c>
      <c r="G12" s="50">
        <v>43467</v>
      </c>
      <c r="H12" s="51">
        <v>1</v>
      </c>
      <c r="I12" s="50">
        <v>43467</v>
      </c>
      <c r="J12" s="51">
        <v>1</v>
      </c>
      <c r="K12" s="50">
        <v>43467</v>
      </c>
      <c r="L12" s="51">
        <v>1</v>
      </c>
      <c r="M12" s="50">
        <v>43467</v>
      </c>
      <c r="N12" s="51">
        <v>1</v>
      </c>
      <c r="O12" s="50">
        <v>43467</v>
      </c>
      <c r="P12" s="51">
        <v>1</v>
      </c>
      <c r="Q12" s="50">
        <v>43467</v>
      </c>
      <c r="R12" s="51">
        <v>1</v>
      </c>
      <c r="S12" s="50">
        <v>43467</v>
      </c>
      <c r="T12" s="51">
        <v>1</v>
      </c>
      <c r="U12" s="50">
        <v>43467</v>
      </c>
      <c r="V12" s="51">
        <v>1</v>
      </c>
      <c r="W12" s="50">
        <v>43467</v>
      </c>
      <c r="X12" s="51">
        <v>1</v>
      </c>
      <c r="Y12" s="50">
        <v>43467</v>
      </c>
      <c r="Z12" s="51">
        <v>1</v>
      </c>
      <c r="AA12" s="50">
        <v>43467</v>
      </c>
      <c r="AB12" s="51">
        <v>1</v>
      </c>
      <c r="AC12" s="50">
        <v>43467</v>
      </c>
      <c r="AD12" s="51">
        <v>1</v>
      </c>
      <c r="AE12" s="50">
        <v>43467</v>
      </c>
      <c r="AF12" s="51">
        <v>1</v>
      </c>
    </row>
    <row r="13" spans="1:32" x14ac:dyDescent="0.25">
      <c r="A13" s="50">
        <v>43524</v>
      </c>
      <c r="B13" s="51">
        <v>0.99588205072759561</v>
      </c>
      <c r="C13" s="50">
        <v>43524</v>
      </c>
      <c r="D13" s="51">
        <v>0.99588205072759561</v>
      </c>
      <c r="E13" s="50">
        <v>43524</v>
      </c>
      <c r="F13" s="51">
        <v>1.0005330895695483</v>
      </c>
      <c r="G13" s="50">
        <v>43524</v>
      </c>
      <c r="H13" s="51">
        <v>1.0006817088301145</v>
      </c>
      <c r="I13" s="50">
        <v>43524</v>
      </c>
      <c r="J13" s="51">
        <v>0.99349998079126267</v>
      </c>
      <c r="K13" s="50">
        <v>43524</v>
      </c>
      <c r="L13" s="51">
        <v>0.99349998079126267</v>
      </c>
      <c r="M13" s="50">
        <v>43524</v>
      </c>
      <c r="N13" s="51">
        <v>0.99009814988913158</v>
      </c>
      <c r="O13" s="50">
        <v>43524</v>
      </c>
      <c r="P13" s="51">
        <v>0.99138770328703085</v>
      </c>
      <c r="Q13" s="50">
        <v>43524</v>
      </c>
      <c r="R13" s="51">
        <v>1.0001249113610033</v>
      </c>
      <c r="S13" s="50">
        <v>43524</v>
      </c>
      <c r="T13" s="51">
        <v>1.0005883690894937</v>
      </c>
      <c r="U13" s="50">
        <v>43524</v>
      </c>
      <c r="V13" s="51">
        <v>0.99874728057847983</v>
      </c>
      <c r="W13" s="50">
        <v>43524</v>
      </c>
      <c r="X13" s="51">
        <v>0.99862884475718838</v>
      </c>
      <c r="Y13" s="50">
        <v>43524</v>
      </c>
      <c r="Z13" s="51">
        <v>1.0011604183793104</v>
      </c>
      <c r="AA13" s="50">
        <v>43524</v>
      </c>
      <c r="AB13" s="51">
        <v>1.0012556497753335</v>
      </c>
      <c r="AC13" s="50">
        <v>43524</v>
      </c>
      <c r="AD13" s="51">
        <v>0.9963794409331197</v>
      </c>
      <c r="AE13" s="50">
        <v>43524</v>
      </c>
      <c r="AF13" s="51">
        <v>0.99670176389384479</v>
      </c>
    </row>
    <row r="14" spans="1:32" x14ac:dyDescent="0.25">
      <c r="A14" s="50">
        <v>43555</v>
      </c>
      <c r="B14" s="51">
        <v>0.99319385339500177</v>
      </c>
      <c r="C14" s="50">
        <v>43555</v>
      </c>
      <c r="D14" s="51">
        <v>0.99319385339500177</v>
      </c>
      <c r="E14" s="50">
        <v>43555</v>
      </c>
      <c r="F14" s="51">
        <v>1.0007573111928452</v>
      </c>
      <c r="G14" s="50">
        <v>43555</v>
      </c>
      <c r="H14" s="51">
        <v>1.0009868790698799</v>
      </c>
      <c r="I14" s="50">
        <v>43555</v>
      </c>
      <c r="J14" s="51">
        <v>0.98998215921100097</v>
      </c>
      <c r="K14" s="50">
        <v>43555</v>
      </c>
      <c r="L14" s="51">
        <v>0.98998215921100097</v>
      </c>
      <c r="M14" s="50">
        <v>43555</v>
      </c>
      <c r="N14" s="51">
        <v>0.98473636127122843</v>
      </c>
      <c r="O14" s="50">
        <v>43555</v>
      </c>
      <c r="P14" s="51">
        <v>0.98670720485524421</v>
      </c>
      <c r="Q14" s="50">
        <v>43555</v>
      </c>
      <c r="R14" s="51">
        <v>1.0001779636901471</v>
      </c>
      <c r="S14" s="50">
        <v>43555</v>
      </c>
      <c r="T14" s="51">
        <v>1.0008937328928487</v>
      </c>
      <c r="U14" s="50">
        <v>43555</v>
      </c>
      <c r="V14" s="51">
        <v>0.99778074465721145</v>
      </c>
      <c r="W14" s="50">
        <v>43555</v>
      </c>
      <c r="X14" s="51">
        <v>0.99759826157252296</v>
      </c>
      <c r="Y14" s="50">
        <v>43555</v>
      </c>
      <c r="Z14" s="51">
        <v>1.0017478312949986</v>
      </c>
      <c r="AA14" s="50">
        <v>43555</v>
      </c>
      <c r="AB14" s="51">
        <v>1.0018950347198705</v>
      </c>
      <c r="AC14" s="50">
        <v>43555</v>
      </c>
      <c r="AD14" s="51">
        <v>0.9943859346407472</v>
      </c>
      <c r="AE14" s="50">
        <v>43555</v>
      </c>
      <c r="AF14" s="51">
        <v>0.99488166114750343</v>
      </c>
    </row>
    <row r="15" spans="1:32" x14ac:dyDescent="0.25">
      <c r="A15" s="50">
        <v>43585</v>
      </c>
      <c r="B15" s="51">
        <v>0.99078640742815105</v>
      </c>
      <c r="C15" s="50">
        <v>43585</v>
      </c>
      <c r="D15" s="51">
        <v>0.99078640742815105</v>
      </c>
      <c r="E15" s="50">
        <v>43585</v>
      </c>
      <c r="F15" s="51">
        <v>1.0008989539900015</v>
      </c>
      <c r="G15" s="50">
        <v>43585</v>
      </c>
      <c r="H15" s="51">
        <v>1.0012069488552453</v>
      </c>
      <c r="I15" s="50">
        <v>43585</v>
      </c>
      <c r="J15" s="51">
        <v>0.98647838859251202</v>
      </c>
      <c r="K15" s="50">
        <v>43585</v>
      </c>
      <c r="L15" s="51">
        <v>0.98638697397470498</v>
      </c>
      <c r="M15" s="50">
        <v>43585</v>
      </c>
      <c r="N15" s="51">
        <v>0.97965117663682055</v>
      </c>
      <c r="O15" s="50">
        <v>43585</v>
      </c>
      <c r="P15" s="51">
        <v>0.9822559232417134</v>
      </c>
      <c r="Q15" s="50">
        <v>43585</v>
      </c>
      <c r="R15" s="51">
        <v>1.0001067628314408</v>
      </c>
      <c r="S15" s="50">
        <v>43585</v>
      </c>
      <c r="T15" s="51">
        <v>1.0010666833388115</v>
      </c>
      <c r="U15" s="50">
        <v>43585</v>
      </c>
      <c r="V15" s="51">
        <v>0.99682637500082671</v>
      </c>
      <c r="W15" s="50">
        <v>43585</v>
      </c>
      <c r="X15" s="51">
        <v>0.99658240402652098</v>
      </c>
      <c r="Y15" s="50">
        <v>43585</v>
      </c>
      <c r="Z15" s="51">
        <v>1.0022142994270227</v>
      </c>
      <c r="AA15" s="50">
        <v>43585</v>
      </c>
      <c r="AB15" s="51">
        <v>1.0024119748481053</v>
      </c>
      <c r="AC15" s="50">
        <v>43585</v>
      </c>
      <c r="AD15" s="51">
        <v>0.99244574501087135</v>
      </c>
      <c r="AE15" s="50">
        <v>43585</v>
      </c>
      <c r="AF15" s="51">
        <v>0.9931067634185512</v>
      </c>
    </row>
    <row r="16" spans="1:32" x14ac:dyDescent="0.25">
      <c r="A16" s="50">
        <v>43616</v>
      </c>
      <c r="B16" s="51">
        <v>0.98830602917270749</v>
      </c>
      <c r="C16" s="50">
        <v>43616</v>
      </c>
      <c r="D16" s="51">
        <v>0.98830602917270749</v>
      </c>
      <c r="E16" s="50">
        <v>43616</v>
      </c>
      <c r="F16" s="51">
        <v>1.001042679940491</v>
      </c>
      <c r="G16" s="50">
        <v>43616</v>
      </c>
      <c r="H16" s="51">
        <v>1.0014317191373114</v>
      </c>
      <c r="I16" s="50">
        <v>43616</v>
      </c>
      <c r="J16" s="51">
        <v>0.98288633092140198</v>
      </c>
      <c r="K16" s="50">
        <v>43616</v>
      </c>
      <c r="L16" s="51">
        <v>0.98269370726245164</v>
      </c>
      <c r="M16" s="50">
        <v>43616</v>
      </c>
      <c r="N16" s="51">
        <v>0.97440018492665359</v>
      </c>
      <c r="O16" s="50">
        <v>43616</v>
      </c>
      <c r="P16" s="51">
        <v>0.97765907423246823</v>
      </c>
      <c r="Q16" s="50">
        <v>43616</v>
      </c>
      <c r="R16" s="51">
        <v>1.0000288076235224</v>
      </c>
      <c r="S16" s="50">
        <v>43616</v>
      </c>
      <c r="T16" s="51">
        <v>1.0012410168621395</v>
      </c>
      <c r="U16" s="50">
        <v>43616</v>
      </c>
      <c r="V16" s="51">
        <v>0.9958397759165718</v>
      </c>
      <c r="W16" s="50">
        <v>43616</v>
      </c>
      <c r="X16" s="51">
        <v>0.99553228472787259</v>
      </c>
      <c r="Y16" s="50">
        <v>43616</v>
      </c>
      <c r="Z16" s="51">
        <v>1.0026926615163201</v>
      </c>
      <c r="AA16" s="50">
        <v>43616</v>
      </c>
      <c r="AB16" s="51">
        <v>1.0029424974853749</v>
      </c>
      <c r="AC16" s="50">
        <v>43616</v>
      </c>
      <c r="AD16" s="51">
        <v>0.99044052596001708</v>
      </c>
      <c r="AE16" s="50">
        <v>43616</v>
      </c>
      <c r="AF16" s="51">
        <v>0.99127225770798932</v>
      </c>
    </row>
    <row r="17" spans="1:32" x14ac:dyDescent="0.25">
      <c r="A17" s="50">
        <v>43646</v>
      </c>
      <c r="B17" s="51">
        <v>0.98590566311905248</v>
      </c>
      <c r="C17" s="50">
        <v>43646</v>
      </c>
      <c r="D17" s="51">
        <v>0.98590566311905248</v>
      </c>
      <c r="E17" s="50">
        <v>43646</v>
      </c>
      <c r="F17" s="51">
        <v>1.0011817695699972</v>
      </c>
      <c r="G17" s="50">
        <v>43646</v>
      </c>
      <c r="H17" s="51">
        <v>1.0016492387651172</v>
      </c>
      <c r="I17" s="50">
        <v>43646</v>
      </c>
      <c r="J17" s="51">
        <v>0.97941014607839239</v>
      </c>
      <c r="K17" s="50">
        <v>43646</v>
      </c>
      <c r="L17" s="51">
        <v>0.97911957818607742</v>
      </c>
      <c r="M17" s="50">
        <v>43646</v>
      </c>
      <c r="N17" s="51">
        <v>0.96931858004584681</v>
      </c>
      <c r="O17" s="50">
        <v>43646</v>
      </c>
      <c r="P17" s="51">
        <v>0.97321051067513431</v>
      </c>
      <c r="Q17" s="50">
        <v>43646</v>
      </c>
      <c r="R17" s="51">
        <v>0.99995336709973026</v>
      </c>
      <c r="S17" s="50">
        <v>43646</v>
      </c>
      <c r="T17" s="51">
        <v>1.0014097267234243</v>
      </c>
      <c r="U17" s="50">
        <v>43646</v>
      </c>
      <c r="V17" s="51">
        <v>0.99488500260922819</v>
      </c>
      <c r="W17" s="50">
        <v>43646</v>
      </c>
      <c r="X17" s="51">
        <v>0.9945160402453096</v>
      </c>
      <c r="Y17" s="50">
        <v>43646</v>
      </c>
      <c r="Z17" s="51">
        <v>1.0031555925704787</v>
      </c>
      <c r="AA17" s="50">
        <v>43646</v>
      </c>
      <c r="AB17" s="51">
        <v>1.0034559064891841</v>
      </c>
      <c r="AC17" s="50">
        <v>43646</v>
      </c>
      <c r="AD17" s="51">
        <v>0.98849999139467415</v>
      </c>
      <c r="AE17" s="50">
        <v>43646</v>
      </c>
      <c r="AF17" s="51">
        <v>0.989496929600994</v>
      </c>
    </row>
    <row r="18" spans="1:32" x14ac:dyDescent="0.25">
      <c r="A18" s="50">
        <v>43677</v>
      </c>
      <c r="B18" s="51">
        <v>0.9847609413374997</v>
      </c>
      <c r="C18" s="50">
        <v>43677</v>
      </c>
      <c r="D18" s="51">
        <v>0.9847609413374997</v>
      </c>
      <c r="E18" s="50">
        <v>43677</v>
      </c>
      <c r="F18" s="51">
        <v>1.0015910206647907</v>
      </c>
      <c r="G18" s="50">
        <v>43677</v>
      </c>
      <c r="H18" s="51">
        <v>1.0021391182954393</v>
      </c>
      <c r="I18" s="50">
        <v>43677</v>
      </c>
      <c r="J18" s="51">
        <v>0.97580863399426332</v>
      </c>
      <c r="K18" s="50">
        <v>43677</v>
      </c>
      <c r="L18" s="51">
        <v>0.97549296853033785</v>
      </c>
      <c r="M18" s="50">
        <v>43677</v>
      </c>
      <c r="N18" s="51">
        <v>0.96416973170158526</v>
      </c>
      <c r="O18" s="50">
        <v>43677</v>
      </c>
      <c r="P18" s="51">
        <v>0.9687620700883478</v>
      </c>
      <c r="Q18" s="50">
        <v>43677</v>
      </c>
      <c r="R18" s="51">
        <v>1.0002859185027198</v>
      </c>
      <c r="S18" s="50">
        <v>43677</v>
      </c>
      <c r="T18" s="51">
        <v>1.0019930708461799</v>
      </c>
      <c r="U18" s="50">
        <v>43677</v>
      </c>
      <c r="V18" s="51">
        <v>0.99506020919988913</v>
      </c>
      <c r="W18" s="50">
        <v>43677</v>
      </c>
      <c r="X18" s="51">
        <v>0.99462599402654595</v>
      </c>
      <c r="Y18" s="50">
        <v>43677</v>
      </c>
      <c r="Z18" s="51">
        <v>1.0039677280694086</v>
      </c>
      <c r="AA18" s="50">
        <v>43677</v>
      </c>
      <c r="AB18" s="51">
        <v>1.0043195369054339</v>
      </c>
      <c r="AC18" s="50">
        <v>43677</v>
      </c>
      <c r="AD18" s="51">
        <v>0.98632802857634438</v>
      </c>
      <c r="AE18" s="50">
        <v>43677</v>
      </c>
      <c r="AF18" s="51">
        <v>0.987505095151053</v>
      </c>
    </row>
    <row r="19" spans="1:32" x14ac:dyDescent="0.25">
      <c r="A19" s="50">
        <v>43708</v>
      </c>
      <c r="B19" s="51">
        <v>0.98189367907048153</v>
      </c>
      <c r="C19" s="50">
        <v>43708</v>
      </c>
      <c r="D19" s="51">
        <v>0.98189367907048153</v>
      </c>
      <c r="E19" s="50">
        <v>43708</v>
      </c>
      <c r="F19" s="51">
        <v>1.0020091225977277</v>
      </c>
      <c r="G19" s="50">
        <v>43708</v>
      </c>
      <c r="H19" s="51">
        <v>1.0026378348007032</v>
      </c>
      <c r="I19" s="50">
        <v>43708</v>
      </c>
      <c r="J19" s="51">
        <v>0.97220646988165027</v>
      </c>
      <c r="K19" s="50">
        <v>43708</v>
      </c>
      <c r="L19" s="51">
        <v>0.97187126988932393</v>
      </c>
      <c r="M19" s="50">
        <v>43708</v>
      </c>
      <c r="N19" s="51">
        <v>0.95902428813618723</v>
      </c>
      <c r="O19" s="50">
        <v>43708</v>
      </c>
      <c r="P19" s="51">
        <v>0.96431857644897667</v>
      </c>
      <c r="Q19" s="50">
        <v>43708</v>
      </c>
      <c r="R19" s="51">
        <v>1.0000128289128882</v>
      </c>
      <c r="S19" s="50">
        <v>43708</v>
      </c>
      <c r="T19" s="51">
        <v>1.0019721553053282</v>
      </c>
      <c r="U19" s="50">
        <v>43708</v>
      </c>
      <c r="V19" s="51">
        <v>0.99370210026766392</v>
      </c>
      <c r="W19" s="50">
        <v>43708</v>
      </c>
      <c r="X19" s="51">
        <v>0.99320629783654524</v>
      </c>
      <c r="Y19" s="50">
        <v>43708</v>
      </c>
      <c r="Z19" s="51">
        <v>1.0047909893486595</v>
      </c>
      <c r="AA19" s="50">
        <v>43708</v>
      </c>
      <c r="AB19" s="51">
        <v>1.0051942709143162</v>
      </c>
      <c r="AC19" s="50">
        <v>43708</v>
      </c>
      <c r="AD19" s="51">
        <v>0.98403752871046291</v>
      </c>
      <c r="AE19" s="50">
        <v>43708</v>
      </c>
      <c r="AF19" s="51">
        <v>0.98537508167177212</v>
      </c>
    </row>
    <row r="20" spans="1:32" x14ac:dyDescent="0.25">
      <c r="A20" s="50">
        <v>43738</v>
      </c>
      <c r="B20" s="51">
        <v>0.97911890913465749</v>
      </c>
      <c r="C20" s="50">
        <v>43738</v>
      </c>
      <c r="D20" s="51">
        <v>0.97911890913465749</v>
      </c>
      <c r="E20" s="50">
        <v>43738</v>
      </c>
      <c r="F20" s="51">
        <v>1.0024137373715376</v>
      </c>
      <c r="G20" s="50">
        <v>43738</v>
      </c>
      <c r="H20" s="51">
        <v>1.0031204636767652</v>
      </c>
      <c r="I20" s="50">
        <v>43738</v>
      </c>
      <c r="J20" s="51">
        <v>0.9687205046113796</v>
      </c>
      <c r="K20" s="50">
        <v>43738</v>
      </c>
      <c r="L20" s="51">
        <v>0.96836640023672993</v>
      </c>
      <c r="M20" s="50">
        <v>43738</v>
      </c>
      <c r="N20" s="51">
        <v>0.95404482662128587</v>
      </c>
      <c r="O20" s="50">
        <v>43738</v>
      </c>
      <c r="P20" s="51">
        <v>0.96001842131410142</v>
      </c>
      <c r="Q20" s="50">
        <v>43738</v>
      </c>
      <c r="R20" s="51">
        <v>0.99974854866466412</v>
      </c>
      <c r="S20" s="50">
        <v>43738</v>
      </c>
      <c r="T20" s="51">
        <v>1.0019519144593425</v>
      </c>
      <c r="U20" s="50">
        <v>43738</v>
      </c>
      <c r="V20" s="51">
        <v>0.99238780130099435</v>
      </c>
      <c r="W20" s="50">
        <v>43738</v>
      </c>
      <c r="X20" s="51">
        <v>0.99183239829783476</v>
      </c>
      <c r="Y20" s="50">
        <v>43738</v>
      </c>
      <c r="Z20" s="51">
        <v>1.0055876938124508</v>
      </c>
      <c r="AA20" s="50">
        <v>43738</v>
      </c>
      <c r="AB20" s="51">
        <v>1.0060407876971056</v>
      </c>
      <c r="AC20" s="50">
        <v>43738</v>
      </c>
      <c r="AD20" s="51">
        <v>0.98182091593702914</v>
      </c>
      <c r="AE20" s="50">
        <v>43738</v>
      </c>
      <c r="AF20" s="51">
        <v>0.98331377830472622</v>
      </c>
    </row>
    <row r="21" spans="1:32" x14ac:dyDescent="0.25">
      <c r="A21" s="50">
        <v>43769</v>
      </c>
      <c r="B21" s="51">
        <v>0.97625164686763932</v>
      </c>
      <c r="C21" s="50">
        <v>43769</v>
      </c>
      <c r="D21" s="51">
        <v>0.97625164686763932</v>
      </c>
      <c r="E21" s="50">
        <v>43769</v>
      </c>
      <c r="F21" s="51">
        <v>1.0028318393044744</v>
      </c>
      <c r="G21" s="50">
        <v>43769</v>
      </c>
      <c r="H21" s="51">
        <v>1.0036191801820291</v>
      </c>
      <c r="I21" s="50">
        <v>43769</v>
      </c>
      <c r="J21" s="51">
        <v>0.96498602232593123</v>
      </c>
      <c r="K21" s="50">
        <v>43769</v>
      </c>
      <c r="L21" s="51">
        <v>0.96474389010484807</v>
      </c>
      <c r="M21" s="50">
        <v>43769</v>
      </c>
      <c r="N21" s="51">
        <v>0.94826042107241859</v>
      </c>
      <c r="O21" s="50">
        <v>43769</v>
      </c>
      <c r="P21" s="51">
        <v>0.95557492767473018</v>
      </c>
      <c r="Q21" s="50">
        <v>43769</v>
      </c>
      <c r="R21" s="51">
        <v>0.99947545907483248</v>
      </c>
      <c r="S21" s="50">
        <v>43769</v>
      </c>
      <c r="T21" s="51">
        <v>1.0019309989184908</v>
      </c>
      <c r="U21" s="50">
        <v>43769</v>
      </c>
      <c r="V21" s="51">
        <v>0.99102969236876914</v>
      </c>
      <c r="W21" s="50">
        <v>43769</v>
      </c>
      <c r="X21" s="51">
        <v>0.99041270210783394</v>
      </c>
      <c r="Y21" s="50">
        <v>43769</v>
      </c>
      <c r="Z21" s="51">
        <v>1.006410955091702</v>
      </c>
      <c r="AA21" s="50">
        <v>43769</v>
      </c>
      <c r="AB21" s="51">
        <v>1.006915521705988</v>
      </c>
      <c r="AC21" s="50">
        <v>43769</v>
      </c>
      <c r="AD21" s="51">
        <v>0.97953041607114777</v>
      </c>
      <c r="AE21" s="50">
        <v>43769</v>
      </c>
      <c r="AF21" s="51">
        <v>0.98118376482544534</v>
      </c>
    </row>
    <row r="22" spans="1:32" x14ac:dyDescent="0.25">
      <c r="A22" s="50">
        <v>43799</v>
      </c>
      <c r="B22" s="51">
        <v>0.97347687693181528</v>
      </c>
      <c r="C22" s="50">
        <v>43799</v>
      </c>
      <c r="D22" s="51">
        <v>0.97347687693181528</v>
      </c>
      <c r="E22" s="50">
        <v>43799</v>
      </c>
      <c r="F22" s="51">
        <v>1.0032364540782843</v>
      </c>
      <c r="G22" s="50">
        <v>43799</v>
      </c>
      <c r="H22" s="51">
        <v>1.0041018090580911</v>
      </c>
      <c r="I22" s="50">
        <v>43799</v>
      </c>
      <c r="J22" s="51">
        <v>0.96136317618721012</v>
      </c>
      <c r="K22" s="50">
        <v>43799</v>
      </c>
      <c r="L22" s="51">
        <v>0.9612381809789422</v>
      </c>
      <c r="M22" s="50">
        <v>43799</v>
      </c>
      <c r="N22" s="51">
        <v>0.94264199757404799</v>
      </c>
      <c r="O22" s="50">
        <v>43799</v>
      </c>
      <c r="P22" s="51">
        <v>0.95127477253985493</v>
      </c>
      <c r="Q22" s="50">
        <v>43799</v>
      </c>
      <c r="R22" s="51">
        <v>0.99921117882660837</v>
      </c>
      <c r="S22" s="50">
        <v>43799</v>
      </c>
      <c r="T22" s="51">
        <v>1.0019107580725051</v>
      </c>
      <c r="U22" s="50">
        <v>43799</v>
      </c>
      <c r="V22" s="51">
        <v>0.98971539340209957</v>
      </c>
      <c r="W22" s="50">
        <v>43799</v>
      </c>
      <c r="X22" s="51">
        <v>0.98903880256912358</v>
      </c>
      <c r="Y22" s="50">
        <v>43799</v>
      </c>
      <c r="Z22" s="51">
        <v>1.0072076595554933</v>
      </c>
      <c r="AA22" s="50">
        <v>43799</v>
      </c>
      <c r="AB22" s="51">
        <v>1.0077620384887773</v>
      </c>
      <c r="AC22" s="50">
        <v>43799</v>
      </c>
      <c r="AD22" s="51">
        <v>0.977313803297714</v>
      </c>
      <c r="AE22" s="50">
        <v>43799</v>
      </c>
      <c r="AF22" s="51">
        <v>0.97912246145839932</v>
      </c>
    </row>
    <row r="23" spans="1:32" x14ac:dyDescent="0.25">
      <c r="A23" s="50">
        <v>43830</v>
      </c>
      <c r="B23" s="51">
        <v>0.97060961466479712</v>
      </c>
      <c r="C23" s="50">
        <v>43830</v>
      </c>
      <c r="D23" s="51">
        <v>0.97060961466479712</v>
      </c>
      <c r="E23" s="50">
        <v>43830</v>
      </c>
      <c r="F23" s="51">
        <v>1.0036545560112213</v>
      </c>
      <c r="G23" s="50">
        <v>43830</v>
      </c>
      <c r="H23" s="51">
        <v>1.0046005255633552</v>
      </c>
      <c r="I23" s="50">
        <v>43830</v>
      </c>
      <c r="J23" s="51">
        <v>0.95761956851053176</v>
      </c>
      <c r="K23" s="50">
        <v>43830</v>
      </c>
      <c r="L23" s="51">
        <v>0.95761561488217284</v>
      </c>
      <c r="M23" s="50">
        <v>43830</v>
      </c>
      <c r="N23" s="51">
        <v>0.93683629329239837</v>
      </c>
      <c r="O23" s="50">
        <v>43830</v>
      </c>
      <c r="P23" s="51">
        <v>0.9468312789004838</v>
      </c>
      <c r="Q23" s="50">
        <v>43830</v>
      </c>
      <c r="R23" s="51">
        <v>0.99893808923677674</v>
      </c>
      <c r="S23" s="50">
        <v>43830</v>
      </c>
      <c r="T23" s="51">
        <v>1.0018898425316534</v>
      </c>
      <c r="U23" s="50">
        <v>43830</v>
      </c>
      <c r="V23" s="51">
        <v>0.98835728446987436</v>
      </c>
      <c r="W23" s="50">
        <v>43830</v>
      </c>
      <c r="X23" s="51">
        <v>0.98761910637912276</v>
      </c>
      <c r="Y23" s="50">
        <v>43830</v>
      </c>
      <c r="Z23" s="51">
        <v>1.0080309208347442</v>
      </c>
      <c r="AA23" s="50">
        <v>43830</v>
      </c>
      <c r="AB23" s="51">
        <v>1.0086367724976597</v>
      </c>
      <c r="AC23" s="50">
        <v>43830</v>
      </c>
      <c r="AD23" s="51">
        <v>0.97502330343183252</v>
      </c>
      <c r="AE23" s="50">
        <v>43830</v>
      </c>
      <c r="AF23" s="51">
        <v>0.97699244797911844</v>
      </c>
    </row>
    <row r="24" spans="1:32" x14ac:dyDescent="0.25">
      <c r="A24" s="50">
        <v>43861</v>
      </c>
      <c r="B24" s="51">
        <v>0.96841606888319332</v>
      </c>
      <c r="C24" s="50">
        <v>43861</v>
      </c>
      <c r="D24" s="51">
        <v>0.96820030934546719</v>
      </c>
      <c r="E24" s="50">
        <v>43861</v>
      </c>
      <c r="F24" s="51">
        <v>1.0036909559266134</v>
      </c>
      <c r="G24" s="50">
        <v>43861</v>
      </c>
      <c r="H24" s="51">
        <v>1.0047487647764775</v>
      </c>
      <c r="I24" s="50">
        <v>43861</v>
      </c>
      <c r="J24" s="51">
        <v>0.9537999521307774</v>
      </c>
      <c r="K24" s="50">
        <v>43861</v>
      </c>
      <c r="L24" s="51">
        <v>0.95380257895892451</v>
      </c>
      <c r="M24" s="50">
        <v>43861</v>
      </c>
      <c r="N24" s="51">
        <v>0.93063305613804048</v>
      </c>
      <c r="O24" s="50">
        <v>43861</v>
      </c>
      <c r="P24" s="51">
        <v>0.94059111381198846</v>
      </c>
      <c r="Q24" s="50">
        <v>43861</v>
      </c>
      <c r="R24" s="51">
        <v>0.99899905683809076</v>
      </c>
      <c r="S24" s="50">
        <v>43861</v>
      </c>
      <c r="T24" s="51">
        <v>1.0020396887975811</v>
      </c>
      <c r="U24" s="50">
        <v>43861</v>
      </c>
      <c r="V24" s="51">
        <v>0.98783976605812096</v>
      </c>
      <c r="W24" s="50">
        <v>43861</v>
      </c>
      <c r="X24" s="51">
        <v>0.98655989880210848</v>
      </c>
      <c r="Y24" s="50">
        <v>43861</v>
      </c>
      <c r="Z24" s="51">
        <v>1.0083796114067483</v>
      </c>
      <c r="AA24" s="50">
        <v>43861</v>
      </c>
      <c r="AB24" s="51">
        <v>1.0090861290458844</v>
      </c>
      <c r="AC24" s="50">
        <v>43861</v>
      </c>
      <c r="AD24" s="51">
        <v>0.97360339771754822</v>
      </c>
      <c r="AE24" s="50">
        <v>43861</v>
      </c>
      <c r="AF24" s="51">
        <v>0.97509413476911522</v>
      </c>
    </row>
    <row r="25" spans="1:32" x14ac:dyDescent="0.25">
      <c r="A25" s="50">
        <v>43890</v>
      </c>
      <c r="B25" s="51">
        <v>0.96640750776397766</v>
      </c>
      <c r="C25" s="50">
        <v>43890</v>
      </c>
      <c r="D25" s="51">
        <v>0.96597598868852552</v>
      </c>
      <c r="E25" s="50">
        <v>43890</v>
      </c>
      <c r="F25" s="51">
        <v>1.0037003815237515</v>
      </c>
      <c r="G25" s="50">
        <v>43890</v>
      </c>
      <c r="H25" s="51">
        <v>1.0048648287311954</v>
      </c>
      <c r="I25" s="50">
        <v>43890</v>
      </c>
      <c r="J25" s="51">
        <v>0.95022185882693788</v>
      </c>
      <c r="K25" s="50">
        <v>43890</v>
      </c>
      <c r="L25" s="51">
        <v>0.95022325697740329</v>
      </c>
      <c r="M25" s="50">
        <v>43890</v>
      </c>
      <c r="N25" s="51">
        <v>0.92481763164599762</v>
      </c>
      <c r="O25" s="50">
        <v>43890</v>
      </c>
      <c r="P25" s="51">
        <v>0.93696514579071688</v>
      </c>
      <c r="Q25" s="50">
        <v>43890</v>
      </c>
      <c r="R25" s="51">
        <v>0.9990776431226196</v>
      </c>
      <c r="S25" s="50">
        <v>43890</v>
      </c>
      <c r="T25" s="51">
        <v>1.0021908844532414</v>
      </c>
      <c r="U25" s="50">
        <v>43890</v>
      </c>
      <c r="V25" s="51">
        <v>0.98740986757747884</v>
      </c>
      <c r="W25" s="50">
        <v>43890</v>
      </c>
      <c r="X25" s="51">
        <v>0.985592284527675</v>
      </c>
      <c r="Y25" s="50">
        <v>43890</v>
      </c>
      <c r="Z25" s="51">
        <v>1.0086751883478331</v>
      </c>
      <c r="AA25" s="50">
        <v>43890</v>
      </c>
      <c r="AB25" s="51">
        <v>1.0094790511419227</v>
      </c>
      <c r="AC25" s="50">
        <v>43890</v>
      </c>
      <c r="AD25" s="51">
        <v>0.97233126618815935</v>
      </c>
      <c r="AE25" s="50">
        <v>43890</v>
      </c>
      <c r="AF25" s="51">
        <v>0.97333324178358172</v>
      </c>
    </row>
    <row r="26" spans="1:32" x14ac:dyDescent="0.25">
      <c r="A26" s="50">
        <v>43921</v>
      </c>
      <c r="B26" s="51">
        <v>0.96426042518826449</v>
      </c>
      <c r="C26" s="50">
        <v>43921</v>
      </c>
      <c r="D26" s="51">
        <v>0.96359826660696712</v>
      </c>
      <c r="E26" s="50">
        <v>43921</v>
      </c>
      <c r="F26" s="51">
        <v>1.0037104571620716</v>
      </c>
      <c r="G26" s="50">
        <v>43921</v>
      </c>
      <c r="H26" s="51">
        <v>1.0049888970965839</v>
      </c>
      <c r="I26" s="50">
        <v>43921</v>
      </c>
      <c r="J26" s="51">
        <v>0.94639700046766106</v>
      </c>
      <c r="K26" s="50">
        <v>43921</v>
      </c>
      <c r="L26" s="51">
        <v>0.94639708520405297</v>
      </c>
      <c r="M26" s="50">
        <v>43921</v>
      </c>
      <c r="N26" s="51">
        <v>0.91860114339588272</v>
      </c>
      <c r="O26" s="50">
        <v>43921</v>
      </c>
      <c r="P26" s="51">
        <v>0.93308911100935754</v>
      </c>
      <c r="Q26" s="50">
        <v>43921</v>
      </c>
      <c r="R26" s="51">
        <v>0.99916164915090921</v>
      </c>
      <c r="S26" s="50">
        <v>43921</v>
      </c>
      <c r="T26" s="51">
        <v>1.0023525073954989</v>
      </c>
      <c r="U26" s="50">
        <v>43921</v>
      </c>
      <c r="V26" s="51">
        <v>0.98695032092575807</v>
      </c>
      <c r="W26" s="50">
        <v>43921</v>
      </c>
      <c r="X26" s="51">
        <v>0.98455793823431503</v>
      </c>
      <c r="Y26" s="50">
        <v>43921</v>
      </c>
      <c r="Z26" s="51">
        <v>1.0089911499055442</v>
      </c>
      <c r="AA26" s="50">
        <v>43921</v>
      </c>
      <c r="AB26" s="51">
        <v>1.0098990713135501</v>
      </c>
      <c r="AC26" s="50">
        <v>43921</v>
      </c>
      <c r="AD26" s="51">
        <v>0.97097140144984717</v>
      </c>
      <c r="AE26" s="50">
        <v>43921</v>
      </c>
      <c r="AF26" s="51">
        <v>0.97145090790249411</v>
      </c>
    </row>
    <row r="27" spans="1:32" x14ac:dyDescent="0.25">
      <c r="A27" s="50">
        <v>43951</v>
      </c>
      <c r="B27" s="51">
        <v>0.96218260334080008</v>
      </c>
      <c r="C27" s="50">
        <v>43951</v>
      </c>
      <c r="D27" s="51">
        <v>0.9612972452377172</v>
      </c>
      <c r="E27" s="50">
        <v>43951</v>
      </c>
      <c r="F27" s="51">
        <v>1.0037202077798009</v>
      </c>
      <c r="G27" s="50">
        <v>43951</v>
      </c>
      <c r="H27" s="51">
        <v>1.005108963256637</v>
      </c>
      <c r="I27" s="50">
        <v>43951</v>
      </c>
      <c r="J27" s="51">
        <v>0.94269633726033841</v>
      </c>
      <c r="K27" s="50">
        <v>43951</v>
      </c>
      <c r="L27" s="51">
        <v>0.94269633726033841</v>
      </c>
      <c r="M27" s="50">
        <v>43951</v>
      </c>
      <c r="N27" s="51">
        <v>0.91258518702480385</v>
      </c>
      <c r="O27" s="50">
        <v>43951</v>
      </c>
      <c r="P27" s="51">
        <v>0.92933810960804208</v>
      </c>
      <c r="Q27" s="50">
        <v>43951</v>
      </c>
      <c r="R27" s="51">
        <v>0.99924294530731839</v>
      </c>
      <c r="S27" s="50">
        <v>43951</v>
      </c>
      <c r="T27" s="51">
        <v>1.0025089166944576</v>
      </c>
      <c r="U27" s="50">
        <v>43951</v>
      </c>
      <c r="V27" s="51">
        <v>0.98650559835957652</v>
      </c>
      <c r="W27" s="50">
        <v>43951</v>
      </c>
      <c r="X27" s="51">
        <v>0.9835569579504182</v>
      </c>
      <c r="Y27" s="50">
        <v>43951</v>
      </c>
      <c r="Z27" s="51">
        <v>1.0092969191549421</v>
      </c>
      <c r="AA27" s="50">
        <v>43951</v>
      </c>
      <c r="AB27" s="51">
        <v>1.010305542447383</v>
      </c>
      <c r="AC27" s="50">
        <v>43951</v>
      </c>
      <c r="AD27" s="51">
        <v>0.96965540331599664</v>
      </c>
      <c r="AE27" s="50">
        <v>43951</v>
      </c>
      <c r="AF27" s="51">
        <v>0.96962929446918356</v>
      </c>
    </row>
    <row r="28" spans="1:32" x14ac:dyDescent="0.25">
      <c r="A28" s="50">
        <v>43982</v>
      </c>
      <c r="B28" s="51">
        <v>0.96003552076508691</v>
      </c>
      <c r="C28" s="50">
        <v>43982</v>
      </c>
      <c r="D28" s="51">
        <v>0.9589195231561588</v>
      </c>
      <c r="E28" s="50">
        <v>43982</v>
      </c>
      <c r="F28" s="51">
        <v>1.003730283418121</v>
      </c>
      <c r="G28" s="50">
        <v>43982</v>
      </c>
      <c r="H28" s="51">
        <v>1.0052330316220253</v>
      </c>
      <c r="I28" s="50">
        <v>43982</v>
      </c>
      <c r="J28" s="51">
        <v>0.93887237859217942</v>
      </c>
      <c r="K28" s="50">
        <v>43982</v>
      </c>
      <c r="L28" s="51">
        <v>0.93887237859217942</v>
      </c>
      <c r="M28" s="50">
        <v>43982</v>
      </c>
      <c r="N28" s="51">
        <v>0.90636869877468906</v>
      </c>
      <c r="O28" s="50">
        <v>43982</v>
      </c>
      <c r="P28" s="51">
        <v>0.92546207482668286</v>
      </c>
      <c r="Q28" s="50">
        <v>43982</v>
      </c>
      <c r="R28" s="51">
        <v>0.99932695133560789</v>
      </c>
      <c r="S28" s="50">
        <v>43982</v>
      </c>
      <c r="T28" s="51">
        <v>1.0026705396367153</v>
      </c>
      <c r="U28" s="50">
        <v>43982</v>
      </c>
      <c r="V28" s="51">
        <v>0.98604605170785564</v>
      </c>
      <c r="W28" s="50">
        <v>43982</v>
      </c>
      <c r="X28" s="51">
        <v>0.98252261165705823</v>
      </c>
      <c r="Y28" s="50">
        <v>43982</v>
      </c>
      <c r="Z28" s="51">
        <v>1.0096128807126534</v>
      </c>
      <c r="AA28" s="50">
        <v>43982</v>
      </c>
      <c r="AB28" s="51">
        <v>1.0107255626190104</v>
      </c>
      <c r="AC28" s="50">
        <v>43982</v>
      </c>
      <c r="AD28" s="51">
        <v>0.96829553857768447</v>
      </c>
      <c r="AE28" s="50">
        <v>43982</v>
      </c>
      <c r="AF28" s="51">
        <v>0.96774696058809595</v>
      </c>
    </row>
    <row r="29" spans="1:32" x14ac:dyDescent="0.25">
      <c r="A29" s="50">
        <v>44012</v>
      </c>
      <c r="B29" s="51">
        <v>0.9579576989176225</v>
      </c>
      <c r="C29" s="50">
        <v>44012</v>
      </c>
      <c r="D29" s="51">
        <v>0.95661850178690877</v>
      </c>
      <c r="E29" s="50">
        <v>44012</v>
      </c>
      <c r="F29" s="51">
        <v>1.00374003403585</v>
      </c>
      <c r="G29" s="50">
        <v>44012</v>
      </c>
      <c r="H29" s="51">
        <v>1.0053530977820786</v>
      </c>
      <c r="I29" s="50">
        <v>44012</v>
      </c>
      <c r="J29" s="51">
        <v>0.93517177342944491</v>
      </c>
      <c r="K29" s="50">
        <v>44012</v>
      </c>
      <c r="L29" s="51">
        <v>0.93517177342944491</v>
      </c>
      <c r="M29" s="50">
        <v>44012</v>
      </c>
      <c r="N29" s="51">
        <v>0.90035274240361018</v>
      </c>
      <c r="O29" s="50">
        <v>44012</v>
      </c>
      <c r="P29" s="51">
        <v>0.9217110734253674</v>
      </c>
      <c r="Q29" s="50">
        <v>44012</v>
      </c>
      <c r="R29" s="51">
        <v>0.99940824749201718</v>
      </c>
      <c r="S29" s="50">
        <v>44012</v>
      </c>
      <c r="T29" s="51">
        <v>1.002826948935674</v>
      </c>
      <c r="U29" s="50">
        <v>44012</v>
      </c>
      <c r="V29" s="51">
        <v>0.9856013291416742</v>
      </c>
      <c r="W29" s="50">
        <v>44012</v>
      </c>
      <c r="X29" s="51">
        <v>0.98152163137316151</v>
      </c>
      <c r="Y29" s="50">
        <v>44012</v>
      </c>
      <c r="Z29" s="51">
        <v>1.0099186499620514</v>
      </c>
      <c r="AA29" s="50">
        <v>44012</v>
      </c>
      <c r="AB29" s="51">
        <v>1.0111320337528431</v>
      </c>
      <c r="AC29" s="50">
        <v>44012</v>
      </c>
      <c r="AD29" s="51">
        <v>0.96697954044383405</v>
      </c>
      <c r="AE29" s="50">
        <v>44012</v>
      </c>
      <c r="AF29" s="51">
        <v>0.9659253471547854</v>
      </c>
    </row>
    <row r="30" spans="1:32" x14ac:dyDescent="0.25">
      <c r="A30" s="50">
        <v>44043</v>
      </c>
      <c r="B30" s="51">
        <v>0.95637863569810833</v>
      </c>
      <c r="C30" s="50">
        <v>44043</v>
      </c>
      <c r="D30" s="51">
        <v>0.95524194879294044</v>
      </c>
      <c r="E30" s="50">
        <v>44043</v>
      </c>
      <c r="F30" s="51">
        <v>1.0037501096741701</v>
      </c>
      <c r="G30" s="50">
        <v>44043</v>
      </c>
      <c r="H30" s="51">
        <v>1.0054771661474668</v>
      </c>
      <c r="I30" s="50">
        <v>44043</v>
      </c>
      <c r="J30" s="51">
        <v>0.93126086138452746</v>
      </c>
      <c r="K30" s="50">
        <v>44043</v>
      </c>
      <c r="L30" s="51">
        <v>0.93126086138452746</v>
      </c>
      <c r="M30" s="50">
        <v>44043</v>
      </c>
      <c r="N30" s="51">
        <v>0.89413625415349529</v>
      </c>
      <c r="O30" s="50">
        <v>44043</v>
      </c>
      <c r="P30" s="51">
        <v>0.91783503864400806</v>
      </c>
      <c r="Q30" s="50">
        <v>44043</v>
      </c>
      <c r="R30" s="51">
        <v>0.99948290184263178</v>
      </c>
      <c r="S30" s="50">
        <v>44043</v>
      </c>
      <c r="T30" s="51">
        <v>1.003457336047137</v>
      </c>
      <c r="U30" s="50">
        <v>44043</v>
      </c>
      <c r="V30" s="51">
        <v>0.98440746491890907</v>
      </c>
      <c r="W30" s="50">
        <v>44043</v>
      </c>
      <c r="X30" s="51">
        <v>0.98064584085919015</v>
      </c>
      <c r="Y30" s="50">
        <v>44043</v>
      </c>
      <c r="Z30" s="51">
        <v>1.0102346115197625</v>
      </c>
      <c r="AA30" s="50">
        <v>44043</v>
      </c>
      <c r="AB30" s="51">
        <v>1.0115520539244705</v>
      </c>
      <c r="AC30" s="50">
        <v>44043</v>
      </c>
      <c r="AD30" s="51">
        <v>0.96536236397236586</v>
      </c>
      <c r="AE30" s="50">
        <v>44043</v>
      </c>
      <c r="AF30" s="51">
        <v>0.96493759509706156</v>
      </c>
    </row>
    <row r="31" spans="1:32" x14ac:dyDescent="0.25">
      <c r="A31" s="50">
        <v>44074</v>
      </c>
      <c r="B31" s="51">
        <v>0.95483874622729759</v>
      </c>
      <c r="C31" s="50">
        <v>44074</v>
      </c>
      <c r="D31" s="51">
        <v>0.95393444194294386</v>
      </c>
      <c r="E31" s="50">
        <v>44074</v>
      </c>
      <c r="F31" s="51">
        <v>1.0037601853124902</v>
      </c>
      <c r="G31" s="50">
        <v>44074</v>
      </c>
      <c r="H31" s="51">
        <v>1.0056012345128553</v>
      </c>
      <c r="I31" s="50">
        <v>44074</v>
      </c>
      <c r="J31" s="51">
        <v>0.92734395255500601</v>
      </c>
      <c r="K31" s="50">
        <v>44074</v>
      </c>
      <c r="L31" s="51">
        <v>0.92734395255500601</v>
      </c>
      <c r="M31" s="50">
        <v>44074</v>
      </c>
      <c r="N31" s="51">
        <v>0.88791976590338051</v>
      </c>
      <c r="O31" s="50">
        <v>44074</v>
      </c>
      <c r="P31" s="51">
        <v>0.91395900386264872</v>
      </c>
      <c r="Q31" s="50">
        <v>44074</v>
      </c>
      <c r="R31" s="51">
        <v>0.99955691124995838</v>
      </c>
      <c r="S31" s="50">
        <v>44074</v>
      </c>
      <c r="T31" s="51">
        <v>1.0041200517219933</v>
      </c>
      <c r="U31" s="50">
        <v>44074</v>
      </c>
      <c r="V31" s="51">
        <v>0.98316295810503751</v>
      </c>
      <c r="W31" s="50">
        <v>44074</v>
      </c>
      <c r="X31" s="51">
        <v>0.97978098522655588</v>
      </c>
      <c r="Y31" s="50">
        <v>44074</v>
      </c>
      <c r="Z31" s="51">
        <v>1.0105505730774738</v>
      </c>
      <c r="AA31" s="50">
        <v>44074</v>
      </c>
      <c r="AB31" s="51">
        <v>1.0119720740960978</v>
      </c>
      <c r="AC31" s="50">
        <v>44074</v>
      </c>
      <c r="AD31" s="51">
        <v>0.9637274418641284</v>
      </c>
      <c r="AE31" s="50">
        <v>44074</v>
      </c>
      <c r="AF31" s="51">
        <v>0.96401153833750075</v>
      </c>
    </row>
    <row r="32" spans="1:32" x14ac:dyDescent="0.25">
      <c r="A32" s="50">
        <v>44104</v>
      </c>
      <c r="B32" s="51">
        <v>0.95334853061038383</v>
      </c>
      <c r="C32" s="50">
        <v>44104</v>
      </c>
      <c r="D32" s="51">
        <v>0.95266911273326971</v>
      </c>
      <c r="E32" s="50">
        <v>44104</v>
      </c>
      <c r="F32" s="51">
        <v>1.0037699359302192</v>
      </c>
      <c r="G32" s="50">
        <v>44104</v>
      </c>
      <c r="H32" s="51">
        <v>1.0057213006729084</v>
      </c>
      <c r="I32" s="50">
        <v>44104</v>
      </c>
      <c r="J32" s="51">
        <v>0.92355339562321104</v>
      </c>
      <c r="K32" s="50">
        <v>44104</v>
      </c>
      <c r="L32" s="51">
        <v>0.92355339562321104</v>
      </c>
      <c r="M32" s="50">
        <v>44104</v>
      </c>
      <c r="N32" s="51">
        <v>0.88190380953230152</v>
      </c>
      <c r="O32" s="50">
        <v>44104</v>
      </c>
      <c r="P32" s="51">
        <v>0.91020800246133327</v>
      </c>
      <c r="Q32" s="50">
        <v>44104</v>
      </c>
      <c r="R32" s="51">
        <v>0.99962853325704881</v>
      </c>
      <c r="S32" s="50">
        <v>44104</v>
      </c>
      <c r="T32" s="51">
        <v>1.0047613894718543</v>
      </c>
      <c r="U32" s="50">
        <v>44104</v>
      </c>
      <c r="V32" s="51">
        <v>0.98195859667225849</v>
      </c>
      <c r="W32" s="50">
        <v>44104</v>
      </c>
      <c r="X32" s="51">
        <v>0.97894402816271631</v>
      </c>
      <c r="Y32" s="50">
        <v>44104</v>
      </c>
      <c r="Z32" s="51">
        <v>1.0108563423268717</v>
      </c>
      <c r="AA32" s="50">
        <v>44104</v>
      </c>
      <c r="AB32" s="51">
        <v>1.0123785452299308</v>
      </c>
      <c r="AC32" s="50">
        <v>44104</v>
      </c>
      <c r="AD32" s="51">
        <v>0.96214525917873717</v>
      </c>
      <c r="AE32" s="50">
        <v>44104</v>
      </c>
      <c r="AF32" s="51">
        <v>0.96311535437663542</v>
      </c>
    </row>
    <row r="33" spans="1:32" x14ac:dyDescent="0.25">
      <c r="A33" s="50">
        <v>44135</v>
      </c>
      <c r="B33" s="51">
        <v>0.95180864113957309</v>
      </c>
      <c r="C33" s="50">
        <v>44135</v>
      </c>
      <c r="D33" s="51">
        <v>0.95136160588327312</v>
      </c>
      <c r="E33" s="50">
        <v>44135</v>
      </c>
      <c r="F33" s="51">
        <v>1.0037800115685394</v>
      </c>
      <c r="G33" s="50">
        <v>44135</v>
      </c>
      <c r="H33" s="51">
        <v>1.0058453690382967</v>
      </c>
      <c r="I33" s="50">
        <v>44135</v>
      </c>
      <c r="J33" s="51">
        <v>0.91938210630012296</v>
      </c>
      <c r="K33" s="50">
        <v>44135</v>
      </c>
      <c r="L33" s="51">
        <v>0.91938450792808979</v>
      </c>
      <c r="M33" s="50">
        <v>44135</v>
      </c>
      <c r="N33" s="51">
        <v>0.87568732128218674</v>
      </c>
      <c r="O33" s="50">
        <v>44135</v>
      </c>
      <c r="P33" s="51">
        <v>0.90633196767997404</v>
      </c>
      <c r="Q33" s="50">
        <v>44135</v>
      </c>
      <c r="R33" s="51">
        <v>0.99970254266437542</v>
      </c>
      <c r="S33" s="50">
        <v>44135</v>
      </c>
      <c r="T33" s="51">
        <v>1.0054241051467108</v>
      </c>
      <c r="U33" s="50">
        <v>44135</v>
      </c>
      <c r="V33" s="51">
        <v>0.98071408985838693</v>
      </c>
      <c r="W33" s="50">
        <v>44135</v>
      </c>
      <c r="X33" s="51">
        <v>0.97807917253008214</v>
      </c>
      <c r="Y33" s="50">
        <v>44135</v>
      </c>
      <c r="Z33" s="51">
        <v>1.011172303884583</v>
      </c>
      <c r="AA33" s="50">
        <v>44135</v>
      </c>
      <c r="AB33" s="51">
        <v>1.0127985654015581</v>
      </c>
      <c r="AC33" s="50">
        <v>44135</v>
      </c>
      <c r="AD33" s="51">
        <v>0.96051033707049971</v>
      </c>
      <c r="AE33" s="50">
        <v>44135</v>
      </c>
      <c r="AF33" s="51">
        <v>0.96218929761707461</v>
      </c>
    </row>
    <row r="34" spans="1:32" x14ac:dyDescent="0.25">
      <c r="A34" s="50">
        <v>44165</v>
      </c>
      <c r="B34" s="51">
        <v>0.95031842552265944</v>
      </c>
      <c r="C34" s="50">
        <v>44165</v>
      </c>
      <c r="D34" s="51">
        <v>0.95009627667359897</v>
      </c>
      <c r="E34" s="50">
        <v>44165</v>
      </c>
      <c r="F34" s="51">
        <v>1.0037897621862686</v>
      </c>
      <c r="G34" s="50">
        <v>44165</v>
      </c>
      <c r="H34" s="51">
        <v>1.00596543519835</v>
      </c>
      <c r="I34" s="50">
        <v>44165</v>
      </c>
      <c r="J34" s="51">
        <v>0.91532839713360392</v>
      </c>
      <c r="K34" s="50">
        <v>44165</v>
      </c>
      <c r="L34" s="51">
        <v>0.91533328320429497</v>
      </c>
      <c r="M34" s="50">
        <v>44165</v>
      </c>
      <c r="N34" s="51">
        <v>0.86967136491110786</v>
      </c>
      <c r="O34" s="50">
        <v>44165</v>
      </c>
      <c r="P34" s="51">
        <v>0.89222898336931422</v>
      </c>
      <c r="Q34" s="50">
        <v>44165</v>
      </c>
      <c r="R34" s="51">
        <v>0.99977416467146585</v>
      </c>
      <c r="S34" s="50">
        <v>44165</v>
      </c>
      <c r="T34" s="51">
        <v>1.0060654428965716</v>
      </c>
      <c r="U34" s="50">
        <v>44165</v>
      </c>
      <c r="V34" s="51">
        <v>0.97950972842560791</v>
      </c>
      <c r="W34" s="50">
        <v>44165</v>
      </c>
      <c r="X34" s="51">
        <v>0.97724221546624257</v>
      </c>
      <c r="Y34" s="50">
        <v>44165</v>
      </c>
      <c r="Z34" s="51">
        <v>1.011478073133981</v>
      </c>
      <c r="AA34" s="50">
        <v>44165</v>
      </c>
      <c r="AB34" s="51">
        <v>1.0132050365353911</v>
      </c>
      <c r="AC34" s="50">
        <v>44165</v>
      </c>
      <c r="AD34" s="51">
        <v>0.95892815438510859</v>
      </c>
      <c r="AE34" s="50">
        <v>44165</v>
      </c>
      <c r="AF34" s="51">
        <v>0.96129311365620929</v>
      </c>
    </row>
    <row r="35" spans="1:32" x14ac:dyDescent="0.25">
      <c r="A35" s="50">
        <v>44196</v>
      </c>
      <c r="B35" s="51">
        <v>0.94877853605184859</v>
      </c>
      <c r="C35" s="50">
        <v>44196</v>
      </c>
      <c r="D35" s="51">
        <v>0.94878876982360238</v>
      </c>
      <c r="E35" s="50">
        <v>44196</v>
      </c>
      <c r="F35" s="51">
        <v>1.0037998378245887</v>
      </c>
      <c r="G35" s="50">
        <v>44196</v>
      </c>
      <c r="H35" s="51">
        <v>1.0060895035637383</v>
      </c>
      <c r="I35" s="50">
        <v>44196</v>
      </c>
      <c r="J35" s="51">
        <v>0.91113956432820087</v>
      </c>
      <c r="K35" s="50">
        <v>44196</v>
      </c>
      <c r="L35" s="51">
        <v>0.91114701765637374</v>
      </c>
      <c r="M35" s="50">
        <v>44196</v>
      </c>
      <c r="N35" s="51">
        <v>0.86345487666099308</v>
      </c>
      <c r="O35" s="50">
        <v>44196</v>
      </c>
      <c r="P35" s="51">
        <v>0.87728703582279366</v>
      </c>
      <c r="Q35" s="50">
        <v>44196</v>
      </c>
      <c r="R35" s="51">
        <v>0.99984817407879245</v>
      </c>
      <c r="S35" s="50">
        <v>44196</v>
      </c>
      <c r="T35" s="51">
        <v>1.0067281585714281</v>
      </c>
      <c r="U35" s="50">
        <v>44196</v>
      </c>
      <c r="V35" s="51">
        <v>0.97826522161173635</v>
      </c>
      <c r="W35" s="50">
        <v>44196</v>
      </c>
      <c r="X35" s="51">
        <v>0.9763773598336084</v>
      </c>
      <c r="Y35" s="50">
        <v>44196</v>
      </c>
      <c r="Z35" s="51">
        <v>1.011794034691692</v>
      </c>
      <c r="AA35" s="50">
        <v>44196</v>
      </c>
      <c r="AB35" s="51">
        <v>1.0136250567070184</v>
      </c>
      <c r="AC35" s="50">
        <v>44196</v>
      </c>
      <c r="AD35" s="51">
        <v>0.95729323227687102</v>
      </c>
      <c r="AE35" s="50">
        <v>44196</v>
      </c>
      <c r="AF35" s="51">
        <v>0.96036705689664836</v>
      </c>
    </row>
    <row r="36" spans="1:32" x14ac:dyDescent="0.25">
      <c r="A36" s="50">
        <v>44227</v>
      </c>
      <c r="B36" s="51">
        <v>0.94680776957043955</v>
      </c>
      <c r="C36" s="50">
        <v>44227</v>
      </c>
      <c r="D36" s="51">
        <v>0.9468254232002461</v>
      </c>
      <c r="E36" s="50">
        <v>44227</v>
      </c>
      <c r="F36" s="51">
        <v>1.0037446708105877</v>
      </c>
      <c r="G36" s="50">
        <v>44227</v>
      </c>
      <c r="H36" s="51">
        <v>1.0061415064813108</v>
      </c>
      <c r="I36" s="50">
        <v>44227</v>
      </c>
      <c r="J36" s="51">
        <v>0.90700914678665712</v>
      </c>
      <c r="K36" s="50">
        <v>44227</v>
      </c>
      <c r="L36" s="51">
        <v>0.90701669060363432</v>
      </c>
      <c r="M36" s="50">
        <v>44227</v>
      </c>
      <c r="N36" s="51">
        <v>0.85686724938370562</v>
      </c>
      <c r="O36" s="50">
        <v>44227</v>
      </c>
      <c r="P36" s="51">
        <v>0.87100239088432374</v>
      </c>
      <c r="Q36" s="50">
        <v>44227</v>
      </c>
      <c r="R36" s="51">
        <v>0.99984686486853058</v>
      </c>
      <c r="S36" s="50">
        <v>44227</v>
      </c>
      <c r="T36" s="51">
        <v>1.0071318129253519</v>
      </c>
      <c r="U36" s="50">
        <v>44227</v>
      </c>
      <c r="V36" s="51">
        <v>0.97722853120412712</v>
      </c>
      <c r="W36" s="50">
        <v>44227</v>
      </c>
      <c r="X36" s="51">
        <v>0.97523874696802804</v>
      </c>
      <c r="Y36" s="50">
        <v>44227</v>
      </c>
      <c r="Z36" s="51">
        <v>1.0120800494162523</v>
      </c>
      <c r="AA36" s="50">
        <v>44227</v>
      </c>
      <c r="AB36" s="51">
        <v>1.0140158291371648</v>
      </c>
      <c r="AC36" s="50">
        <v>44227</v>
      </c>
      <c r="AD36" s="51">
        <v>0.95551953733036665</v>
      </c>
      <c r="AE36" s="50">
        <v>44227</v>
      </c>
      <c r="AF36" s="51">
        <v>0.9586816361005901</v>
      </c>
    </row>
    <row r="37" spans="1:32" x14ac:dyDescent="0.25">
      <c r="A37" s="50">
        <v>44255</v>
      </c>
      <c r="B37" s="51">
        <v>0.94501474978476174</v>
      </c>
      <c r="C37" s="50">
        <v>44255</v>
      </c>
      <c r="D37" s="51">
        <v>0.94503233214941451</v>
      </c>
      <c r="E37" s="50">
        <v>44255</v>
      </c>
      <c r="F37" s="51">
        <v>1.0036928782449683</v>
      </c>
      <c r="G37" s="50">
        <v>44255</v>
      </c>
      <c r="H37" s="51">
        <v>1.0061863071460659</v>
      </c>
      <c r="I37" s="50">
        <v>44255</v>
      </c>
      <c r="J37" s="51">
        <v>0.90328020581084134</v>
      </c>
      <c r="K37" s="50">
        <v>44255</v>
      </c>
      <c r="L37" s="51">
        <v>0.90328775679026219</v>
      </c>
      <c r="M37" s="50">
        <v>44255</v>
      </c>
      <c r="N37" s="51">
        <v>0.85090596034533761</v>
      </c>
      <c r="O37" s="50">
        <v>44255</v>
      </c>
      <c r="P37" s="51">
        <v>0.86558658736250726</v>
      </c>
      <c r="Q37" s="50">
        <v>44255</v>
      </c>
      <c r="R37" s="51">
        <v>0.99984341469873228</v>
      </c>
      <c r="S37" s="50">
        <v>44255</v>
      </c>
      <c r="T37" s="51">
        <v>1.0074886042590183</v>
      </c>
      <c r="U37" s="50">
        <v>44255</v>
      </c>
      <c r="V37" s="51">
        <v>0.97629842251271159</v>
      </c>
      <c r="W37" s="50">
        <v>44255</v>
      </c>
      <c r="X37" s="51">
        <v>0.97420208029102795</v>
      </c>
      <c r="Y37" s="50">
        <v>44255</v>
      </c>
      <c r="Z37" s="51">
        <v>1.0123374836714163</v>
      </c>
      <c r="AA37" s="50">
        <v>44255</v>
      </c>
      <c r="AB37" s="51">
        <v>1.0143679043033602</v>
      </c>
      <c r="AC37" s="50">
        <v>44255</v>
      </c>
      <c r="AD37" s="51">
        <v>0.95391331217495257</v>
      </c>
      <c r="AE37" s="50">
        <v>44255</v>
      </c>
      <c r="AF37" s="51">
        <v>0.95713645796971814</v>
      </c>
    </row>
    <row r="38" spans="1:32" x14ac:dyDescent="0.25">
      <c r="A38" s="50">
        <v>44286</v>
      </c>
      <c r="B38" s="51">
        <v>0.94302962073633267</v>
      </c>
      <c r="C38" s="50">
        <v>44286</v>
      </c>
      <c r="D38" s="51">
        <v>0.94304712420027959</v>
      </c>
      <c r="E38" s="50">
        <v>44286</v>
      </c>
      <c r="F38" s="51">
        <v>1.00363553647589</v>
      </c>
      <c r="G38" s="50">
        <v>44286</v>
      </c>
      <c r="H38" s="51">
        <v>1.0062359078820446</v>
      </c>
      <c r="I38" s="50">
        <v>44286</v>
      </c>
      <c r="J38" s="51">
        <v>0.89915173544475957</v>
      </c>
      <c r="K38" s="50">
        <v>44286</v>
      </c>
      <c r="L38" s="51">
        <v>0.89915929435402886</v>
      </c>
      <c r="M38" s="50">
        <v>44286</v>
      </c>
      <c r="N38" s="51">
        <v>0.84430596176714445</v>
      </c>
      <c r="O38" s="50">
        <v>44286</v>
      </c>
      <c r="P38" s="51">
        <v>0.85959051917763907</v>
      </c>
      <c r="Q38" s="50">
        <v>44286</v>
      </c>
      <c r="R38" s="51">
        <v>0.9998395948678841</v>
      </c>
      <c r="S38" s="50">
        <v>44286</v>
      </c>
      <c r="T38" s="51">
        <v>1.0078836232355777</v>
      </c>
      <c r="U38" s="50">
        <v>44286</v>
      </c>
      <c r="V38" s="51">
        <v>0.97526865931864437</v>
      </c>
      <c r="W38" s="50">
        <v>44286</v>
      </c>
      <c r="X38" s="51">
        <v>0.97305434218434939</v>
      </c>
      <c r="Y38" s="50">
        <v>44286</v>
      </c>
      <c r="Z38" s="51">
        <v>1.0126225001682048</v>
      </c>
      <c r="AA38" s="50">
        <v>44286</v>
      </c>
      <c r="AB38" s="51">
        <v>1.0147577018087908</v>
      </c>
      <c r="AC38" s="50">
        <v>44286</v>
      </c>
      <c r="AD38" s="51">
        <v>0.95213499146717262</v>
      </c>
      <c r="AE38" s="50">
        <v>44286</v>
      </c>
      <c r="AF38" s="51">
        <v>0.95542572503910994</v>
      </c>
    </row>
    <row r="39" spans="1:32" x14ac:dyDescent="0.25">
      <c r="A39" s="50">
        <v>44316</v>
      </c>
      <c r="B39" s="51">
        <v>0.94110852810882073</v>
      </c>
      <c r="C39" s="50">
        <v>44316</v>
      </c>
      <c r="D39" s="51">
        <v>0.94112595521724574</v>
      </c>
      <c r="E39" s="50">
        <v>44316</v>
      </c>
      <c r="F39" s="51">
        <v>1.0035800444412981</v>
      </c>
      <c r="G39" s="50">
        <v>44316</v>
      </c>
      <c r="H39" s="51">
        <v>1.0062839085942821</v>
      </c>
      <c r="I39" s="50">
        <v>44316</v>
      </c>
      <c r="J39" s="51">
        <v>0.89510281047169926</v>
      </c>
      <c r="K39" s="50">
        <v>44316</v>
      </c>
      <c r="L39" s="51">
        <v>0.89511037612475663</v>
      </c>
      <c r="M39" s="50">
        <v>44316</v>
      </c>
      <c r="N39" s="51">
        <v>0.83791886636889301</v>
      </c>
      <c r="O39" s="50">
        <v>44316</v>
      </c>
      <c r="P39" s="51">
        <v>0.85378787254712141</v>
      </c>
      <c r="Q39" s="50">
        <v>44316</v>
      </c>
      <c r="R39" s="51">
        <v>0.99983589825738595</v>
      </c>
      <c r="S39" s="50">
        <v>44316</v>
      </c>
      <c r="T39" s="51">
        <v>1.0082658996645062</v>
      </c>
      <c r="U39" s="50">
        <v>44316</v>
      </c>
      <c r="V39" s="51">
        <v>0.97427211429212779</v>
      </c>
      <c r="W39" s="50">
        <v>44316</v>
      </c>
      <c r="X39" s="51">
        <v>0.97194362788756372</v>
      </c>
      <c r="Y39" s="50">
        <v>44316</v>
      </c>
      <c r="Z39" s="51">
        <v>1.0128983225844519</v>
      </c>
      <c r="AA39" s="50">
        <v>44316</v>
      </c>
      <c r="AB39" s="51">
        <v>1.0151349252011428</v>
      </c>
      <c r="AC39" s="50">
        <v>44316</v>
      </c>
      <c r="AD39" s="51">
        <v>0.95041403594351459</v>
      </c>
      <c r="AE39" s="50">
        <v>44316</v>
      </c>
      <c r="AF39" s="51">
        <v>0.95377017704174716</v>
      </c>
    </row>
    <row r="40" spans="1:32" x14ac:dyDescent="0.25">
      <c r="A40" s="50">
        <v>44347</v>
      </c>
      <c r="B40" s="51">
        <v>0.93912339906039177</v>
      </c>
      <c r="C40" s="50">
        <v>44347</v>
      </c>
      <c r="D40" s="51">
        <v>0.9391407472681107</v>
      </c>
      <c r="E40" s="50">
        <v>44347</v>
      </c>
      <c r="F40" s="51">
        <v>1.0035227026722198</v>
      </c>
      <c r="G40" s="50">
        <v>44347</v>
      </c>
      <c r="H40" s="51">
        <v>1.0063335093302608</v>
      </c>
      <c r="I40" s="50">
        <v>44347</v>
      </c>
      <c r="J40" s="51">
        <v>0.89091701034070669</v>
      </c>
      <c r="K40" s="50">
        <v>44347</v>
      </c>
      <c r="L40" s="51">
        <v>0.89092458292919785</v>
      </c>
      <c r="M40" s="50">
        <v>44347</v>
      </c>
      <c r="N40" s="51">
        <v>0.83131886779069986</v>
      </c>
      <c r="O40" s="50">
        <v>44347</v>
      </c>
      <c r="P40" s="51">
        <v>0.84779180436225321</v>
      </c>
      <c r="Q40" s="50">
        <v>44347</v>
      </c>
      <c r="R40" s="51">
        <v>0.99983207842653776</v>
      </c>
      <c r="S40" s="50">
        <v>44347</v>
      </c>
      <c r="T40" s="51">
        <v>1.0086609186410656</v>
      </c>
      <c r="U40" s="50">
        <v>44347</v>
      </c>
      <c r="V40" s="51">
        <v>0.97324235109806068</v>
      </c>
      <c r="W40" s="50">
        <v>44347</v>
      </c>
      <c r="X40" s="51">
        <v>0.97079588978088516</v>
      </c>
      <c r="Y40" s="50">
        <v>44347</v>
      </c>
      <c r="Z40" s="51">
        <v>1.0131833390812404</v>
      </c>
      <c r="AA40" s="50">
        <v>44347</v>
      </c>
      <c r="AB40" s="51">
        <v>1.0155247227065733</v>
      </c>
      <c r="AC40" s="50">
        <v>44347</v>
      </c>
      <c r="AD40" s="51">
        <v>0.94863571523573464</v>
      </c>
      <c r="AE40" s="50">
        <v>44347</v>
      </c>
      <c r="AF40" s="51">
        <v>0.95205944411113885</v>
      </c>
    </row>
    <row r="41" spans="1:32" x14ac:dyDescent="0.25">
      <c r="A41" s="50">
        <v>44377</v>
      </c>
      <c r="B41" s="51">
        <v>0.93720230643287972</v>
      </c>
      <c r="C41" s="50">
        <v>44377</v>
      </c>
      <c r="D41" s="51">
        <v>0.93721957828507685</v>
      </c>
      <c r="E41" s="50">
        <v>44377</v>
      </c>
      <c r="F41" s="51">
        <v>1.0034672106376277</v>
      </c>
      <c r="G41" s="50">
        <v>44377</v>
      </c>
      <c r="H41" s="51">
        <v>1.0063815100424982</v>
      </c>
      <c r="I41" s="50">
        <v>44377</v>
      </c>
      <c r="J41" s="51">
        <v>0.88686623602039127</v>
      </c>
      <c r="K41" s="50">
        <v>44377</v>
      </c>
      <c r="L41" s="51">
        <v>0.88687381532059262</v>
      </c>
      <c r="M41" s="50">
        <v>44377</v>
      </c>
      <c r="N41" s="51">
        <v>0.8249317723924483</v>
      </c>
      <c r="O41" s="50">
        <v>44377</v>
      </c>
      <c r="P41" s="51">
        <v>0.84198915773173555</v>
      </c>
      <c r="Q41" s="50">
        <v>44377</v>
      </c>
      <c r="R41" s="51">
        <v>0.9998283818160395</v>
      </c>
      <c r="S41" s="50">
        <v>44377</v>
      </c>
      <c r="T41" s="51">
        <v>1.0090431950699941</v>
      </c>
      <c r="U41" s="50">
        <v>44377</v>
      </c>
      <c r="V41" s="51">
        <v>0.97224580607154398</v>
      </c>
      <c r="W41" s="50">
        <v>44377</v>
      </c>
      <c r="X41" s="51">
        <v>0.96968517548409949</v>
      </c>
      <c r="Y41" s="50">
        <v>44377</v>
      </c>
      <c r="Z41" s="51">
        <v>1.0134591614974875</v>
      </c>
      <c r="AA41" s="50">
        <v>44377</v>
      </c>
      <c r="AB41" s="51">
        <v>1.0159019460989254</v>
      </c>
      <c r="AC41" s="50">
        <v>44377</v>
      </c>
      <c r="AD41" s="51">
        <v>0.94691475971207661</v>
      </c>
      <c r="AE41" s="50">
        <v>44377</v>
      </c>
      <c r="AF41" s="51">
        <v>0.95040389611377607</v>
      </c>
    </row>
    <row r="42" spans="1:32" x14ac:dyDescent="0.25">
      <c r="A42" s="50">
        <v>44408</v>
      </c>
      <c r="B42" s="51">
        <v>0.93532824034811735</v>
      </c>
      <c r="C42" s="50">
        <v>44408</v>
      </c>
      <c r="D42" s="51">
        <v>0.93534543586836361</v>
      </c>
      <c r="E42" s="50">
        <v>44408</v>
      </c>
      <c r="F42" s="51">
        <v>1.0034098688685493</v>
      </c>
      <c r="G42" s="50">
        <v>44408</v>
      </c>
      <c r="H42" s="51">
        <v>1.0064311107784769</v>
      </c>
      <c r="I42" s="50">
        <v>44408</v>
      </c>
      <c r="J42" s="51">
        <v>0.88266496174839959</v>
      </c>
      <c r="K42" s="50">
        <v>44408</v>
      </c>
      <c r="L42" s="51">
        <v>0.88267254734781564</v>
      </c>
      <c r="M42" s="50">
        <v>44408</v>
      </c>
      <c r="N42" s="51">
        <v>0.81833177381425515</v>
      </c>
      <c r="O42" s="50">
        <v>44408</v>
      </c>
      <c r="P42" s="51">
        <v>0.83599308954686735</v>
      </c>
      <c r="Q42" s="50">
        <v>44408</v>
      </c>
      <c r="R42" s="51">
        <v>0.99982577434799735</v>
      </c>
      <c r="S42" s="50">
        <v>44408</v>
      </c>
      <c r="T42" s="51">
        <v>1.0094685302193751</v>
      </c>
      <c r="U42" s="50">
        <v>44408</v>
      </c>
      <c r="V42" s="51">
        <v>0.97121266539022322</v>
      </c>
      <c r="W42" s="50">
        <v>44408</v>
      </c>
      <c r="X42" s="51">
        <v>0.96852331068257846</v>
      </c>
      <c r="Y42" s="50">
        <v>44408</v>
      </c>
      <c r="Z42" s="51">
        <v>1.013744177994276</v>
      </c>
      <c r="AA42" s="50">
        <v>44408</v>
      </c>
      <c r="AB42" s="51">
        <v>1.0162917436043559</v>
      </c>
      <c r="AC42" s="50">
        <v>44408</v>
      </c>
      <c r="AD42" s="51">
        <v>0.94522002770613744</v>
      </c>
      <c r="AE42" s="50">
        <v>44408</v>
      </c>
      <c r="AF42" s="51">
        <v>0.94874927561170641</v>
      </c>
    </row>
    <row r="43" spans="1:32" x14ac:dyDescent="0.25">
      <c r="A43" s="50">
        <v>44439</v>
      </c>
      <c r="B43" s="51">
        <v>0.93345787636214383</v>
      </c>
      <c r="C43" s="50">
        <v>44439</v>
      </c>
      <c r="D43" s="51">
        <v>0.93347499563606429</v>
      </c>
      <c r="E43" s="50">
        <v>44439</v>
      </c>
      <c r="F43" s="51">
        <v>1.003352527099471</v>
      </c>
      <c r="G43" s="50">
        <v>44439</v>
      </c>
      <c r="H43" s="51">
        <v>1.0064807115144558</v>
      </c>
      <c r="I43" s="50">
        <v>44439</v>
      </c>
      <c r="J43" s="51">
        <v>0.87846317167170795</v>
      </c>
      <c r="K43" s="50">
        <v>44439</v>
      </c>
      <c r="L43" s="51">
        <v>0.87847076354913156</v>
      </c>
      <c r="M43" s="50">
        <v>44439</v>
      </c>
      <c r="N43" s="51">
        <v>0.81173177523606199</v>
      </c>
      <c r="O43" s="50">
        <v>44439</v>
      </c>
      <c r="P43" s="51">
        <v>0.82999702136199915</v>
      </c>
      <c r="Q43" s="50">
        <v>44439</v>
      </c>
      <c r="R43" s="51">
        <v>0.99982320729204877</v>
      </c>
      <c r="S43" s="50">
        <v>44439</v>
      </c>
      <c r="T43" s="51">
        <v>1.0098948759078501</v>
      </c>
      <c r="U43" s="50">
        <v>44439</v>
      </c>
      <c r="V43" s="51">
        <v>0.9701794121259939</v>
      </c>
      <c r="W43" s="50">
        <v>44439</v>
      </c>
      <c r="X43" s="51">
        <v>0.96736097499122953</v>
      </c>
      <c r="Y43" s="50">
        <v>44439</v>
      </c>
      <c r="Z43" s="51">
        <v>1.0140291944910647</v>
      </c>
      <c r="AA43" s="50">
        <v>44439</v>
      </c>
      <c r="AB43" s="51">
        <v>1.0166815411097863</v>
      </c>
      <c r="AC43" s="50">
        <v>44439</v>
      </c>
      <c r="AD43" s="51">
        <v>0.9435280819902595</v>
      </c>
      <c r="AE43" s="50">
        <v>44439</v>
      </c>
      <c r="AF43" s="51">
        <v>0.94709652552392143</v>
      </c>
    </row>
    <row r="44" spans="1:32" x14ac:dyDescent="0.25">
      <c r="A44" s="50">
        <v>44469</v>
      </c>
      <c r="B44" s="51">
        <v>0.93164784669829848</v>
      </c>
      <c r="C44" s="50">
        <v>44469</v>
      </c>
      <c r="D44" s="51">
        <v>0.93166489218545212</v>
      </c>
      <c r="E44" s="50">
        <v>44469</v>
      </c>
      <c r="F44" s="51">
        <v>1.0032970350648789</v>
      </c>
      <c r="G44" s="50">
        <v>44469</v>
      </c>
      <c r="H44" s="51">
        <v>1.0065287122266933</v>
      </c>
      <c r="I44" s="50">
        <v>44469</v>
      </c>
      <c r="J44" s="51">
        <v>0.87439692321039331</v>
      </c>
      <c r="K44" s="50">
        <v>44469</v>
      </c>
      <c r="L44" s="51">
        <v>0.87440452116330813</v>
      </c>
      <c r="M44" s="50">
        <v>44469</v>
      </c>
      <c r="N44" s="51">
        <v>0.80534467983781055</v>
      </c>
      <c r="O44" s="50">
        <v>44469</v>
      </c>
      <c r="P44" s="51">
        <v>0.82419437473148149</v>
      </c>
      <c r="Q44" s="50">
        <v>44469</v>
      </c>
      <c r="R44" s="51">
        <v>0.99982072304435665</v>
      </c>
      <c r="S44" s="50">
        <v>44469</v>
      </c>
      <c r="T44" s="51">
        <v>1.0103074685096003</v>
      </c>
      <c r="U44" s="50">
        <v>44469</v>
      </c>
      <c r="V44" s="51">
        <v>0.96917948961222355</v>
      </c>
      <c r="W44" s="50">
        <v>44469</v>
      </c>
      <c r="X44" s="51">
        <v>0.9662361339996014</v>
      </c>
      <c r="Y44" s="50">
        <v>44469</v>
      </c>
      <c r="Z44" s="51">
        <v>1.0143050169073116</v>
      </c>
      <c r="AA44" s="50">
        <v>44469</v>
      </c>
      <c r="AB44" s="51">
        <v>1.0170587645021385</v>
      </c>
      <c r="AC44" s="50">
        <v>44469</v>
      </c>
      <c r="AD44" s="51">
        <v>0.94189071516844225</v>
      </c>
      <c r="AE44" s="50">
        <v>44469</v>
      </c>
      <c r="AF44" s="51">
        <v>0.94549708995509729</v>
      </c>
    </row>
    <row r="45" spans="1:32" x14ac:dyDescent="0.25">
      <c r="A45" s="50">
        <v>44500</v>
      </c>
      <c r="B45" s="51">
        <v>0.92977748271232497</v>
      </c>
      <c r="C45" s="50">
        <v>44500</v>
      </c>
      <c r="D45" s="51">
        <v>0.92979445195315291</v>
      </c>
      <c r="E45" s="50">
        <v>44500</v>
      </c>
      <c r="F45" s="51">
        <v>1.0032396932958005</v>
      </c>
      <c r="G45" s="50">
        <v>44500</v>
      </c>
      <c r="H45" s="51">
        <v>1.006578312962672</v>
      </c>
      <c r="I45" s="50">
        <v>44500</v>
      </c>
      <c r="J45" s="51">
        <v>0.87021941822663174</v>
      </c>
      <c r="K45" s="50">
        <v>44500</v>
      </c>
      <c r="L45" s="51">
        <v>0.87022702216741987</v>
      </c>
      <c r="M45" s="50">
        <v>44500</v>
      </c>
      <c r="N45" s="51">
        <v>0.7987446812596174</v>
      </c>
      <c r="O45" s="50">
        <v>44500</v>
      </c>
      <c r="P45" s="51">
        <v>0.81819830654661319</v>
      </c>
      <c r="Q45" s="50">
        <v>44500</v>
      </c>
      <c r="R45" s="51">
        <v>0.99981815598840806</v>
      </c>
      <c r="S45" s="50">
        <v>44500</v>
      </c>
      <c r="T45" s="51">
        <v>1.0107338141980753</v>
      </c>
      <c r="U45" s="50">
        <v>44500</v>
      </c>
      <c r="V45" s="51">
        <v>0.96814623634799435</v>
      </c>
      <c r="W45" s="50">
        <v>44500</v>
      </c>
      <c r="X45" s="51">
        <v>0.96507379830825235</v>
      </c>
      <c r="Y45" s="50">
        <v>44500</v>
      </c>
      <c r="Z45" s="51">
        <v>1.0145900334041003</v>
      </c>
      <c r="AA45" s="50">
        <v>44500</v>
      </c>
      <c r="AB45" s="51">
        <v>1.0174485620075691</v>
      </c>
      <c r="AC45" s="50">
        <v>44500</v>
      </c>
      <c r="AD45" s="51">
        <v>0.94019876945256431</v>
      </c>
      <c r="AE45" s="50">
        <v>44500</v>
      </c>
      <c r="AF45" s="51">
        <v>0.9438443398673122</v>
      </c>
    </row>
    <row r="46" spans="1:32" x14ac:dyDescent="0.25">
      <c r="A46" s="50">
        <v>44530</v>
      </c>
      <c r="B46" s="51">
        <v>0.92796745304847961</v>
      </c>
      <c r="C46" s="50">
        <v>44530</v>
      </c>
      <c r="D46" s="51">
        <v>0.92798434850254075</v>
      </c>
      <c r="E46" s="50">
        <v>44530</v>
      </c>
      <c r="F46" s="51">
        <v>1.0031842012612087</v>
      </c>
      <c r="G46" s="50">
        <v>44530</v>
      </c>
      <c r="H46" s="51">
        <v>1.0066263136749094</v>
      </c>
      <c r="I46" s="50">
        <v>44530</v>
      </c>
      <c r="J46" s="51">
        <v>0.86617745485824715</v>
      </c>
      <c r="K46" s="50">
        <v>44530</v>
      </c>
      <c r="L46" s="51">
        <v>0.86618506458439237</v>
      </c>
      <c r="M46" s="50">
        <v>44530</v>
      </c>
      <c r="N46" s="51">
        <v>0.79235758586136595</v>
      </c>
      <c r="O46" s="50">
        <v>44530</v>
      </c>
      <c r="P46" s="51">
        <v>0.81239565991609564</v>
      </c>
      <c r="Q46" s="50">
        <v>44530</v>
      </c>
      <c r="R46" s="51">
        <v>0.99981567174071584</v>
      </c>
      <c r="S46" s="50">
        <v>44530</v>
      </c>
      <c r="T46" s="51">
        <v>1.0111464067998255</v>
      </c>
      <c r="U46" s="50">
        <v>44530</v>
      </c>
      <c r="V46" s="51">
        <v>0.967146313834224</v>
      </c>
      <c r="W46" s="50">
        <v>44530</v>
      </c>
      <c r="X46" s="51">
        <v>0.96394895731662433</v>
      </c>
      <c r="Y46" s="50">
        <v>44530</v>
      </c>
      <c r="Z46" s="51">
        <v>1.0148658558203472</v>
      </c>
      <c r="AA46" s="50">
        <v>44530</v>
      </c>
      <c r="AB46" s="51">
        <v>1.0178257853999211</v>
      </c>
      <c r="AC46" s="50">
        <v>44530</v>
      </c>
      <c r="AD46" s="51">
        <v>0.93856140263074705</v>
      </c>
      <c r="AE46" s="50">
        <v>44530</v>
      </c>
      <c r="AF46" s="51">
        <v>0.94224490429848806</v>
      </c>
    </row>
    <row r="47" spans="1:32" x14ac:dyDescent="0.25">
      <c r="A47" s="50">
        <v>44561</v>
      </c>
      <c r="B47" s="51">
        <v>0.9260970890625061</v>
      </c>
      <c r="C47" s="50">
        <v>44561</v>
      </c>
      <c r="D47" s="51">
        <v>0.92611390827024143</v>
      </c>
      <c r="E47" s="50">
        <v>44561</v>
      </c>
      <c r="F47" s="51">
        <v>1.0031268594921303</v>
      </c>
      <c r="G47" s="50">
        <v>44561</v>
      </c>
      <c r="H47" s="51">
        <v>1.0066759144108881</v>
      </c>
      <c r="I47" s="50">
        <v>44561</v>
      </c>
      <c r="J47" s="51">
        <v>0.86200075937758314</v>
      </c>
      <c r="K47" s="50">
        <v>44561</v>
      </c>
      <c r="L47" s="51">
        <v>0.86200837508193062</v>
      </c>
      <c r="M47" s="50">
        <v>44561</v>
      </c>
      <c r="N47" s="51">
        <v>0.7857575872831728</v>
      </c>
      <c r="O47" s="50">
        <v>44561</v>
      </c>
      <c r="P47" s="51">
        <v>0.80639959173122744</v>
      </c>
      <c r="Q47" s="50">
        <v>44561</v>
      </c>
      <c r="R47" s="51">
        <v>0.99981310468476725</v>
      </c>
      <c r="S47" s="50">
        <v>44561</v>
      </c>
      <c r="T47" s="51">
        <v>1.0115727524883005</v>
      </c>
      <c r="U47" s="50">
        <v>44561</v>
      </c>
      <c r="V47" s="51">
        <v>0.96611306056999469</v>
      </c>
      <c r="W47" s="50">
        <v>44561</v>
      </c>
      <c r="X47" s="51">
        <v>0.96278662162527529</v>
      </c>
      <c r="Y47" s="50">
        <v>44561</v>
      </c>
      <c r="Z47" s="51">
        <v>1.0151508723171359</v>
      </c>
      <c r="AA47" s="50">
        <v>44561</v>
      </c>
      <c r="AB47" s="51">
        <v>1.0182155829053516</v>
      </c>
      <c r="AC47" s="50">
        <v>44561</v>
      </c>
      <c r="AD47" s="51">
        <v>0.93686945691486911</v>
      </c>
      <c r="AE47" s="50">
        <v>44561</v>
      </c>
      <c r="AF47" s="51">
        <v>0.94059215421070308</v>
      </c>
    </row>
    <row r="48" spans="1:32" x14ac:dyDescent="0.25">
      <c r="A48" s="50">
        <v>44592</v>
      </c>
      <c r="B48" s="51">
        <v>0.92414411045317546</v>
      </c>
      <c r="C48" s="50">
        <v>44592</v>
      </c>
      <c r="D48" s="51">
        <v>0.92416087925114521</v>
      </c>
      <c r="E48" s="50">
        <v>44592</v>
      </c>
      <c r="F48" s="51">
        <v>1.0028193803016701</v>
      </c>
      <c r="G48" s="50">
        <v>44592</v>
      </c>
      <c r="H48" s="51">
        <v>1.0064764112871381</v>
      </c>
      <c r="I48" s="50">
        <v>44592</v>
      </c>
      <c r="J48" s="51">
        <v>0.85776004524857918</v>
      </c>
      <c r="K48" s="50">
        <v>44592</v>
      </c>
      <c r="L48" s="51">
        <v>0.85776765999611781</v>
      </c>
      <c r="M48" s="50">
        <v>44592</v>
      </c>
      <c r="N48" s="51">
        <v>0.77954734653877233</v>
      </c>
      <c r="O48" s="50">
        <v>44592</v>
      </c>
      <c r="P48" s="51">
        <v>0.80075026243514646</v>
      </c>
      <c r="Q48" s="50">
        <v>44592</v>
      </c>
      <c r="R48" s="51">
        <v>0.99978984997561904</v>
      </c>
      <c r="S48" s="50">
        <v>44592</v>
      </c>
      <c r="T48" s="51">
        <v>1.0120174173934984</v>
      </c>
      <c r="U48" s="50">
        <v>44592</v>
      </c>
      <c r="V48" s="51">
        <v>0.96502125670135097</v>
      </c>
      <c r="W48" s="50">
        <v>44592</v>
      </c>
      <c r="X48" s="51">
        <v>0.96154970933629935</v>
      </c>
      <c r="Y48" s="50">
        <v>44592</v>
      </c>
      <c r="Z48" s="51">
        <v>1.0152566509373344</v>
      </c>
      <c r="AA48" s="50">
        <v>44592</v>
      </c>
      <c r="AB48" s="51">
        <v>1.0184430855368982</v>
      </c>
      <c r="AC48" s="50">
        <v>44592</v>
      </c>
      <c r="AD48" s="51">
        <v>0.93509316336988668</v>
      </c>
      <c r="AE48" s="50">
        <v>44592</v>
      </c>
      <c r="AF48" s="51">
        <v>0.93883470318064743</v>
      </c>
    </row>
    <row r="49" spans="1:32" x14ac:dyDescent="0.25">
      <c r="A49" s="50">
        <v>44620</v>
      </c>
      <c r="B49" s="51">
        <v>0.92237764245178644</v>
      </c>
      <c r="C49" s="50">
        <v>44620</v>
      </c>
      <c r="D49" s="51">
        <v>0.92239436649622986</v>
      </c>
      <c r="E49" s="50">
        <v>44620</v>
      </c>
      <c r="F49" s="51">
        <v>1.0025341261427612</v>
      </c>
      <c r="G49" s="50">
        <v>44620</v>
      </c>
      <c r="H49" s="51">
        <v>1.0062887150161461</v>
      </c>
      <c r="I49" s="50">
        <v>44620</v>
      </c>
      <c r="J49" s="51">
        <v>0.85392779536630292</v>
      </c>
      <c r="K49" s="50">
        <v>44620</v>
      </c>
      <c r="L49" s="51">
        <v>0.85393540904083109</v>
      </c>
      <c r="M49" s="50">
        <v>44620</v>
      </c>
      <c r="N49" s="51">
        <v>0.77394983147861096</v>
      </c>
      <c r="O49" s="50">
        <v>44620</v>
      </c>
      <c r="P49" s="51">
        <v>0.79565808187619813</v>
      </c>
      <c r="Q49" s="50">
        <v>44620</v>
      </c>
      <c r="R49" s="51">
        <v>0.99976822286812006</v>
      </c>
      <c r="S49" s="50">
        <v>44620</v>
      </c>
      <c r="T49" s="51">
        <v>1.0124196017574063</v>
      </c>
      <c r="U49" s="50">
        <v>44620</v>
      </c>
      <c r="V49" s="51">
        <v>0.96403334845771194</v>
      </c>
      <c r="W49" s="50">
        <v>44620</v>
      </c>
      <c r="X49" s="51">
        <v>0.96043025291966133</v>
      </c>
      <c r="Y49" s="50">
        <v>44620</v>
      </c>
      <c r="Z49" s="51">
        <v>1.015346796507681</v>
      </c>
      <c r="AA49" s="50">
        <v>44620</v>
      </c>
      <c r="AB49" s="51">
        <v>1.0186436854874685</v>
      </c>
      <c r="AC49" s="50">
        <v>44620</v>
      </c>
      <c r="AD49" s="51">
        <v>0.93348622969569306</v>
      </c>
      <c r="AE49" s="50">
        <v>44620</v>
      </c>
      <c r="AF49" s="51">
        <v>0.93724417577029229</v>
      </c>
    </row>
    <row r="50" spans="1:32" x14ac:dyDescent="0.25">
      <c r="A50" s="50">
        <v>44651</v>
      </c>
      <c r="B50" s="51">
        <v>0.92042191002167717</v>
      </c>
      <c r="C50" s="50">
        <v>44651</v>
      </c>
      <c r="D50" s="51">
        <v>0.92043858451757365</v>
      </c>
      <c r="E50" s="50">
        <v>44651</v>
      </c>
      <c r="F50" s="51">
        <v>1.0022183090382548</v>
      </c>
      <c r="G50" s="50">
        <v>44651</v>
      </c>
      <c r="H50" s="51">
        <v>1.006080908430405</v>
      </c>
      <c r="I50" s="50">
        <v>44651</v>
      </c>
      <c r="J50" s="51">
        <v>0.84968494728235433</v>
      </c>
      <c r="K50" s="50">
        <v>44651</v>
      </c>
      <c r="L50" s="51">
        <v>0.84969255976890656</v>
      </c>
      <c r="M50" s="50">
        <v>44651</v>
      </c>
      <c r="N50" s="51">
        <v>0.76775258266200364</v>
      </c>
      <c r="O50" s="50">
        <v>44651</v>
      </c>
      <c r="P50" s="51">
        <v>0.79002031054307686</v>
      </c>
      <c r="Q50" s="50">
        <v>44651</v>
      </c>
      <c r="R50" s="51">
        <v>0.99974427857053183</v>
      </c>
      <c r="S50" s="50">
        <v>44651</v>
      </c>
      <c r="T50" s="51">
        <v>1.0128648773031614</v>
      </c>
      <c r="U50" s="50">
        <v>44651</v>
      </c>
      <c r="V50" s="51">
        <v>0.96293959290225439</v>
      </c>
      <c r="W50" s="50">
        <v>44651</v>
      </c>
      <c r="X50" s="51">
        <v>0.95919085474409782</v>
      </c>
      <c r="Y50" s="50">
        <v>44651</v>
      </c>
      <c r="Z50" s="51">
        <v>1.0154466005319933</v>
      </c>
      <c r="AA50" s="50">
        <v>44651</v>
      </c>
      <c r="AB50" s="51">
        <v>1.0188657782898858</v>
      </c>
      <c r="AC50" s="50">
        <v>44651</v>
      </c>
      <c r="AD50" s="51">
        <v>0.93170712455640714</v>
      </c>
      <c r="AE50" s="50">
        <v>44651</v>
      </c>
      <c r="AF50" s="51">
        <v>0.93548323470882766</v>
      </c>
    </row>
    <row r="51" spans="1:32" x14ac:dyDescent="0.25">
      <c r="A51" s="50">
        <v>44681</v>
      </c>
      <c r="B51" s="51">
        <v>0.91852926573447469</v>
      </c>
      <c r="C51" s="50">
        <v>44681</v>
      </c>
      <c r="D51" s="51">
        <v>0.91854589228016448</v>
      </c>
      <c r="E51" s="50">
        <v>44681</v>
      </c>
      <c r="F51" s="51">
        <v>1.001912679582281</v>
      </c>
      <c r="G51" s="50">
        <v>44681</v>
      </c>
      <c r="H51" s="51">
        <v>1.0058798052829137</v>
      </c>
      <c r="I51" s="50">
        <v>44681</v>
      </c>
      <c r="J51" s="51">
        <v>0.84554833391215167</v>
      </c>
      <c r="K51" s="50">
        <v>44681</v>
      </c>
      <c r="L51" s="51">
        <v>0.84555594453824823</v>
      </c>
      <c r="M51" s="50">
        <v>44681</v>
      </c>
      <c r="N51" s="51">
        <v>0.76175524509754489</v>
      </c>
      <c r="O51" s="50">
        <v>44681</v>
      </c>
      <c r="P51" s="51">
        <v>0.78456440280134654</v>
      </c>
      <c r="Q51" s="50">
        <v>44681</v>
      </c>
      <c r="R51" s="51">
        <v>0.99972110666963998</v>
      </c>
      <c r="S51" s="50">
        <v>44681</v>
      </c>
      <c r="T51" s="51">
        <v>1.0132957891216343</v>
      </c>
      <c r="U51" s="50">
        <v>44681</v>
      </c>
      <c r="V51" s="51">
        <v>0.96188111978406965</v>
      </c>
      <c r="W51" s="50">
        <v>44681</v>
      </c>
      <c r="X51" s="51">
        <v>0.95799143715484281</v>
      </c>
      <c r="Y51" s="50">
        <v>44681</v>
      </c>
      <c r="Z51" s="51">
        <v>1.0155431850716503</v>
      </c>
      <c r="AA51" s="50">
        <v>44681</v>
      </c>
      <c r="AB51" s="51">
        <v>1.0190807068083541</v>
      </c>
      <c r="AC51" s="50">
        <v>44681</v>
      </c>
      <c r="AD51" s="51">
        <v>0.92998540990548528</v>
      </c>
      <c r="AE51" s="50">
        <v>44681</v>
      </c>
      <c r="AF51" s="51">
        <v>0.93377909819773286</v>
      </c>
    </row>
    <row r="52" spans="1:32" x14ac:dyDescent="0.25">
      <c r="A52" s="50">
        <v>44712</v>
      </c>
      <c r="B52" s="51">
        <v>0.91657353330436542</v>
      </c>
      <c r="C52" s="50">
        <v>44712</v>
      </c>
      <c r="D52" s="51">
        <v>0.91659011030150828</v>
      </c>
      <c r="E52" s="50">
        <v>44712</v>
      </c>
      <c r="F52" s="51">
        <v>1.0015968624777747</v>
      </c>
      <c r="G52" s="50">
        <v>44712</v>
      </c>
      <c r="H52" s="51">
        <v>1.0056719986971727</v>
      </c>
      <c r="I52" s="50">
        <v>44712</v>
      </c>
      <c r="J52" s="51">
        <v>0.8412727419675885</v>
      </c>
      <c r="K52" s="50">
        <v>44712</v>
      </c>
      <c r="L52" s="51">
        <v>0.8412803506458868</v>
      </c>
      <c r="M52" s="50">
        <v>44712</v>
      </c>
      <c r="N52" s="51">
        <v>0.75555799628093756</v>
      </c>
      <c r="O52" s="50">
        <v>44712</v>
      </c>
      <c r="P52" s="51">
        <v>0.77892663146822527</v>
      </c>
      <c r="Q52" s="50">
        <v>44712</v>
      </c>
      <c r="R52" s="51">
        <v>0.99969716237205175</v>
      </c>
      <c r="S52" s="50">
        <v>44712</v>
      </c>
      <c r="T52" s="51">
        <v>1.0137410646673897</v>
      </c>
      <c r="U52" s="50">
        <v>44712</v>
      </c>
      <c r="V52" s="51">
        <v>0.96078736422861211</v>
      </c>
      <c r="W52" s="50">
        <v>44712</v>
      </c>
      <c r="X52" s="51">
        <v>0.9567520389792793</v>
      </c>
      <c r="Y52" s="50">
        <v>44712</v>
      </c>
      <c r="Z52" s="51">
        <v>1.0156429890959626</v>
      </c>
      <c r="AA52" s="50">
        <v>44712</v>
      </c>
      <c r="AB52" s="51">
        <v>1.0193027996107713</v>
      </c>
      <c r="AC52" s="50">
        <v>44712</v>
      </c>
      <c r="AD52" s="51">
        <v>0.92820630476619947</v>
      </c>
      <c r="AE52" s="50">
        <v>44712</v>
      </c>
      <c r="AF52" s="51">
        <v>0.93201815713626823</v>
      </c>
    </row>
    <row r="53" spans="1:32" x14ac:dyDescent="0.25">
      <c r="A53" s="50">
        <v>44742</v>
      </c>
      <c r="B53" s="51">
        <v>0.91468088901716293</v>
      </c>
      <c r="C53" s="50">
        <v>44742</v>
      </c>
      <c r="D53" s="51">
        <v>0.9146974180640991</v>
      </c>
      <c r="E53" s="50">
        <v>44742</v>
      </c>
      <c r="F53" s="51">
        <v>1.0012912330218009</v>
      </c>
      <c r="G53" s="50">
        <v>44742</v>
      </c>
      <c r="H53" s="51">
        <v>1.0054708955496814</v>
      </c>
      <c r="I53" s="50">
        <v>44742</v>
      </c>
      <c r="J53" s="51">
        <v>0.83713507234381768</v>
      </c>
      <c r="K53" s="50">
        <v>44742</v>
      </c>
      <c r="L53" s="51">
        <v>0.8371426791371499</v>
      </c>
      <c r="M53" s="50">
        <v>44742</v>
      </c>
      <c r="N53" s="51">
        <v>0.74956065871647892</v>
      </c>
      <c r="O53" s="50">
        <v>44742</v>
      </c>
      <c r="P53" s="51">
        <v>0.77347072372649495</v>
      </c>
      <c r="Q53" s="50">
        <v>44742</v>
      </c>
      <c r="R53" s="51">
        <v>0.9996739904711599</v>
      </c>
      <c r="S53" s="50">
        <v>44742</v>
      </c>
      <c r="T53" s="51">
        <v>1.0141719764858623</v>
      </c>
      <c r="U53" s="50">
        <v>44742</v>
      </c>
      <c r="V53" s="51">
        <v>0.95972889111042736</v>
      </c>
      <c r="W53" s="50">
        <v>44742</v>
      </c>
      <c r="X53" s="51">
        <v>0.95555262139002428</v>
      </c>
      <c r="Y53" s="50">
        <v>44742</v>
      </c>
      <c r="Z53" s="51">
        <v>1.0157395736356196</v>
      </c>
      <c r="AA53" s="50">
        <v>44742</v>
      </c>
      <c r="AB53" s="51">
        <v>1.0195177281292394</v>
      </c>
      <c r="AC53" s="50">
        <v>44742</v>
      </c>
      <c r="AD53" s="51">
        <v>0.92648459011527762</v>
      </c>
      <c r="AE53" s="50">
        <v>44742</v>
      </c>
      <c r="AF53" s="51">
        <v>0.93031402062517343</v>
      </c>
    </row>
    <row r="54" spans="1:32" x14ac:dyDescent="0.25">
      <c r="A54" s="50">
        <v>44773</v>
      </c>
      <c r="B54" s="51">
        <v>0.91279810186296906</v>
      </c>
      <c r="C54" s="50">
        <v>44773</v>
      </c>
      <c r="D54" s="51">
        <v>0.91281458285319927</v>
      </c>
      <c r="E54" s="50">
        <v>44773</v>
      </c>
      <c r="F54" s="51">
        <v>1.0009754159172946</v>
      </c>
      <c r="G54" s="50">
        <v>44773</v>
      </c>
      <c r="H54" s="51">
        <v>1.0052630889639402</v>
      </c>
      <c r="I54" s="50">
        <v>44773</v>
      </c>
      <c r="J54" s="51">
        <v>0.83286717359001361</v>
      </c>
      <c r="K54" s="50">
        <v>44773</v>
      </c>
      <c r="L54" s="51">
        <v>0.83287477804774313</v>
      </c>
      <c r="M54" s="50">
        <v>44773</v>
      </c>
      <c r="N54" s="51">
        <v>0.7433634098998716</v>
      </c>
      <c r="O54" s="50">
        <v>44773</v>
      </c>
      <c r="P54" s="51">
        <v>0.76783295239337357</v>
      </c>
      <c r="Q54" s="50">
        <v>44773</v>
      </c>
      <c r="R54" s="51">
        <v>0.99964516851677332</v>
      </c>
      <c r="S54" s="50">
        <v>44773</v>
      </c>
      <c r="T54" s="51">
        <v>1.0146373531735184</v>
      </c>
      <c r="U54" s="50">
        <v>44773</v>
      </c>
      <c r="V54" s="51">
        <v>0.95863478156790016</v>
      </c>
      <c r="W54" s="50">
        <v>44773</v>
      </c>
      <c r="X54" s="51">
        <v>0.95430312971577302</v>
      </c>
      <c r="Y54" s="50">
        <v>44773</v>
      </c>
      <c r="Z54" s="51">
        <v>1.0158393776599319</v>
      </c>
      <c r="AA54" s="50">
        <v>44773</v>
      </c>
      <c r="AB54" s="51">
        <v>1.0197398209316566</v>
      </c>
      <c r="AC54" s="50">
        <v>44773</v>
      </c>
      <c r="AD54" s="51">
        <v>0.92477204404189817</v>
      </c>
      <c r="AE54" s="50">
        <v>44773</v>
      </c>
      <c r="AF54" s="51">
        <v>0.9285940917729929</v>
      </c>
    </row>
    <row r="55" spans="1:32" x14ac:dyDescent="0.25">
      <c r="A55" s="50">
        <v>44804</v>
      </c>
      <c r="B55" s="51">
        <v>0.91091774621797239</v>
      </c>
      <c r="C55" s="50">
        <v>44804</v>
      </c>
      <c r="D55" s="51">
        <v>0.91093417920122466</v>
      </c>
      <c r="E55" s="50">
        <v>44804</v>
      </c>
      <c r="F55" s="51">
        <v>1.0006595988127884</v>
      </c>
      <c r="G55" s="50">
        <v>44804</v>
      </c>
      <c r="H55" s="51">
        <v>1.0050552823781993</v>
      </c>
      <c r="I55" s="50">
        <v>44804</v>
      </c>
      <c r="J55" s="51">
        <v>0.82859953127590147</v>
      </c>
      <c r="K55" s="50">
        <v>44804</v>
      </c>
      <c r="L55" s="51">
        <v>0.8286071333851015</v>
      </c>
      <c r="M55" s="50">
        <v>44804</v>
      </c>
      <c r="N55" s="51">
        <v>0.73716616108326427</v>
      </c>
      <c r="O55" s="50">
        <v>44804</v>
      </c>
      <c r="P55" s="51">
        <v>0.7621951810602523</v>
      </c>
      <c r="Q55" s="50">
        <v>44804</v>
      </c>
      <c r="R55" s="51">
        <v>0.99961618397382668</v>
      </c>
      <c r="S55" s="50">
        <v>44804</v>
      </c>
      <c r="T55" s="51">
        <v>1.015103399899238</v>
      </c>
      <c r="U55" s="50">
        <v>44804</v>
      </c>
      <c r="V55" s="51">
        <v>0.95754066022580386</v>
      </c>
      <c r="W55" s="50">
        <v>44804</v>
      </c>
      <c r="X55" s="51">
        <v>0.95305330159156554</v>
      </c>
      <c r="Y55" s="50">
        <v>44804</v>
      </c>
      <c r="Z55" s="51">
        <v>1.015939181684244</v>
      </c>
      <c r="AA55" s="50">
        <v>44804</v>
      </c>
      <c r="AB55" s="51">
        <v>1.0199619137340739</v>
      </c>
      <c r="AC55" s="50">
        <v>44804</v>
      </c>
      <c r="AD55" s="51">
        <v>0.92306171660404901</v>
      </c>
      <c r="AE55" s="50">
        <v>44804</v>
      </c>
      <c r="AF55" s="51">
        <v>0.92687552999445511</v>
      </c>
    </row>
    <row r="56" spans="1:32" x14ac:dyDescent="0.25">
      <c r="A56" s="50">
        <v>44834</v>
      </c>
      <c r="B56" s="51">
        <v>0.9090980472066853</v>
      </c>
      <c r="C56" s="50">
        <v>44834</v>
      </c>
      <c r="D56" s="51">
        <v>0.90911443373157186</v>
      </c>
      <c r="E56" s="50">
        <v>44834</v>
      </c>
      <c r="F56" s="51">
        <v>1.0003539693568146</v>
      </c>
      <c r="G56" s="50">
        <v>44834</v>
      </c>
      <c r="H56" s="51">
        <v>1.004854179230708</v>
      </c>
      <c r="I56" s="50">
        <v>44834</v>
      </c>
      <c r="J56" s="51">
        <v>0.82446955484288975</v>
      </c>
      <c r="K56" s="50">
        <v>44834</v>
      </c>
      <c r="L56" s="51">
        <v>0.82447715467931926</v>
      </c>
      <c r="M56" s="50">
        <v>44834</v>
      </c>
      <c r="N56" s="51">
        <v>0.73116882351880552</v>
      </c>
      <c r="O56" s="50">
        <v>44834</v>
      </c>
      <c r="P56" s="51">
        <v>0.75673927331852198</v>
      </c>
      <c r="Q56" s="50">
        <v>44834</v>
      </c>
      <c r="R56" s="51">
        <v>0.99958813441613648</v>
      </c>
      <c r="S56" s="50">
        <v>44834</v>
      </c>
      <c r="T56" s="51">
        <v>1.0155544128596119</v>
      </c>
      <c r="U56" s="50">
        <v>44834</v>
      </c>
      <c r="V56" s="51">
        <v>0.95648183312054946</v>
      </c>
      <c r="W56" s="50">
        <v>44834</v>
      </c>
      <c r="X56" s="51">
        <v>0.95184379050362289</v>
      </c>
      <c r="Y56" s="50">
        <v>44834</v>
      </c>
      <c r="Z56" s="51">
        <v>1.0160357662239012</v>
      </c>
      <c r="AA56" s="50">
        <v>44834</v>
      </c>
      <c r="AB56" s="51">
        <v>1.0201768422525421</v>
      </c>
      <c r="AC56" s="50">
        <v>44834</v>
      </c>
      <c r="AD56" s="51">
        <v>0.92140656101903362</v>
      </c>
      <c r="AE56" s="50">
        <v>44834</v>
      </c>
      <c r="AF56" s="51">
        <v>0.9252124056926444</v>
      </c>
    </row>
    <row r="57" spans="1:32" x14ac:dyDescent="0.25">
      <c r="A57" s="50">
        <v>44865</v>
      </c>
      <c r="B57" s="51">
        <v>0.90721769156168874</v>
      </c>
      <c r="C57" s="50">
        <v>44865</v>
      </c>
      <c r="D57" s="51">
        <v>0.90723403007959724</v>
      </c>
      <c r="E57" s="50">
        <v>44865</v>
      </c>
      <c r="F57" s="51">
        <v>1.0000381522523083</v>
      </c>
      <c r="G57" s="50">
        <v>44865</v>
      </c>
      <c r="H57" s="51">
        <v>1.0046463726449668</v>
      </c>
      <c r="I57" s="50">
        <v>44865</v>
      </c>
      <c r="J57" s="51">
        <v>0.8202480377354654</v>
      </c>
      <c r="K57" s="50">
        <v>44865</v>
      </c>
      <c r="L57" s="51">
        <v>0.82025563519437961</v>
      </c>
      <c r="M57" s="50">
        <v>44865</v>
      </c>
      <c r="N57" s="51">
        <v>0.7249715747021982</v>
      </c>
      <c r="O57" s="50">
        <v>44865</v>
      </c>
      <c r="P57" s="51">
        <v>0.7511015019854006</v>
      </c>
      <c r="Q57" s="50">
        <v>44865</v>
      </c>
      <c r="R57" s="51">
        <v>0.99955914987318994</v>
      </c>
      <c r="S57" s="50">
        <v>44865</v>
      </c>
      <c r="T57" s="51">
        <v>1.0160204595853313</v>
      </c>
      <c r="U57" s="50">
        <v>44865</v>
      </c>
      <c r="V57" s="51">
        <v>0.95538771177845327</v>
      </c>
      <c r="W57" s="50">
        <v>44865</v>
      </c>
      <c r="X57" s="51">
        <v>0.9505939623794154</v>
      </c>
      <c r="Y57" s="50">
        <v>44865</v>
      </c>
      <c r="Z57" s="51">
        <v>1.0161355702482133</v>
      </c>
      <c r="AA57" s="50">
        <v>44865</v>
      </c>
      <c r="AB57" s="51">
        <v>1.0203989350549594</v>
      </c>
      <c r="AC57" s="50">
        <v>44865</v>
      </c>
      <c r="AD57" s="51">
        <v>0.91969623358118446</v>
      </c>
      <c r="AE57" s="50">
        <v>44865</v>
      </c>
      <c r="AF57" s="51">
        <v>0.92349384391410672</v>
      </c>
    </row>
    <row r="58" spans="1:32" x14ac:dyDescent="0.25">
      <c r="A58" s="50">
        <v>44895</v>
      </c>
      <c r="B58" s="51">
        <v>0.90539799255040165</v>
      </c>
      <c r="C58" s="50">
        <v>44895</v>
      </c>
      <c r="D58" s="51">
        <v>0.90541428460994444</v>
      </c>
      <c r="E58" s="50">
        <v>44895</v>
      </c>
      <c r="F58" s="51">
        <v>0.99973252279633451</v>
      </c>
      <c r="G58" s="50">
        <v>44895</v>
      </c>
      <c r="H58" s="51">
        <v>1.0044452694974755</v>
      </c>
      <c r="I58" s="50">
        <v>44895</v>
      </c>
      <c r="J58" s="51">
        <v>0.81616418650914158</v>
      </c>
      <c r="K58" s="50">
        <v>44895</v>
      </c>
      <c r="L58" s="51">
        <v>0.81617178166629922</v>
      </c>
      <c r="M58" s="50">
        <v>44895</v>
      </c>
      <c r="N58" s="51">
        <v>0.71897423713773945</v>
      </c>
      <c r="O58" s="50">
        <v>44895</v>
      </c>
      <c r="P58" s="51">
        <v>0.74564559424367027</v>
      </c>
      <c r="Q58" s="50">
        <v>44895</v>
      </c>
      <c r="R58" s="51">
        <v>0.99953110031549963</v>
      </c>
      <c r="S58" s="50">
        <v>44895</v>
      </c>
      <c r="T58" s="51">
        <v>1.0164714725457051</v>
      </c>
      <c r="U58" s="50">
        <v>44895</v>
      </c>
      <c r="V58" s="51">
        <v>0.95432888467319887</v>
      </c>
      <c r="W58" s="50">
        <v>44895</v>
      </c>
      <c r="X58" s="51">
        <v>0.94938445129147264</v>
      </c>
      <c r="Y58" s="50">
        <v>44895</v>
      </c>
      <c r="Z58" s="51">
        <v>1.0162321547878705</v>
      </c>
      <c r="AA58" s="50">
        <v>44895</v>
      </c>
      <c r="AB58" s="51">
        <v>1.0206138635734274</v>
      </c>
      <c r="AC58" s="50">
        <v>44895</v>
      </c>
      <c r="AD58" s="51">
        <v>0.91804107799616907</v>
      </c>
      <c r="AE58" s="50">
        <v>44895</v>
      </c>
      <c r="AF58" s="51">
        <v>0.92183071961229601</v>
      </c>
    </row>
    <row r="59" spans="1:32" x14ac:dyDescent="0.25">
      <c r="A59" s="50">
        <v>44926</v>
      </c>
      <c r="B59" s="51">
        <v>0.90351763690540499</v>
      </c>
      <c r="C59" s="50">
        <v>44926</v>
      </c>
      <c r="D59" s="51">
        <v>0.90353388095796994</v>
      </c>
      <c r="E59" s="50">
        <v>44926</v>
      </c>
      <c r="F59" s="51">
        <v>0.99941670569182817</v>
      </c>
      <c r="G59" s="50">
        <v>44926</v>
      </c>
      <c r="H59" s="51">
        <v>1.0042374629117345</v>
      </c>
      <c r="I59" s="50">
        <v>44926</v>
      </c>
      <c r="J59" s="51">
        <v>0.81194420690860691</v>
      </c>
      <c r="K59" s="50">
        <v>44926</v>
      </c>
      <c r="L59" s="51">
        <v>0.81195179968728293</v>
      </c>
      <c r="M59" s="50">
        <v>44926</v>
      </c>
      <c r="N59" s="51">
        <v>0.71277698832113212</v>
      </c>
      <c r="O59" s="50">
        <v>44926</v>
      </c>
      <c r="P59" s="51">
        <v>0.74000782291054901</v>
      </c>
      <c r="Q59" s="50">
        <v>44926</v>
      </c>
      <c r="R59" s="51">
        <v>0.9995021157725531</v>
      </c>
      <c r="S59" s="50">
        <v>44926</v>
      </c>
      <c r="T59" s="51">
        <v>1.0169375192714247</v>
      </c>
      <c r="U59" s="50">
        <v>44926</v>
      </c>
      <c r="V59" s="51">
        <v>0.95323476333110257</v>
      </c>
      <c r="W59" s="50">
        <v>44926</v>
      </c>
      <c r="X59" s="51">
        <v>0.94813462316726516</v>
      </c>
      <c r="Y59" s="50">
        <v>44926</v>
      </c>
      <c r="Z59" s="51">
        <v>1.0163319588121826</v>
      </c>
      <c r="AA59" s="50">
        <v>44926</v>
      </c>
      <c r="AB59" s="51">
        <v>1.0208359563758447</v>
      </c>
      <c r="AC59" s="50">
        <v>44926</v>
      </c>
      <c r="AD59" s="51">
        <v>0.91633075055831992</v>
      </c>
      <c r="AE59" s="50">
        <v>44926</v>
      </c>
      <c r="AF59" s="51">
        <v>0.92011215783375822</v>
      </c>
    </row>
    <row r="60" spans="1:32" x14ac:dyDescent="0.25">
      <c r="A60" s="50">
        <v>44957</v>
      </c>
      <c r="B60" s="51">
        <v>0.90156801980546286</v>
      </c>
      <c r="C60" s="50">
        <v>44957</v>
      </c>
      <c r="D60" s="51">
        <v>0.90158422789323001</v>
      </c>
      <c r="E60" s="50">
        <v>44957</v>
      </c>
      <c r="F60" s="51">
        <v>0.99885332994837472</v>
      </c>
      <c r="G60" s="50">
        <v>44957</v>
      </c>
      <c r="H60" s="51">
        <v>1.0037921404936228</v>
      </c>
      <c r="I60" s="50">
        <v>44957</v>
      </c>
      <c r="J60" s="51">
        <v>0.80761632849070286</v>
      </c>
      <c r="K60" s="50">
        <v>44957</v>
      </c>
      <c r="L60" s="51">
        <v>0.80762391594016192</v>
      </c>
      <c r="M60" s="50">
        <v>44957</v>
      </c>
      <c r="N60" s="51">
        <v>0.70699931730394494</v>
      </c>
      <c r="O60" s="50">
        <v>44957</v>
      </c>
      <c r="P60" s="51">
        <v>0.73471794643165667</v>
      </c>
      <c r="Q60" s="50">
        <v>44957</v>
      </c>
      <c r="R60" s="51">
        <v>0.99944919888828321</v>
      </c>
      <c r="S60" s="50">
        <v>44957</v>
      </c>
      <c r="T60" s="51">
        <v>1.017390434881198</v>
      </c>
      <c r="U60" s="50">
        <v>44957</v>
      </c>
      <c r="V60" s="51">
        <v>0.95213599093870449</v>
      </c>
      <c r="W60" s="50">
        <v>44957</v>
      </c>
      <c r="X60" s="51">
        <v>0.94685085942078961</v>
      </c>
      <c r="Y60" s="50">
        <v>44957</v>
      </c>
      <c r="Z60" s="51">
        <v>1.0162627406791525</v>
      </c>
      <c r="AA60" s="50">
        <v>44957</v>
      </c>
      <c r="AB60" s="51">
        <v>1.0209580101379847</v>
      </c>
      <c r="AC60" s="50">
        <v>44957</v>
      </c>
      <c r="AD60" s="51">
        <v>0.91453471431631572</v>
      </c>
      <c r="AE60" s="50">
        <v>44957</v>
      </c>
      <c r="AF60" s="51">
        <v>0.91831826314747977</v>
      </c>
    </row>
    <row r="61" spans="1:32" x14ac:dyDescent="0.25">
      <c r="A61" s="50">
        <v>44985</v>
      </c>
      <c r="B61" s="51">
        <v>0.899804990036979</v>
      </c>
      <c r="C61" s="50">
        <v>44985</v>
      </c>
      <c r="D61" s="51">
        <v>0.89982116600297313</v>
      </c>
      <c r="E61" s="50">
        <v>44985</v>
      </c>
      <c r="F61" s="51">
        <v>0.99833702105978173</v>
      </c>
      <c r="G61" s="50">
        <v>44985</v>
      </c>
      <c r="H61" s="51">
        <v>1.003382762779085</v>
      </c>
      <c r="I61" s="50">
        <v>44985</v>
      </c>
      <c r="J61" s="51">
        <v>0.80370402844992261</v>
      </c>
      <c r="K61" s="50">
        <v>44985</v>
      </c>
      <c r="L61" s="51">
        <v>0.8037116109970559</v>
      </c>
      <c r="M61" s="50">
        <v>44985</v>
      </c>
      <c r="N61" s="51">
        <v>0.70179340818990898</v>
      </c>
      <c r="O61" s="50">
        <v>44985</v>
      </c>
      <c r="P61" s="51">
        <v>0.7299504677366554</v>
      </c>
      <c r="Q61" s="50">
        <v>44985</v>
      </c>
      <c r="R61" s="51">
        <v>0.99940068244920388</v>
      </c>
      <c r="S61" s="50">
        <v>44985</v>
      </c>
      <c r="T61" s="51">
        <v>1.0177991246026636</v>
      </c>
      <c r="U61" s="50">
        <v>44985</v>
      </c>
      <c r="V61" s="51">
        <v>0.95114341132685187</v>
      </c>
      <c r="W61" s="50">
        <v>44985</v>
      </c>
      <c r="X61" s="51">
        <v>0.94569030915792607</v>
      </c>
      <c r="Y61" s="50">
        <v>44985</v>
      </c>
      <c r="Z61" s="51">
        <v>1.0161951322359792</v>
      </c>
      <c r="AA61" s="50">
        <v>44985</v>
      </c>
      <c r="AB61" s="51">
        <v>1.0210652403176297</v>
      </c>
      <c r="AC61" s="50">
        <v>44985</v>
      </c>
      <c r="AD61" s="51">
        <v>0.91290990755308998</v>
      </c>
      <c r="AE61" s="50">
        <v>44985</v>
      </c>
      <c r="AF61" s="51">
        <v>0.91669570308523174</v>
      </c>
    </row>
    <row r="62" spans="1:32" x14ac:dyDescent="0.25">
      <c r="A62" s="50">
        <v>45016</v>
      </c>
      <c r="B62" s="51">
        <v>0.89785306422187205</v>
      </c>
      <c r="C62" s="50">
        <v>45016</v>
      </c>
      <c r="D62" s="51">
        <v>0.89786920462447439</v>
      </c>
      <c r="E62" s="50">
        <v>45016</v>
      </c>
      <c r="F62" s="51">
        <v>0.99776539336169667</v>
      </c>
      <c r="G62" s="50">
        <v>45016</v>
      </c>
      <c r="H62" s="51">
        <v>1.0029295231665611</v>
      </c>
      <c r="I62" s="50">
        <v>45016</v>
      </c>
      <c r="J62" s="51">
        <v>0.79937255340477298</v>
      </c>
      <c r="K62" s="50">
        <v>45016</v>
      </c>
      <c r="L62" s="51">
        <v>0.79938013052433132</v>
      </c>
      <c r="M62" s="50">
        <v>45016</v>
      </c>
      <c r="N62" s="51">
        <v>0.69602972309936906</v>
      </c>
      <c r="O62" s="50">
        <v>45016</v>
      </c>
      <c r="P62" s="51">
        <v>0.72467218775290398</v>
      </c>
      <c r="Q62" s="50">
        <v>45016</v>
      </c>
      <c r="R62" s="51">
        <v>0.99934696782022314</v>
      </c>
      <c r="S62" s="50">
        <v>45016</v>
      </c>
      <c r="T62" s="51">
        <v>1.0182516025085719</v>
      </c>
      <c r="U62" s="50">
        <v>45016</v>
      </c>
      <c r="V62" s="51">
        <v>0.95004448389944374</v>
      </c>
      <c r="W62" s="50">
        <v>45016</v>
      </c>
      <c r="X62" s="51">
        <v>0.94440541422404156</v>
      </c>
      <c r="Y62" s="50">
        <v>45016</v>
      </c>
      <c r="Z62" s="51">
        <v>1.0161202800310376</v>
      </c>
      <c r="AA62" s="50">
        <v>45016</v>
      </c>
      <c r="AB62" s="51">
        <v>1.0211839594450935</v>
      </c>
      <c r="AC62" s="50">
        <v>45016</v>
      </c>
      <c r="AD62" s="51">
        <v>0.91111101435094732</v>
      </c>
      <c r="AE62" s="50">
        <v>45016</v>
      </c>
      <c r="AF62" s="51">
        <v>0.91489929730202868</v>
      </c>
    </row>
    <row r="63" spans="1:32" x14ac:dyDescent="0.25">
      <c r="A63" s="50">
        <v>45046</v>
      </c>
      <c r="B63" s="51">
        <v>0.8959641037556394</v>
      </c>
      <c r="C63" s="50">
        <v>45046</v>
      </c>
      <c r="D63" s="51">
        <v>0.89598020974205628</v>
      </c>
      <c r="E63" s="50">
        <v>45046</v>
      </c>
      <c r="F63" s="51">
        <v>0.99721220526677556</v>
      </c>
      <c r="G63" s="50">
        <v>45046</v>
      </c>
      <c r="H63" s="51">
        <v>1.0024909041866992</v>
      </c>
      <c r="I63" s="50">
        <v>45046</v>
      </c>
      <c r="J63" s="51">
        <v>0.79516163304847798</v>
      </c>
      <c r="K63" s="50">
        <v>45046</v>
      </c>
      <c r="L63" s="51">
        <v>0.79516920429211979</v>
      </c>
      <c r="M63" s="50">
        <v>45046</v>
      </c>
      <c r="N63" s="51">
        <v>0.69045196333433045</v>
      </c>
      <c r="O63" s="50">
        <v>45046</v>
      </c>
      <c r="P63" s="51">
        <v>0.71956417486540269</v>
      </c>
      <c r="Q63" s="50">
        <v>45046</v>
      </c>
      <c r="R63" s="51">
        <v>0.99929498592120958</v>
      </c>
      <c r="S63" s="50">
        <v>45046</v>
      </c>
      <c r="T63" s="51">
        <v>1.0186894843529994</v>
      </c>
      <c r="U63" s="50">
        <v>45046</v>
      </c>
      <c r="V63" s="51">
        <v>0.94898100574388733</v>
      </c>
      <c r="W63" s="50">
        <v>45046</v>
      </c>
      <c r="X63" s="51">
        <v>0.94316196751383075</v>
      </c>
      <c r="Y63" s="50">
        <v>45046</v>
      </c>
      <c r="Z63" s="51">
        <v>1.0160478424133521</v>
      </c>
      <c r="AA63" s="50">
        <v>45046</v>
      </c>
      <c r="AB63" s="51">
        <v>1.0212988489232846</v>
      </c>
      <c r="AC63" s="50">
        <v>45046</v>
      </c>
      <c r="AD63" s="51">
        <v>0.90937014996177701</v>
      </c>
      <c r="AE63" s="50">
        <v>45046</v>
      </c>
      <c r="AF63" s="51">
        <v>0.91316084009247722</v>
      </c>
    </row>
    <row r="64" spans="1:32" x14ac:dyDescent="0.25">
      <c r="A64" s="50">
        <v>45077</v>
      </c>
      <c r="B64" s="51">
        <v>0.89401217794053245</v>
      </c>
      <c r="C64" s="50">
        <v>45077</v>
      </c>
      <c r="D64" s="51">
        <v>0.89402824836355765</v>
      </c>
      <c r="E64" s="50">
        <v>45077</v>
      </c>
      <c r="F64" s="51">
        <v>0.99664057756869051</v>
      </c>
      <c r="G64" s="50">
        <v>45077</v>
      </c>
      <c r="H64" s="51">
        <v>1.0020376645741753</v>
      </c>
      <c r="I64" s="50">
        <v>45077</v>
      </c>
      <c r="J64" s="51">
        <v>0.79080966560020216</v>
      </c>
      <c r="K64" s="50">
        <v>45077</v>
      </c>
      <c r="L64" s="51">
        <v>0.79081723074984966</v>
      </c>
      <c r="M64" s="50">
        <v>45077</v>
      </c>
      <c r="N64" s="51">
        <v>0.68468827824379064</v>
      </c>
      <c r="O64" s="50">
        <v>45077</v>
      </c>
      <c r="P64" s="51">
        <v>0.71428589488165128</v>
      </c>
      <c r="Q64" s="50">
        <v>45077</v>
      </c>
      <c r="R64" s="51">
        <v>0.99924127129222884</v>
      </c>
      <c r="S64" s="50">
        <v>45077</v>
      </c>
      <c r="T64" s="51">
        <v>1.019141962258908</v>
      </c>
      <c r="U64" s="50">
        <v>45077</v>
      </c>
      <c r="V64" s="51">
        <v>0.94788207831647919</v>
      </c>
      <c r="W64" s="50">
        <v>45077</v>
      </c>
      <c r="X64" s="51">
        <v>0.94187707257994613</v>
      </c>
      <c r="Y64" s="50">
        <v>45077</v>
      </c>
      <c r="Z64" s="51">
        <v>1.0159729902084105</v>
      </c>
      <c r="AA64" s="50">
        <v>45077</v>
      </c>
      <c r="AB64" s="51">
        <v>1.0214175680507487</v>
      </c>
      <c r="AC64" s="50">
        <v>45077</v>
      </c>
      <c r="AD64" s="51">
        <v>0.90757125675963424</v>
      </c>
      <c r="AE64" s="50">
        <v>45077</v>
      </c>
      <c r="AF64" s="51">
        <v>0.91136443430927405</v>
      </c>
    </row>
    <row r="65" spans="1:32" x14ac:dyDescent="0.25">
      <c r="A65" s="50">
        <v>45107</v>
      </c>
      <c r="B65" s="51">
        <v>0.89212321747429979</v>
      </c>
      <c r="C65" s="50">
        <v>45107</v>
      </c>
      <c r="D65" s="51">
        <v>0.89213925348113954</v>
      </c>
      <c r="E65" s="50">
        <v>45107</v>
      </c>
      <c r="F65" s="51">
        <v>0.99608738947376951</v>
      </c>
      <c r="G65" s="50">
        <v>45107</v>
      </c>
      <c r="H65" s="51">
        <v>1.0015990455943133</v>
      </c>
      <c r="I65" s="50">
        <v>45107</v>
      </c>
      <c r="J65" s="51">
        <v>0.78659808419864508</v>
      </c>
      <c r="K65" s="50">
        <v>45107</v>
      </c>
      <c r="L65" s="51">
        <v>0.78660564345087858</v>
      </c>
      <c r="M65" s="50">
        <v>45107</v>
      </c>
      <c r="N65" s="51">
        <v>0.67911051847875203</v>
      </c>
      <c r="O65" s="50">
        <v>45107</v>
      </c>
      <c r="P65" s="51">
        <v>0.70917788199414999</v>
      </c>
      <c r="Q65" s="50">
        <v>45107</v>
      </c>
      <c r="R65" s="51">
        <v>0.99918928939321527</v>
      </c>
      <c r="S65" s="50">
        <v>45107</v>
      </c>
      <c r="T65" s="51">
        <v>1.0195798441033352</v>
      </c>
      <c r="U65" s="50">
        <v>45107</v>
      </c>
      <c r="V65" s="51">
        <v>0.94681860016092279</v>
      </c>
      <c r="W65" s="50">
        <v>45107</v>
      </c>
      <c r="X65" s="51">
        <v>0.94063362586973531</v>
      </c>
      <c r="Y65" s="50">
        <v>45107</v>
      </c>
      <c r="Z65" s="51">
        <v>1.015900552590725</v>
      </c>
      <c r="AA65" s="50">
        <v>45107</v>
      </c>
      <c r="AB65" s="51">
        <v>1.0215324575289397</v>
      </c>
      <c r="AC65" s="50">
        <v>45107</v>
      </c>
      <c r="AD65" s="51">
        <v>0.90583039237046392</v>
      </c>
      <c r="AE65" s="50">
        <v>45107</v>
      </c>
      <c r="AF65" s="51">
        <v>0.90962597709972259</v>
      </c>
    </row>
    <row r="66" spans="1:32" x14ac:dyDescent="0.25">
      <c r="A66" s="50">
        <v>45138</v>
      </c>
      <c r="B66" s="51">
        <v>0.89022617568976492</v>
      </c>
      <c r="C66" s="50">
        <v>45138</v>
      </c>
      <c r="D66" s="51">
        <v>0.89024217712559217</v>
      </c>
      <c r="E66" s="50">
        <v>45138</v>
      </c>
      <c r="F66" s="51">
        <v>0.99551576177568446</v>
      </c>
      <c r="G66" s="50">
        <v>45138</v>
      </c>
      <c r="H66" s="51">
        <v>1.0011458059817895</v>
      </c>
      <c r="I66" s="50">
        <v>45138</v>
      </c>
      <c r="J66" s="51">
        <v>0.78226488626715085</v>
      </c>
      <c r="K66" s="50">
        <v>45138</v>
      </c>
      <c r="L66" s="51">
        <v>0.78227243914262046</v>
      </c>
      <c r="M66" s="50">
        <v>45138</v>
      </c>
      <c r="N66" s="51">
        <v>0.67334683338821222</v>
      </c>
      <c r="O66" s="50">
        <v>45138</v>
      </c>
      <c r="P66" s="51">
        <v>0.70389960201039858</v>
      </c>
      <c r="Q66" s="50">
        <v>45138</v>
      </c>
      <c r="R66" s="51">
        <v>0.99912673111772232</v>
      </c>
      <c r="S66" s="50">
        <v>45138</v>
      </c>
      <c r="T66" s="51">
        <v>1.0200412278839321</v>
      </c>
      <c r="U66" s="50">
        <v>45138</v>
      </c>
      <c r="V66" s="51">
        <v>0.94572765923877933</v>
      </c>
      <c r="W66" s="50">
        <v>45138</v>
      </c>
      <c r="X66" s="51">
        <v>0.93934453692314512</v>
      </c>
      <c r="Y66" s="50">
        <v>45138</v>
      </c>
      <c r="Z66" s="51">
        <v>1.0158257003857833</v>
      </c>
      <c r="AA66" s="50">
        <v>45138</v>
      </c>
      <c r="AB66" s="51">
        <v>1.0216511766564036</v>
      </c>
      <c r="AC66" s="50">
        <v>45138</v>
      </c>
      <c r="AD66" s="51">
        <v>0.90407966130793183</v>
      </c>
      <c r="AE66" s="50">
        <v>45138</v>
      </c>
      <c r="AF66" s="51">
        <v>0.90786036724628871</v>
      </c>
    </row>
    <row r="67" spans="1:32" x14ac:dyDescent="0.25">
      <c r="A67" s="50">
        <v>45169</v>
      </c>
      <c r="B67" s="51">
        <v>0.88833096337291584</v>
      </c>
      <c r="C67" s="50">
        <v>45169</v>
      </c>
      <c r="D67" s="51">
        <v>0.88834693027080991</v>
      </c>
      <c r="E67" s="50">
        <v>45169</v>
      </c>
      <c r="F67" s="51">
        <v>0.99494413407759941</v>
      </c>
      <c r="G67" s="50">
        <v>45169</v>
      </c>
      <c r="H67" s="51">
        <v>1.0006925663692654</v>
      </c>
      <c r="I67" s="50">
        <v>45169</v>
      </c>
      <c r="J67" s="51">
        <v>0.7779323139862161</v>
      </c>
      <c r="K67" s="50">
        <v>45169</v>
      </c>
      <c r="L67" s="51">
        <v>0.77793986047549613</v>
      </c>
      <c r="M67" s="50">
        <v>45169</v>
      </c>
      <c r="N67" s="51">
        <v>0.66758314829767229</v>
      </c>
      <c r="O67" s="50">
        <v>45169</v>
      </c>
      <c r="P67" s="51">
        <v>0.69862132202664717</v>
      </c>
      <c r="Q67" s="50">
        <v>45169</v>
      </c>
      <c r="R67" s="51">
        <v>0.99906387805401231</v>
      </c>
      <c r="S67" s="50">
        <v>45169</v>
      </c>
      <c r="T67" s="51">
        <v>1.0205029085270185</v>
      </c>
      <c r="U67" s="50">
        <v>45169</v>
      </c>
      <c r="V67" s="51">
        <v>0.94463698453347811</v>
      </c>
      <c r="W67" s="50">
        <v>45169</v>
      </c>
      <c r="X67" s="51">
        <v>0.93805530817613136</v>
      </c>
      <c r="Y67" s="50">
        <v>45169</v>
      </c>
      <c r="Z67" s="51">
        <v>1.0157508481808417</v>
      </c>
      <c r="AA67" s="50">
        <v>45169</v>
      </c>
      <c r="AB67" s="51">
        <v>1.0217698957838677</v>
      </c>
      <c r="AC67" s="50">
        <v>45169</v>
      </c>
      <c r="AD67" s="51">
        <v>0.9023305356500535</v>
      </c>
      <c r="AE67" s="50">
        <v>45169</v>
      </c>
      <c r="AF67" s="51">
        <v>0.90609578392384715</v>
      </c>
    </row>
    <row r="68" spans="1:32" x14ac:dyDescent="0.25">
      <c r="A68" s="50">
        <v>45199</v>
      </c>
      <c r="B68" s="51">
        <v>0.88649688693725548</v>
      </c>
      <c r="C68" s="50">
        <v>45199</v>
      </c>
      <c r="D68" s="51">
        <v>0.88651282041134316</v>
      </c>
      <c r="E68" s="50">
        <v>45199</v>
      </c>
      <c r="F68" s="51">
        <v>0.9943909459826783</v>
      </c>
      <c r="G68" s="50">
        <v>45199</v>
      </c>
      <c r="H68" s="51">
        <v>1.0002539473894034</v>
      </c>
      <c r="I68" s="50">
        <v>45199</v>
      </c>
      <c r="J68" s="51">
        <v>0.77373950210144049</v>
      </c>
      <c r="K68" s="50">
        <v>45199</v>
      </c>
      <c r="L68" s="51">
        <v>0.77374704241053693</v>
      </c>
      <c r="M68" s="50">
        <v>45199</v>
      </c>
      <c r="N68" s="51">
        <v>0.66200538853263369</v>
      </c>
      <c r="O68" s="50">
        <v>45199</v>
      </c>
      <c r="P68" s="51">
        <v>0.69351330913914588</v>
      </c>
      <c r="Q68" s="50">
        <v>45199</v>
      </c>
      <c r="R68" s="51">
        <v>0.99900305250848642</v>
      </c>
      <c r="S68" s="50">
        <v>45199</v>
      </c>
      <c r="T68" s="51">
        <v>1.0209496962461342</v>
      </c>
      <c r="U68" s="50">
        <v>45199</v>
      </c>
      <c r="V68" s="51">
        <v>0.94358149288318649</v>
      </c>
      <c r="W68" s="50">
        <v>45199</v>
      </c>
      <c r="X68" s="51">
        <v>0.93680766745321487</v>
      </c>
      <c r="Y68" s="50">
        <v>45199</v>
      </c>
      <c r="Z68" s="51">
        <v>1.0156784105631562</v>
      </c>
      <c r="AA68" s="50">
        <v>45199</v>
      </c>
      <c r="AB68" s="51">
        <v>1.0218847852620587</v>
      </c>
      <c r="AC68" s="50">
        <v>45199</v>
      </c>
      <c r="AD68" s="51">
        <v>0.90063783340049375</v>
      </c>
      <c r="AE68" s="50">
        <v>45199</v>
      </c>
      <c r="AF68" s="51">
        <v>0.90438812264406498</v>
      </c>
    </row>
    <row r="69" spans="1:32" x14ac:dyDescent="0.25">
      <c r="A69" s="50">
        <v>45230</v>
      </c>
      <c r="B69" s="51">
        <v>0.88460167462040629</v>
      </c>
      <c r="C69" s="50">
        <v>45230</v>
      </c>
      <c r="D69" s="51">
        <v>0.8846175735565609</v>
      </c>
      <c r="E69" s="50">
        <v>45230</v>
      </c>
      <c r="F69" s="51">
        <v>0.99381931828459324</v>
      </c>
      <c r="G69" s="50">
        <v>45230</v>
      </c>
      <c r="H69" s="51">
        <v>0.99980070777687957</v>
      </c>
      <c r="I69" s="50">
        <v>45230</v>
      </c>
      <c r="J69" s="51">
        <v>0.76942646153735594</v>
      </c>
      <c r="K69" s="50">
        <v>45230</v>
      </c>
      <c r="L69" s="51">
        <v>0.76943399518610311</v>
      </c>
      <c r="M69" s="50">
        <v>45230</v>
      </c>
      <c r="N69" s="51">
        <v>0.65624170344209387</v>
      </c>
      <c r="O69" s="50">
        <v>45230</v>
      </c>
      <c r="P69" s="51">
        <v>0.68823502915539447</v>
      </c>
      <c r="Q69" s="50">
        <v>45230</v>
      </c>
      <c r="R69" s="51">
        <v>0.99894019944477641</v>
      </c>
      <c r="S69" s="50">
        <v>45230</v>
      </c>
      <c r="T69" s="51">
        <v>1.0214113768892206</v>
      </c>
      <c r="U69" s="50">
        <v>45230</v>
      </c>
      <c r="V69" s="51">
        <v>0.94249081817788516</v>
      </c>
      <c r="W69" s="50">
        <v>45230</v>
      </c>
      <c r="X69" s="51">
        <v>0.93551843870620111</v>
      </c>
      <c r="Y69" s="50">
        <v>45230</v>
      </c>
      <c r="Z69" s="51">
        <v>1.0156035583582144</v>
      </c>
      <c r="AA69" s="50">
        <v>45230</v>
      </c>
      <c r="AB69" s="51">
        <v>1.0220035043895228</v>
      </c>
      <c r="AC69" s="50">
        <v>45230</v>
      </c>
      <c r="AD69" s="51">
        <v>0.89888870774261542</v>
      </c>
      <c r="AE69" s="50">
        <v>45230</v>
      </c>
      <c r="AF69" s="51">
        <v>0.90262353932162342</v>
      </c>
    </row>
    <row r="70" spans="1:32" x14ac:dyDescent="0.25">
      <c r="A70" s="50">
        <v>45260</v>
      </c>
      <c r="B70" s="51">
        <v>0.88276759818474593</v>
      </c>
      <c r="C70" s="50">
        <v>45260</v>
      </c>
      <c r="D70" s="51">
        <v>0.88278346369709415</v>
      </c>
      <c r="E70" s="50">
        <v>45260</v>
      </c>
      <c r="F70" s="51">
        <v>0.99326613018967225</v>
      </c>
      <c r="G70" s="50">
        <v>45260</v>
      </c>
      <c r="H70" s="51">
        <v>0.9993620887970176</v>
      </c>
      <c r="I70" s="50">
        <v>45260</v>
      </c>
      <c r="J70" s="51">
        <v>0.76525318136943044</v>
      </c>
      <c r="K70" s="50">
        <v>45260</v>
      </c>
      <c r="L70" s="51">
        <v>0.76526070856383466</v>
      </c>
      <c r="M70" s="50">
        <v>45260</v>
      </c>
      <c r="N70" s="51">
        <v>0.65066394367705527</v>
      </c>
      <c r="O70" s="50">
        <v>45260</v>
      </c>
      <c r="P70" s="51">
        <v>0.68312701626789318</v>
      </c>
      <c r="Q70" s="50">
        <v>45260</v>
      </c>
      <c r="R70" s="51">
        <v>0.99887937389925063</v>
      </c>
      <c r="S70" s="50">
        <v>45260</v>
      </c>
      <c r="T70" s="51">
        <v>1.0218581646083365</v>
      </c>
      <c r="U70" s="50">
        <v>45260</v>
      </c>
      <c r="V70" s="51">
        <v>0.94143532652759365</v>
      </c>
      <c r="W70" s="50">
        <v>45260</v>
      </c>
      <c r="X70" s="51">
        <v>0.9342707979832845</v>
      </c>
      <c r="Y70" s="50">
        <v>45260</v>
      </c>
      <c r="Z70" s="51">
        <v>1.0155311207405289</v>
      </c>
      <c r="AA70" s="50">
        <v>45260</v>
      </c>
      <c r="AB70" s="51">
        <v>1.0221183938677136</v>
      </c>
      <c r="AC70" s="50">
        <v>45260</v>
      </c>
      <c r="AD70" s="51">
        <v>0.89719600549305567</v>
      </c>
      <c r="AE70" s="50">
        <v>45260</v>
      </c>
      <c r="AF70" s="51">
        <v>0.90091587804184126</v>
      </c>
    </row>
    <row r="71" spans="1:32" x14ac:dyDescent="0.25">
      <c r="A71" s="50">
        <v>45291</v>
      </c>
      <c r="B71" s="51">
        <v>0.88087238586789685</v>
      </c>
      <c r="C71" s="50">
        <v>45291</v>
      </c>
      <c r="D71" s="51">
        <v>0.88088821684231178</v>
      </c>
      <c r="E71" s="50">
        <v>45291</v>
      </c>
      <c r="F71" s="51">
        <v>0.99269450249158719</v>
      </c>
      <c r="G71" s="50">
        <v>45291</v>
      </c>
      <c r="H71" s="51">
        <v>0.99890884918449374</v>
      </c>
      <c r="I71" s="50">
        <v>45291</v>
      </c>
      <c r="J71" s="51">
        <v>0.76094079186257413</v>
      </c>
      <c r="K71" s="50">
        <v>45291</v>
      </c>
      <c r="L71" s="51">
        <v>0.7609483123874905</v>
      </c>
      <c r="M71" s="50">
        <v>45291</v>
      </c>
      <c r="N71" s="51">
        <v>0.64490025858651545</v>
      </c>
      <c r="O71" s="50">
        <v>45291</v>
      </c>
      <c r="P71" s="51">
        <v>0.67784873628414177</v>
      </c>
      <c r="Q71" s="50">
        <v>45291</v>
      </c>
      <c r="R71" s="51">
        <v>0.99881652083554062</v>
      </c>
      <c r="S71" s="50">
        <v>45291</v>
      </c>
      <c r="T71" s="51">
        <v>1.0223198452514228</v>
      </c>
      <c r="U71" s="50">
        <v>45291</v>
      </c>
      <c r="V71" s="51">
        <v>0.94034465182229232</v>
      </c>
      <c r="W71" s="50">
        <v>45291</v>
      </c>
      <c r="X71" s="51">
        <v>0.93298156923627085</v>
      </c>
      <c r="Y71" s="50">
        <v>45291</v>
      </c>
      <c r="Z71" s="51">
        <v>1.0154562685355872</v>
      </c>
      <c r="AA71" s="50">
        <v>45291</v>
      </c>
      <c r="AB71" s="51">
        <v>1.0222371129951777</v>
      </c>
      <c r="AC71" s="50">
        <v>45291</v>
      </c>
      <c r="AD71" s="51">
        <v>0.89544687983517735</v>
      </c>
      <c r="AE71" s="50">
        <v>45291</v>
      </c>
      <c r="AF71" s="51">
        <v>0.8991512947193997</v>
      </c>
    </row>
    <row r="72" spans="1:32" x14ac:dyDescent="0.25">
      <c r="A72" s="50">
        <v>45322</v>
      </c>
      <c r="B72" s="51">
        <v>0.87890469692803597</v>
      </c>
      <c r="C72" s="50">
        <v>45322</v>
      </c>
      <c r="D72" s="51">
        <v>0.878920502587485</v>
      </c>
      <c r="E72" s="50">
        <v>45322</v>
      </c>
      <c r="F72" s="51">
        <v>0.99190501231636252</v>
      </c>
      <c r="G72" s="50">
        <v>45322</v>
      </c>
      <c r="H72" s="51">
        <v>0.99823590531651096</v>
      </c>
      <c r="I72" s="50">
        <v>45322</v>
      </c>
      <c r="J72" s="51">
        <v>0.75680429803869764</v>
      </c>
      <c r="K72" s="50">
        <v>45322</v>
      </c>
      <c r="L72" s="51">
        <v>0.75681180413878724</v>
      </c>
      <c r="M72" s="50">
        <v>45322</v>
      </c>
      <c r="N72" s="51">
        <v>0.63959529972301576</v>
      </c>
      <c r="O72" s="50">
        <v>45322</v>
      </c>
      <c r="P72" s="51">
        <v>0.67274358829568304</v>
      </c>
      <c r="Q72" s="50">
        <v>45322</v>
      </c>
      <c r="R72" s="51">
        <v>0.99871036411795822</v>
      </c>
      <c r="S72" s="50">
        <v>45322</v>
      </c>
      <c r="T72" s="51">
        <v>1.022728367322393</v>
      </c>
      <c r="U72" s="50">
        <v>45322</v>
      </c>
      <c r="V72" s="51">
        <v>0.93921762629797179</v>
      </c>
      <c r="W72" s="50">
        <v>45322</v>
      </c>
      <c r="X72" s="51">
        <v>0.93163909770074205</v>
      </c>
      <c r="Y72" s="50">
        <v>45322</v>
      </c>
      <c r="Z72" s="51">
        <v>1.0150464379094277</v>
      </c>
      <c r="AA72" s="50">
        <v>45322</v>
      </c>
      <c r="AB72" s="51">
        <v>1.0220689387837789</v>
      </c>
      <c r="AC72" s="50">
        <v>45322</v>
      </c>
      <c r="AD72" s="51">
        <v>0.89362221146268195</v>
      </c>
      <c r="AE72" s="50">
        <v>45322</v>
      </c>
      <c r="AF72" s="51">
        <v>0.89732342668274268</v>
      </c>
    </row>
    <row r="73" spans="1:32" x14ac:dyDescent="0.25">
      <c r="A73" s="50">
        <v>45351</v>
      </c>
      <c r="B73" s="51">
        <v>0.8770616956379863</v>
      </c>
      <c r="C73" s="50">
        <v>45351</v>
      </c>
      <c r="D73" s="51">
        <v>0.87707747790329083</v>
      </c>
      <c r="E73" s="50">
        <v>45351</v>
      </c>
      <c r="F73" s="51">
        <v>0.99115966343003725</v>
      </c>
      <c r="G73" s="50">
        <v>45351</v>
      </c>
      <c r="H73" s="51">
        <v>0.99759952618903436</v>
      </c>
      <c r="I73" s="50">
        <v>45351</v>
      </c>
      <c r="J73" s="51">
        <v>0.75294015970325023</v>
      </c>
      <c r="K73" s="50">
        <v>45351</v>
      </c>
      <c r="L73" s="51">
        <v>0.75294765206731384</v>
      </c>
      <c r="M73" s="50">
        <v>45351</v>
      </c>
      <c r="N73" s="51">
        <v>0.63464690063628404</v>
      </c>
      <c r="O73" s="50">
        <v>45351</v>
      </c>
      <c r="P73" s="51">
        <v>0.66797320343321465</v>
      </c>
      <c r="Q73" s="50">
        <v>45351</v>
      </c>
      <c r="R73" s="51">
        <v>0.99860970589187337</v>
      </c>
      <c r="S73" s="50">
        <v>45351</v>
      </c>
      <c r="T73" s="51">
        <v>1.0231088754978259</v>
      </c>
      <c r="U73" s="50">
        <v>45351</v>
      </c>
      <c r="V73" s="51">
        <v>0.93816217857763806</v>
      </c>
      <c r="W73" s="50">
        <v>45351</v>
      </c>
      <c r="X73" s="51">
        <v>0.93038157697302482</v>
      </c>
      <c r="Y73" s="50">
        <v>45351</v>
      </c>
      <c r="Z73" s="51">
        <v>1.0146526024051543</v>
      </c>
      <c r="AA73" s="50">
        <v>45351</v>
      </c>
      <c r="AB73" s="51">
        <v>1.0219026683851293</v>
      </c>
      <c r="AC73" s="50">
        <v>45351</v>
      </c>
      <c r="AD73" s="51">
        <v>0.89191290799731127</v>
      </c>
      <c r="AE73" s="50">
        <v>45351</v>
      </c>
      <c r="AF73" s="51">
        <v>0.89561151222187829</v>
      </c>
    </row>
    <row r="74" spans="1:32" x14ac:dyDescent="0.25">
      <c r="A74" s="50">
        <v>45382</v>
      </c>
      <c r="B74" s="51">
        <v>0.87509159081069177</v>
      </c>
      <c r="C74" s="50">
        <v>45382</v>
      </c>
      <c r="D74" s="51">
        <v>0.87510734806846258</v>
      </c>
      <c r="E74" s="50">
        <v>45382</v>
      </c>
      <c r="F74" s="51">
        <v>0.99036291117224129</v>
      </c>
      <c r="G74" s="50">
        <v>45382</v>
      </c>
      <c r="H74" s="51">
        <v>0.99691925884586974</v>
      </c>
      <c r="I74" s="50">
        <v>45382</v>
      </c>
      <c r="J74" s="51">
        <v>0.74880952906880638</v>
      </c>
      <c r="K74" s="50">
        <v>45382</v>
      </c>
      <c r="L74" s="51">
        <v>0.748817006749532</v>
      </c>
      <c r="M74" s="50">
        <v>45382</v>
      </c>
      <c r="N74" s="51">
        <v>0.62935723264701904</v>
      </c>
      <c r="O74" s="50">
        <v>45382</v>
      </c>
      <c r="P74" s="51">
        <v>0.6628738265112657</v>
      </c>
      <c r="Q74" s="50">
        <v>45382</v>
      </c>
      <c r="R74" s="51">
        <v>0.99850210571916187</v>
      </c>
      <c r="S74" s="50">
        <v>45382</v>
      </c>
      <c r="T74" s="51">
        <v>1.0235156256163922</v>
      </c>
      <c r="U74" s="50">
        <v>45382</v>
      </c>
      <c r="V74" s="51">
        <v>0.93703394135935014</v>
      </c>
      <c r="W74" s="50">
        <v>45382</v>
      </c>
      <c r="X74" s="51">
        <v>0.92903733067787886</v>
      </c>
      <c r="Y74" s="50">
        <v>45382</v>
      </c>
      <c r="Z74" s="51">
        <v>1.0142316058316208</v>
      </c>
      <c r="AA74" s="50">
        <v>45382</v>
      </c>
      <c r="AB74" s="51">
        <v>1.021724931062435</v>
      </c>
      <c r="AC74" s="50">
        <v>45382</v>
      </c>
      <c r="AD74" s="51">
        <v>0.89008572153432863</v>
      </c>
      <c r="AE74" s="50">
        <v>45382</v>
      </c>
      <c r="AF74" s="51">
        <v>0.89378153469474741</v>
      </c>
    </row>
    <row r="75" spans="1:32" x14ac:dyDescent="0.25">
      <c r="A75" s="50">
        <v>45412</v>
      </c>
      <c r="B75" s="51">
        <v>0.87318503775201961</v>
      </c>
      <c r="C75" s="50">
        <v>45412</v>
      </c>
      <c r="D75" s="51">
        <v>0.87320077080895131</v>
      </c>
      <c r="E75" s="50">
        <v>45412</v>
      </c>
      <c r="F75" s="51">
        <v>0.98959186060018067</v>
      </c>
      <c r="G75" s="50">
        <v>45412</v>
      </c>
      <c r="H75" s="51">
        <v>0.99626093561054907</v>
      </c>
      <c r="I75" s="50">
        <v>45412</v>
      </c>
      <c r="J75" s="51">
        <v>0.74477933240838168</v>
      </c>
      <c r="K75" s="50">
        <v>45412</v>
      </c>
      <c r="L75" s="51">
        <v>0.74478679521000812</v>
      </c>
      <c r="M75" s="50">
        <v>45412</v>
      </c>
      <c r="N75" s="51">
        <v>0.62423819910902067</v>
      </c>
      <c r="O75" s="50">
        <v>45412</v>
      </c>
      <c r="P75" s="51">
        <v>0.65793894561905697</v>
      </c>
      <c r="Q75" s="50">
        <v>45412</v>
      </c>
      <c r="R75" s="51">
        <v>0.9983979765197637</v>
      </c>
      <c r="S75" s="50">
        <v>45412</v>
      </c>
      <c r="T75" s="51">
        <v>1.0239092547633919</v>
      </c>
      <c r="U75" s="50">
        <v>45412</v>
      </c>
      <c r="V75" s="51">
        <v>0.93594209889003932</v>
      </c>
      <c r="W75" s="50">
        <v>45412</v>
      </c>
      <c r="X75" s="51">
        <v>0.92773644716644732</v>
      </c>
      <c r="Y75" s="50">
        <v>45412</v>
      </c>
      <c r="Z75" s="51">
        <v>1.0138241897927174</v>
      </c>
      <c r="AA75" s="50">
        <v>45412</v>
      </c>
      <c r="AB75" s="51">
        <v>1.0215529272017632</v>
      </c>
      <c r="AC75" s="50">
        <v>45412</v>
      </c>
      <c r="AD75" s="51">
        <v>0.88831747657015203</v>
      </c>
      <c r="AE75" s="50">
        <v>45412</v>
      </c>
      <c r="AF75" s="51">
        <v>0.89201058870074967</v>
      </c>
    </row>
    <row r="76" spans="1:32" x14ac:dyDescent="0.25">
      <c r="A76" s="50">
        <v>45443</v>
      </c>
      <c r="B76" s="51">
        <v>0.87121493292472507</v>
      </c>
      <c r="C76" s="50">
        <v>45443</v>
      </c>
      <c r="D76" s="51">
        <v>0.87123064097412306</v>
      </c>
      <c r="E76" s="50">
        <v>45443</v>
      </c>
      <c r="F76" s="51">
        <v>0.98879510834238471</v>
      </c>
      <c r="G76" s="50">
        <v>45443</v>
      </c>
      <c r="H76" s="51">
        <v>0.99558066826738445</v>
      </c>
      <c r="I76" s="50">
        <v>45443</v>
      </c>
      <c r="J76" s="51">
        <v>0.74061362668980513</v>
      </c>
      <c r="K76" s="50">
        <v>45443</v>
      </c>
      <c r="L76" s="51">
        <v>0.74062107409250966</v>
      </c>
      <c r="M76" s="50">
        <v>45443</v>
      </c>
      <c r="N76" s="51">
        <v>0.61894853111975567</v>
      </c>
      <c r="O76" s="50">
        <v>45443</v>
      </c>
      <c r="P76" s="51">
        <v>0.65283956869710802</v>
      </c>
      <c r="Q76" s="50">
        <v>45443</v>
      </c>
      <c r="R76" s="51">
        <v>0.99829037634705231</v>
      </c>
      <c r="S76" s="50">
        <v>45443</v>
      </c>
      <c r="T76" s="51">
        <v>1.0243160048819582</v>
      </c>
      <c r="U76" s="50">
        <v>45443</v>
      </c>
      <c r="V76" s="51">
        <v>0.93481386167175151</v>
      </c>
      <c r="W76" s="50">
        <v>45443</v>
      </c>
      <c r="X76" s="51">
        <v>0.92639220087130136</v>
      </c>
      <c r="Y76" s="50">
        <v>45443</v>
      </c>
      <c r="Z76" s="51">
        <v>1.0134031932191838</v>
      </c>
      <c r="AA76" s="50">
        <v>45443</v>
      </c>
      <c r="AB76" s="51">
        <v>1.0213751898790688</v>
      </c>
      <c r="AC76" s="50">
        <v>45443</v>
      </c>
      <c r="AD76" s="51">
        <v>0.8864902901071694</v>
      </c>
      <c r="AE76" s="50">
        <v>45443</v>
      </c>
      <c r="AF76" s="51">
        <v>0.8901806111736188</v>
      </c>
    </row>
    <row r="77" spans="1:32" x14ac:dyDescent="0.25">
      <c r="A77" s="50">
        <v>45473</v>
      </c>
      <c r="B77" s="51">
        <v>0.86930837986605292</v>
      </c>
      <c r="C77" s="50">
        <v>45473</v>
      </c>
      <c r="D77" s="51">
        <v>0.86932406371461191</v>
      </c>
      <c r="E77" s="50">
        <v>45473</v>
      </c>
      <c r="F77" s="51">
        <v>0.98802405777032409</v>
      </c>
      <c r="G77" s="50">
        <v>45473</v>
      </c>
      <c r="H77" s="51">
        <v>0.99492234503206378</v>
      </c>
      <c r="I77" s="50">
        <v>45473</v>
      </c>
      <c r="J77" s="51">
        <v>0.73658229857505353</v>
      </c>
      <c r="K77" s="50">
        <v>45473</v>
      </c>
      <c r="L77" s="51">
        <v>0.73658973107557557</v>
      </c>
      <c r="M77" s="50">
        <v>45473</v>
      </c>
      <c r="N77" s="51">
        <v>0.61382949758175742</v>
      </c>
      <c r="O77" s="50">
        <v>45473</v>
      </c>
      <c r="P77" s="51">
        <v>0.64790468780489929</v>
      </c>
      <c r="Q77" s="50">
        <v>45473</v>
      </c>
      <c r="R77" s="51">
        <v>0.99818624714765414</v>
      </c>
      <c r="S77" s="50">
        <v>45473</v>
      </c>
      <c r="T77" s="51">
        <v>1.0247096340289579</v>
      </c>
      <c r="U77" s="50">
        <v>45473</v>
      </c>
      <c r="V77" s="51">
        <v>0.93372201920244069</v>
      </c>
      <c r="W77" s="50">
        <v>45473</v>
      </c>
      <c r="X77" s="51">
        <v>0.92509131735986982</v>
      </c>
      <c r="Y77" s="50">
        <v>45473</v>
      </c>
      <c r="Z77" s="51">
        <v>1.0129957771802804</v>
      </c>
      <c r="AA77" s="50">
        <v>45473</v>
      </c>
      <c r="AB77" s="51">
        <v>1.0212031860183968</v>
      </c>
      <c r="AC77" s="50">
        <v>45473</v>
      </c>
      <c r="AD77" s="51">
        <v>0.8847220451429928</v>
      </c>
      <c r="AE77" s="50">
        <v>45473</v>
      </c>
      <c r="AF77" s="51">
        <v>0.88840966517962117</v>
      </c>
    </row>
    <row r="78" spans="1:32" x14ac:dyDescent="0.25">
      <c r="A78" s="50">
        <v>45504</v>
      </c>
      <c r="B78" s="51">
        <v>0.86736980098443028</v>
      </c>
      <c r="C78" s="50">
        <v>45504</v>
      </c>
      <c r="D78" s="51">
        <v>0.86738546026458796</v>
      </c>
      <c r="E78" s="50">
        <v>45504</v>
      </c>
      <c r="F78" s="51">
        <v>0.98722730551252813</v>
      </c>
      <c r="G78" s="50">
        <v>45504</v>
      </c>
      <c r="H78" s="51">
        <v>0.99424207768889916</v>
      </c>
      <c r="I78" s="50">
        <v>45504</v>
      </c>
      <c r="J78" s="51">
        <v>0.73245699509798268</v>
      </c>
      <c r="K78" s="50">
        <v>45504</v>
      </c>
      <c r="L78" s="51">
        <v>0.7324644122501448</v>
      </c>
      <c r="M78" s="50">
        <v>45504</v>
      </c>
      <c r="N78" s="51">
        <v>0.60853982959249242</v>
      </c>
      <c r="O78" s="50">
        <v>45504</v>
      </c>
      <c r="P78" s="51">
        <v>0.64280531088295034</v>
      </c>
      <c r="Q78" s="50">
        <v>45504</v>
      </c>
      <c r="R78" s="51">
        <v>0.99806408163490601</v>
      </c>
      <c r="S78" s="50">
        <v>45504</v>
      </c>
      <c r="T78" s="51">
        <v>1.0251101806624552</v>
      </c>
      <c r="U78" s="50">
        <v>45504</v>
      </c>
      <c r="V78" s="51">
        <v>0.93260296601085646</v>
      </c>
      <c r="W78" s="50">
        <v>45504</v>
      </c>
      <c r="X78" s="51">
        <v>0.92374522405591919</v>
      </c>
      <c r="Y78" s="50">
        <v>45504</v>
      </c>
      <c r="Z78" s="51">
        <v>1.0125747806067469</v>
      </c>
      <c r="AA78" s="50">
        <v>45504</v>
      </c>
      <c r="AB78" s="51">
        <v>1.0210254486957024</v>
      </c>
      <c r="AC78" s="50">
        <v>45504</v>
      </c>
      <c r="AD78" s="51">
        <v>0.88293564477921516</v>
      </c>
      <c r="AE78" s="50">
        <v>45504</v>
      </c>
      <c r="AF78" s="51">
        <v>0.88660854981788662</v>
      </c>
    </row>
    <row r="79" spans="1:32" x14ac:dyDescent="0.25">
      <c r="A79" s="50">
        <v>45535</v>
      </c>
      <c r="B79" s="51">
        <v>0.86543227296766345</v>
      </c>
      <c r="C79" s="50">
        <v>45535</v>
      </c>
      <c r="D79" s="51">
        <v>0.86544790769405744</v>
      </c>
      <c r="E79" s="50">
        <v>45535</v>
      </c>
      <c r="F79" s="51">
        <v>0.98643055325473217</v>
      </c>
      <c r="G79" s="50">
        <v>45535</v>
      </c>
      <c r="H79" s="51">
        <v>0.99356181034573454</v>
      </c>
      <c r="I79" s="50">
        <v>45535</v>
      </c>
      <c r="J79" s="51">
        <v>0.72833303836229535</v>
      </c>
      <c r="K79" s="50">
        <v>45535</v>
      </c>
      <c r="L79" s="51">
        <v>0.72834044016778299</v>
      </c>
      <c r="M79" s="50">
        <v>45535</v>
      </c>
      <c r="N79" s="51">
        <v>0.60325016160322742</v>
      </c>
      <c r="O79" s="50">
        <v>45535</v>
      </c>
      <c r="P79" s="51">
        <v>0.63770593396100139</v>
      </c>
      <c r="Q79" s="50">
        <v>45535</v>
      </c>
      <c r="R79" s="51">
        <v>0.99794143061082341</v>
      </c>
      <c r="S79" s="50">
        <v>45535</v>
      </c>
      <c r="T79" s="51">
        <v>1.0255105205131168</v>
      </c>
      <c r="U79" s="50">
        <v>45535</v>
      </c>
      <c r="V79" s="51">
        <v>0.93148421895349554</v>
      </c>
      <c r="W79" s="50">
        <v>45535</v>
      </c>
      <c r="X79" s="51">
        <v>0.92239906918500836</v>
      </c>
      <c r="Y79" s="50">
        <v>45535</v>
      </c>
      <c r="Z79" s="51">
        <v>1.0121537840332133</v>
      </c>
      <c r="AA79" s="50">
        <v>45535</v>
      </c>
      <c r="AB79" s="51">
        <v>1.0208477113730081</v>
      </c>
      <c r="AC79" s="50">
        <v>45535</v>
      </c>
      <c r="AD79" s="51">
        <v>0.88115060395207767</v>
      </c>
      <c r="AE79" s="50">
        <v>45535</v>
      </c>
      <c r="AF79" s="51">
        <v>0.88480839652833199</v>
      </c>
    </row>
    <row r="80" spans="1:32" x14ac:dyDescent="0.25">
      <c r="A80" s="50">
        <v>45565</v>
      </c>
      <c r="B80" s="51">
        <v>0.8635572458546632</v>
      </c>
      <c r="C80" s="50">
        <v>45565</v>
      </c>
      <c r="D80" s="51">
        <v>0.86357285681935059</v>
      </c>
      <c r="E80" s="50">
        <v>45565</v>
      </c>
      <c r="F80" s="51">
        <v>0.98565950268267155</v>
      </c>
      <c r="G80" s="50">
        <v>45565</v>
      </c>
      <c r="H80" s="51">
        <v>0.99290348711041387</v>
      </c>
      <c r="I80" s="50">
        <v>45565</v>
      </c>
      <c r="J80" s="51">
        <v>0.72434211248904956</v>
      </c>
      <c r="K80" s="50">
        <v>45565</v>
      </c>
      <c r="L80" s="51">
        <v>0.72434949944291671</v>
      </c>
      <c r="M80" s="50">
        <v>45565</v>
      </c>
      <c r="N80" s="51">
        <v>0.59813112806522906</v>
      </c>
      <c r="O80" s="50">
        <v>45565</v>
      </c>
      <c r="P80" s="51">
        <v>0.63277105306879267</v>
      </c>
      <c r="Q80" s="50">
        <v>45565</v>
      </c>
      <c r="R80" s="51">
        <v>0.99782273607138872</v>
      </c>
      <c r="S80" s="50">
        <v>45565</v>
      </c>
      <c r="T80" s="51">
        <v>1.0258979461750475</v>
      </c>
      <c r="U80" s="50">
        <v>45565</v>
      </c>
      <c r="V80" s="51">
        <v>0.93040156051088829</v>
      </c>
      <c r="W80" s="50">
        <v>45565</v>
      </c>
      <c r="X80" s="51">
        <v>0.92109633866477203</v>
      </c>
      <c r="Y80" s="50">
        <v>45565</v>
      </c>
      <c r="Z80" s="51">
        <v>1.0117463679943099</v>
      </c>
      <c r="AA80" s="50">
        <v>45565</v>
      </c>
      <c r="AB80" s="51">
        <v>1.0206757075123363</v>
      </c>
      <c r="AC80" s="50">
        <v>45565</v>
      </c>
      <c r="AD80" s="51">
        <v>0.87942314508710584</v>
      </c>
      <c r="AE80" s="50">
        <v>45565</v>
      </c>
      <c r="AF80" s="51">
        <v>0.88306631269973079</v>
      </c>
    </row>
    <row r="81" spans="1:32" x14ac:dyDescent="0.25">
      <c r="A81" s="50">
        <v>45596</v>
      </c>
      <c r="B81" s="51">
        <v>0.86161971783789637</v>
      </c>
      <c r="C81" s="50">
        <v>45596</v>
      </c>
      <c r="D81" s="51">
        <v>0.86163530424882018</v>
      </c>
      <c r="E81" s="50">
        <v>45596</v>
      </c>
      <c r="F81" s="51">
        <v>0.98486275042487559</v>
      </c>
      <c r="G81" s="50">
        <v>45596</v>
      </c>
      <c r="H81" s="51">
        <v>0.99222321976724925</v>
      </c>
      <c r="I81" s="50">
        <v>45596</v>
      </c>
      <c r="J81" s="51">
        <v>0.7202934915181175</v>
      </c>
      <c r="K81" s="50">
        <v>45596</v>
      </c>
      <c r="L81" s="51">
        <v>0.72030086354051015</v>
      </c>
      <c r="M81" s="50">
        <v>45596</v>
      </c>
      <c r="N81" s="51">
        <v>0.59284146007596406</v>
      </c>
      <c r="O81" s="50">
        <v>45596</v>
      </c>
      <c r="P81" s="51">
        <v>0.62767167614684372</v>
      </c>
      <c r="Q81" s="50">
        <v>45596</v>
      </c>
      <c r="R81" s="51">
        <v>0.99770008504730612</v>
      </c>
      <c r="S81" s="50">
        <v>45596</v>
      </c>
      <c r="T81" s="51">
        <v>1.0262982860257093</v>
      </c>
      <c r="U81" s="50">
        <v>45596</v>
      </c>
      <c r="V81" s="51">
        <v>0.92928281345352737</v>
      </c>
      <c r="W81" s="50">
        <v>45596</v>
      </c>
      <c r="X81" s="51">
        <v>0.91975018379386131</v>
      </c>
      <c r="Y81" s="50">
        <v>45596</v>
      </c>
      <c r="Z81" s="51">
        <v>1.0113253714207764</v>
      </c>
      <c r="AA81" s="50">
        <v>45596</v>
      </c>
      <c r="AB81" s="51">
        <v>1.0204979701896419</v>
      </c>
      <c r="AC81" s="50">
        <v>45596</v>
      </c>
      <c r="AD81" s="51">
        <v>0.87763810425996835</v>
      </c>
      <c r="AE81" s="50">
        <v>45596</v>
      </c>
      <c r="AF81" s="51">
        <v>0.88126615941017616</v>
      </c>
    </row>
    <row r="82" spans="1:32" x14ac:dyDescent="0.25">
      <c r="A82" s="50">
        <v>45626</v>
      </c>
      <c r="B82" s="51">
        <v>0.85974469072489612</v>
      </c>
      <c r="C82" s="50">
        <v>45626</v>
      </c>
      <c r="D82" s="51">
        <v>0.85976025337411321</v>
      </c>
      <c r="E82" s="50">
        <v>45626</v>
      </c>
      <c r="F82" s="51">
        <v>0.98409169985281497</v>
      </c>
      <c r="G82" s="50">
        <v>45626</v>
      </c>
      <c r="H82" s="51">
        <v>0.99156489653192859</v>
      </c>
      <c r="I82" s="50">
        <v>45626</v>
      </c>
      <c r="J82" s="51">
        <v>0.71637790140962698</v>
      </c>
      <c r="K82" s="50">
        <v>45626</v>
      </c>
      <c r="L82" s="51">
        <v>0.71638525899559924</v>
      </c>
      <c r="M82" s="50">
        <v>45626</v>
      </c>
      <c r="N82" s="51">
        <v>0.58772242653796569</v>
      </c>
      <c r="O82" s="50">
        <v>45626</v>
      </c>
      <c r="P82" s="51">
        <v>0.62273679525463499</v>
      </c>
      <c r="Q82" s="50">
        <v>45626</v>
      </c>
      <c r="R82" s="51">
        <v>0.99758139050787131</v>
      </c>
      <c r="S82" s="50">
        <v>45626</v>
      </c>
      <c r="T82" s="51">
        <v>1.02668571168764</v>
      </c>
      <c r="U82" s="50">
        <v>45626</v>
      </c>
      <c r="V82" s="51">
        <v>0.92820015501092012</v>
      </c>
      <c r="W82" s="50">
        <v>45626</v>
      </c>
      <c r="X82" s="51">
        <v>0.91844745327362498</v>
      </c>
      <c r="Y82" s="50">
        <v>45626</v>
      </c>
      <c r="Z82" s="51">
        <v>1.010917955381873</v>
      </c>
      <c r="AA82" s="50">
        <v>45626</v>
      </c>
      <c r="AB82" s="51">
        <v>1.0203259663289701</v>
      </c>
      <c r="AC82" s="50">
        <v>45626</v>
      </c>
      <c r="AD82" s="51">
        <v>0.87591064539499663</v>
      </c>
      <c r="AE82" s="50">
        <v>45626</v>
      </c>
      <c r="AF82" s="51">
        <v>0.87952407558157486</v>
      </c>
    </row>
    <row r="83" spans="1:32" x14ac:dyDescent="0.25">
      <c r="A83" s="50">
        <v>45657</v>
      </c>
      <c r="B83" s="51">
        <v>0.85780716270812929</v>
      </c>
      <c r="C83" s="50">
        <v>45657</v>
      </c>
      <c r="D83" s="51">
        <v>0.8578227008035828</v>
      </c>
      <c r="E83" s="50">
        <v>45657</v>
      </c>
      <c r="F83" s="51">
        <v>0.98329494759501901</v>
      </c>
      <c r="G83" s="50">
        <v>45657</v>
      </c>
      <c r="H83" s="51">
        <v>0.99088462918876397</v>
      </c>
      <c r="I83" s="50">
        <v>45657</v>
      </c>
      <c r="J83" s="51">
        <v>0.71233179163085336</v>
      </c>
      <c r="K83" s="50">
        <v>45657</v>
      </c>
      <c r="L83" s="51">
        <v>0.71233913429919127</v>
      </c>
      <c r="M83" s="50">
        <v>45657</v>
      </c>
      <c r="N83" s="51">
        <v>0.5824327585487008</v>
      </c>
      <c r="O83" s="50">
        <v>45657</v>
      </c>
      <c r="P83" s="51">
        <v>0.61763741833268604</v>
      </c>
      <c r="Q83" s="50">
        <v>45657</v>
      </c>
      <c r="R83" s="51">
        <v>0.99745873948378871</v>
      </c>
      <c r="S83" s="50">
        <v>45657</v>
      </c>
      <c r="T83" s="51">
        <v>1.0270860515383016</v>
      </c>
      <c r="U83" s="50">
        <v>45657</v>
      </c>
      <c r="V83" s="51">
        <v>0.9270814079535592</v>
      </c>
      <c r="W83" s="50">
        <v>45657</v>
      </c>
      <c r="X83" s="51">
        <v>0.91710129840271415</v>
      </c>
      <c r="Y83" s="50">
        <v>45657</v>
      </c>
      <c r="Z83" s="51">
        <v>1.0104969588083395</v>
      </c>
      <c r="AA83" s="50">
        <v>45657</v>
      </c>
      <c r="AB83" s="51">
        <v>1.0201482290062758</v>
      </c>
      <c r="AC83" s="50">
        <v>45657</v>
      </c>
      <c r="AD83" s="51">
        <v>0.87412560456785915</v>
      </c>
      <c r="AE83" s="50">
        <v>45657</v>
      </c>
      <c r="AF83" s="51">
        <v>0.87772392229202023</v>
      </c>
    </row>
    <row r="84" spans="1:32" x14ac:dyDescent="0.25">
      <c r="A84" s="50">
        <v>45688</v>
      </c>
      <c r="B84" s="51">
        <v>0.8558163454135439</v>
      </c>
      <c r="C84" s="50">
        <v>45688</v>
      </c>
      <c r="D84" s="51">
        <v>0.85583186205274531</v>
      </c>
      <c r="E84" s="50">
        <v>45688</v>
      </c>
      <c r="F84" s="51">
        <v>0.98231633298349597</v>
      </c>
      <c r="G84" s="50">
        <v>45688</v>
      </c>
      <c r="H84" s="51">
        <v>0.99002124155918558</v>
      </c>
      <c r="I84" s="50">
        <v>45688</v>
      </c>
      <c r="J84" s="51">
        <v>0.70818242745846405</v>
      </c>
      <c r="K84" s="50">
        <v>45688</v>
      </c>
      <c r="L84" s="51">
        <v>0.70818975385397798</v>
      </c>
      <c r="M84" s="50">
        <v>45688</v>
      </c>
      <c r="N84" s="51">
        <v>0.57761468911007197</v>
      </c>
      <c r="O84" s="50">
        <v>45688</v>
      </c>
      <c r="P84" s="51">
        <v>0.61313125348190445</v>
      </c>
      <c r="Q84" s="50">
        <v>45688</v>
      </c>
      <c r="R84" s="51">
        <v>0.99727938572471264</v>
      </c>
      <c r="S84" s="50">
        <v>45688</v>
      </c>
      <c r="T84" s="51">
        <v>1.027421448625419</v>
      </c>
      <c r="U84" s="50">
        <v>45688</v>
      </c>
      <c r="V84" s="51">
        <v>0.92593161708025662</v>
      </c>
      <c r="W84" s="50">
        <v>45688</v>
      </c>
      <c r="X84" s="51">
        <v>0.91571841361752782</v>
      </c>
      <c r="Y84" s="50">
        <v>45688</v>
      </c>
      <c r="Z84" s="51">
        <v>1.0099633877852734</v>
      </c>
      <c r="AA84" s="50">
        <v>45688</v>
      </c>
      <c r="AB84" s="51">
        <v>1.0198399902637829</v>
      </c>
      <c r="AC84" s="50">
        <v>45688</v>
      </c>
      <c r="AD84" s="51">
        <v>0.87226063583052083</v>
      </c>
      <c r="AE84" s="50">
        <v>45688</v>
      </c>
      <c r="AF84" s="51">
        <v>0.8758654017312909</v>
      </c>
    </row>
    <row r="85" spans="1:32" x14ac:dyDescent="0.25">
      <c r="A85" s="50">
        <v>45716</v>
      </c>
      <c r="B85" s="51">
        <v>0.85401658344877973</v>
      </c>
      <c r="C85" s="50">
        <v>45716</v>
      </c>
      <c r="D85" s="51">
        <v>0.85403208080139892</v>
      </c>
      <c r="E85" s="50">
        <v>45716</v>
      </c>
      <c r="F85" s="51">
        <v>0.98142694758609417</v>
      </c>
      <c r="G85" s="50">
        <v>45716</v>
      </c>
      <c r="H85" s="51">
        <v>0.98923589427223368</v>
      </c>
      <c r="I85" s="50">
        <v>45716</v>
      </c>
      <c r="J85" s="51">
        <v>0.70443150592316484</v>
      </c>
      <c r="K85" s="50">
        <v>45716</v>
      </c>
      <c r="L85" s="51">
        <v>0.70443881757984272</v>
      </c>
      <c r="M85" s="50">
        <v>45716</v>
      </c>
      <c r="N85" s="51">
        <v>0.5732770831218672</v>
      </c>
      <c r="O85" s="50">
        <v>45716</v>
      </c>
      <c r="P85" s="51">
        <v>0.60907902924893254</v>
      </c>
      <c r="Q85" s="50">
        <v>45716</v>
      </c>
      <c r="R85" s="51">
        <v>0.99711568160191288</v>
      </c>
      <c r="S85" s="50">
        <v>45716</v>
      </c>
      <c r="T85" s="51">
        <v>1.0277224326639127</v>
      </c>
      <c r="U85" s="50">
        <v>45716</v>
      </c>
      <c r="V85" s="51">
        <v>0.92489216163894417</v>
      </c>
      <c r="W85" s="50">
        <v>45716</v>
      </c>
      <c r="X85" s="51">
        <v>0.91446825054531689</v>
      </c>
      <c r="Y85" s="50">
        <v>45716</v>
      </c>
      <c r="Z85" s="51">
        <v>1.0094780633294</v>
      </c>
      <c r="AA85" s="50">
        <v>45716</v>
      </c>
      <c r="AB85" s="51">
        <v>1.0195576520020104</v>
      </c>
      <c r="AC85" s="50">
        <v>45716</v>
      </c>
      <c r="AD85" s="51">
        <v>0.87057374150702638</v>
      </c>
      <c r="AE85" s="50">
        <v>45716</v>
      </c>
      <c r="AF85" s="51">
        <v>0.87418498070483319</v>
      </c>
    </row>
    <row r="86" spans="1:32" x14ac:dyDescent="0.25">
      <c r="A86" s="50">
        <v>45747</v>
      </c>
      <c r="B86" s="51">
        <v>0.85202398984493366</v>
      </c>
      <c r="C86" s="50">
        <v>45747</v>
      </c>
      <c r="D86" s="51">
        <v>0.85203946584455126</v>
      </c>
      <c r="E86" s="50">
        <v>45747</v>
      </c>
      <c r="F86" s="51">
        <v>0.98044227089611358</v>
      </c>
      <c r="G86" s="50">
        <v>45747</v>
      </c>
      <c r="H86" s="51">
        <v>0.98836640263310827</v>
      </c>
      <c r="I86" s="50">
        <v>45747</v>
      </c>
      <c r="J86" s="51">
        <v>0.70027869993765501</v>
      </c>
      <c r="K86" s="50">
        <v>45747</v>
      </c>
      <c r="L86" s="51">
        <v>0.70028599527633595</v>
      </c>
      <c r="M86" s="50">
        <v>45747</v>
      </c>
      <c r="N86" s="51">
        <v>0.56847473363492629</v>
      </c>
      <c r="O86" s="50">
        <v>45747</v>
      </c>
      <c r="P86" s="51">
        <v>0.60459263813385655</v>
      </c>
      <c r="Q86" s="50">
        <v>45747</v>
      </c>
      <c r="R86" s="51">
        <v>0.99693443775167034</v>
      </c>
      <c r="S86" s="50">
        <v>45747</v>
      </c>
      <c r="T86" s="51">
        <v>1.0280556649922452</v>
      </c>
      <c r="U86" s="50">
        <v>45747</v>
      </c>
      <c r="V86" s="51">
        <v>0.92374133597177677</v>
      </c>
      <c r="W86" s="50">
        <v>45747</v>
      </c>
      <c r="X86" s="51">
        <v>0.91308414142965466</v>
      </c>
      <c r="Y86" s="50">
        <v>45747</v>
      </c>
      <c r="Z86" s="51">
        <v>1.008940739824683</v>
      </c>
      <c r="AA86" s="50">
        <v>45747</v>
      </c>
      <c r="AB86" s="51">
        <v>1.019245063212191</v>
      </c>
      <c r="AC86" s="50">
        <v>45747</v>
      </c>
      <c r="AD86" s="51">
        <v>0.86870610850601482</v>
      </c>
      <c r="AE86" s="50">
        <v>45747</v>
      </c>
      <c r="AF86" s="51">
        <v>0.87232451456839799</v>
      </c>
    </row>
    <row r="87" spans="1:32" x14ac:dyDescent="0.25">
      <c r="A87" s="50">
        <v>45777</v>
      </c>
      <c r="B87" s="51">
        <v>0.85009567345411496</v>
      </c>
      <c r="C87" s="50">
        <v>45777</v>
      </c>
      <c r="D87" s="51">
        <v>0.85011112878953732</v>
      </c>
      <c r="E87" s="50">
        <v>45777</v>
      </c>
      <c r="F87" s="51">
        <v>0.97948935797032588</v>
      </c>
      <c r="G87" s="50">
        <v>45777</v>
      </c>
      <c r="H87" s="51">
        <v>0.98752495911137395</v>
      </c>
      <c r="I87" s="50">
        <v>45777</v>
      </c>
      <c r="J87" s="51">
        <v>0.69626789078874329</v>
      </c>
      <c r="K87" s="50">
        <v>45777</v>
      </c>
      <c r="L87" s="51">
        <v>0.69627517006230044</v>
      </c>
      <c r="M87" s="50">
        <v>45777</v>
      </c>
      <c r="N87" s="51">
        <v>0.56382729864756409</v>
      </c>
      <c r="O87" s="50">
        <v>45777</v>
      </c>
      <c r="P87" s="51">
        <v>0.60025096931281519</v>
      </c>
      <c r="Q87" s="50">
        <v>45777</v>
      </c>
      <c r="R87" s="51">
        <v>0.99675904047724206</v>
      </c>
      <c r="S87" s="50">
        <v>45777</v>
      </c>
      <c r="T87" s="51">
        <v>1.0283781478906315</v>
      </c>
      <c r="U87" s="50">
        <v>45777</v>
      </c>
      <c r="V87" s="51">
        <v>0.92262763371322776</v>
      </c>
      <c r="W87" s="50">
        <v>45777</v>
      </c>
      <c r="X87" s="51">
        <v>0.91174468099514294</v>
      </c>
      <c r="Y87" s="50">
        <v>45777</v>
      </c>
      <c r="Z87" s="51">
        <v>1.0084207493362474</v>
      </c>
      <c r="AA87" s="50">
        <v>45777</v>
      </c>
      <c r="AB87" s="51">
        <v>1.0189425579317206</v>
      </c>
      <c r="AC87" s="50">
        <v>45777</v>
      </c>
      <c r="AD87" s="51">
        <v>0.86689872173084226</v>
      </c>
      <c r="AE87" s="50">
        <v>45777</v>
      </c>
      <c r="AF87" s="51">
        <v>0.87052406346862199</v>
      </c>
    </row>
    <row r="88" spans="1:32" x14ac:dyDescent="0.25">
      <c r="A88" s="50">
        <v>45808</v>
      </c>
      <c r="B88" s="51">
        <v>0.848103079850269</v>
      </c>
      <c r="C88" s="50">
        <v>45808</v>
      </c>
      <c r="D88" s="51">
        <v>0.84811851383268955</v>
      </c>
      <c r="E88" s="50">
        <v>45808</v>
      </c>
      <c r="F88" s="51">
        <v>0.97850468128034529</v>
      </c>
      <c r="G88" s="50">
        <v>45808</v>
      </c>
      <c r="H88" s="51">
        <v>0.98665546747224853</v>
      </c>
      <c r="I88" s="50">
        <v>45808</v>
      </c>
      <c r="J88" s="51">
        <v>0.69212367431871724</v>
      </c>
      <c r="K88" s="50">
        <v>45808</v>
      </c>
      <c r="L88" s="51">
        <v>0.69213093698190065</v>
      </c>
      <c r="M88" s="50">
        <v>45808</v>
      </c>
      <c r="N88" s="51">
        <v>0.55902494916062306</v>
      </c>
      <c r="O88" s="50">
        <v>45808</v>
      </c>
      <c r="P88" s="51">
        <v>0.5957645781977392</v>
      </c>
      <c r="Q88" s="50">
        <v>45808</v>
      </c>
      <c r="R88" s="51">
        <v>0.99657779662699941</v>
      </c>
      <c r="S88" s="50">
        <v>45808</v>
      </c>
      <c r="T88" s="51">
        <v>1.028711380218964</v>
      </c>
      <c r="U88" s="50">
        <v>45808</v>
      </c>
      <c r="V88" s="51">
        <v>0.92147680804606047</v>
      </c>
      <c r="W88" s="50">
        <v>45808</v>
      </c>
      <c r="X88" s="51">
        <v>0.91036057187948072</v>
      </c>
      <c r="Y88" s="50">
        <v>45808</v>
      </c>
      <c r="Z88" s="51">
        <v>1.0078834258315303</v>
      </c>
      <c r="AA88" s="50">
        <v>45808</v>
      </c>
      <c r="AB88" s="51">
        <v>1.0186299691419012</v>
      </c>
      <c r="AC88" s="50">
        <v>45808</v>
      </c>
      <c r="AD88" s="51">
        <v>0.86503108872983059</v>
      </c>
      <c r="AE88" s="50">
        <v>45808</v>
      </c>
      <c r="AF88" s="51">
        <v>0.86866359733218668</v>
      </c>
    </row>
    <row r="89" spans="1:32" x14ac:dyDescent="0.25">
      <c r="A89" s="50">
        <v>45838</v>
      </c>
      <c r="B89" s="51">
        <v>0.8461747634594502</v>
      </c>
      <c r="C89" s="50">
        <v>45838</v>
      </c>
      <c r="D89" s="51">
        <v>0.84619017677767561</v>
      </c>
      <c r="E89" s="50">
        <v>45838</v>
      </c>
      <c r="F89" s="51">
        <v>0.97755176835455759</v>
      </c>
      <c r="G89" s="50">
        <v>45838</v>
      </c>
      <c r="H89" s="51">
        <v>0.98581402395051432</v>
      </c>
      <c r="I89" s="50">
        <v>45838</v>
      </c>
      <c r="J89" s="51">
        <v>0.6881131422509501</v>
      </c>
      <c r="K89" s="50">
        <v>45838</v>
      </c>
      <c r="L89" s="51">
        <v>0.68812038883957827</v>
      </c>
      <c r="M89" s="50">
        <v>45838</v>
      </c>
      <c r="N89" s="51">
        <v>0.55437751417326087</v>
      </c>
      <c r="O89" s="50">
        <v>45838</v>
      </c>
      <c r="P89" s="51">
        <v>0.59142290937669795</v>
      </c>
      <c r="Q89" s="50">
        <v>45838</v>
      </c>
      <c r="R89" s="51">
        <v>0.99640239935257113</v>
      </c>
      <c r="S89" s="50">
        <v>45838</v>
      </c>
      <c r="T89" s="51">
        <v>1.0290338631173503</v>
      </c>
      <c r="U89" s="50">
        <v>45838</v>
      </c>
      <c r="V89" s="51">
        <v>0.92036310578751135</v>
      </c>
      <c r="W89" s="50">
        <v>45838</v>
      </c>
      <c r="X89" s="51">
        <v>0.909021111444969</v>
      </c>
      <c r="Y89" s="50">
        <v>45838</v>
      </c>
      <c r="Z89" s="51">
        <v>1.0073634353430945</v>
      </c>
      <c r="AA89" s="50">
        <v>45838</v>
      </c>
      <c r="AB89" s="51">
        <v>1.0183274638614308</v>
      </c>
      <c r="AC89" s="50">
        <v>45838</v>
      </c>
      <c r="AD89" s="51">
        <v>0.86322370195465803</v>
      </c>
      <c r="AE89" s="50">
        <v>45838</v>
      </c>
      <c r="AF89" s="51">
        <v>0.86686314623241068</v>
      </c>
    </row>
    <row r="90" spans="1:32" x14ac:dyDescent="0.25">
      <c r="A90" s="50">
        <v>45869</v>
      </c>
      <c r="B90" s="51">
        <v>0.84421897098841869</v>
      </c>
      <c r="C90" s="50">
        <v>45869</v>
      </c>
      <c r="D90" s="51">
        <v>0.84423436343836022</v>
      </c>
      <c r="E90" s="50">
        <v>45869</v>
      </c>
      <c r="F90" s="51">
        <v>0.976567091664577</v>
      </c>
      <c r="G90" s="50">
        <v>45869</v>
      </c>
      <c r="H90" s="51">
        <v>0.9849445323113889</v>
      </c>
      <c r="I90" s="50">
        <v>45869</v>
      </c>
      <c r="J90" s="51">
        <v>0.6840126772341355</v>
      </c>
      <c r="K90" s="50">
        <v>45869</v>
      </c>
      <c r="L90" s="51">
        <v>0.68401990729965367</v>
      </c>
      <c r="M90" s="50">
        <v>45869</v>
      </c>
      <c r="N90" s="51">
        <v>0.54957516468631995</v>
      </c>
      <c r="O90" s="50">
        <v>45869</v>
      </c>
      <c r="P90" s="51">
        <v>0.58693651826162185</v>
      </c>
      <c r="Q90" s="50">
        <v>45869</v>
      </c>
      <c r="R90" s="51">
        <v>0.99620123301671948</v>
      </c>
      <c r="S90" s="50">
        <v>45869</v>
      </c>
      <c r="T90" s="51">
        <v>1.0293459903882058</v>
      </c>
      <c r="U90" s="50">
        <v>45869</v>
      </c>
      <c r="V90" s="51">
        <v>0.91923018007926693</v>
      </c>
      <c r="W90" s="50">
        <v>45869</v>
      </c>
      <c r="X90" s="51">
        <v>0.90764731034399049</v>
      </c>
      <c r="Y90" s="50">
        <v>45869</v>
      </c>
      <c r="Z90" s="51">
        <v>1.0068261118383774</v>
      </c>
      <c r="AA90" s="50">
        <v>45869</v>
      </c>
      <c r="AB90" s="51">
        <v>1.0180148750716114</v>
      </c>
      <c r="AC90" s="50">
        <v>45869</v>
      </c>
      <c r="AD90" s="51">
        <v>0.86140315247844546</v>
      </c>
      <c r="AE90" s="50">
        <v>45869</v>
      </c>
      <c r="AF90" s="51">
        <v>0.86504240593191684</v>
      </c>
    </row>
    <row r="91" spans="1:32" x14ac:dyDescent="0.25">
      <c r="A91" s="50">
        <v>45900</v>
      </c>
      <c r="B91" s="51">
        <v>0.84226440522181434</v>
      </c>
      <c r="C91" s="50">
        <v>45900</v>
      </c>
      <c r="D91" s="51">
        <v>0.84227977681962929</v>
      </c>
      <c r="E91" s="50">
        <v>45900</v>
      </c>
      <c r="F91" s="51">
        <v>0.97558241497459641</v>
      </c>
      <c r="G91" s="50">
        <v>45900</v>
      </c>
      <c r="H91" s="51">
        <v>0.98407504067226348</v>
      </c>
      <c r="I91" s="50">
        <v>45900</v>
      </c>
      <c r="J91" s="51">
        <v>0.67991367059909469</v>
      </c>
      <c r="K91" s="50">
        <v>45900</v>
      </c>
      <c r="L91" s="51">
        <v>0.67992088414441154</v>
      </c>
      <c r="M91" s="50">
        <v>45900</v>
      </c>
      <c r="N91" s="51">
        <v>0.54477281519937892</v>
      </c>
      <c r="O91" s="50">
        <v>45900</v>
      </c>
      <c r="P91" s="51">
        <v>0.58245012714654587</v>
      </c>
      <c r="Q91" s="50">
        <v>45900</v>
      </c>
      <c r="R91" s="51">
        <v>0.99599940259801423</v>
      </c>
      <c r="S91" s="50">
        <v>45900</v>
      </c>
      <c r="T91" s="51">
        <v>1.0296574141571453</v>
      </c>
      <c r="U91" s="50">
        <v>45900</v>
      </c>
      <c r="V91" s="51">
        <v>0.91809785103632002</v>
      </c>
      <c r="W91" s="50">
        <v>45900</v>
      </c>
      <c r="X91" s="51">
        <v>0.90627385284350148</v>
      </c>
      <c r="Y91" s="50">
        <v>45900</v>
      </c>
      <c r="Z91" s="51">
        <v>1.0062887883336604</v>
      </c>
      <c r="AA91" s="50">
        <v>45900</v>
      </c>
      <c r="AB91" s="51">
        <v>1.0177022862817919</v>
      </c>
      <c r="AC91" s="50">
        <v>45900</v>
      </c>
      <c r="AD91" s="51">
        <v>0.85958417245305963</v>
      </c>
      <c r="AE91" s="50">
        <v>45900</v>
      </c>
      <c r="AF91" s="51">
        <v>0.86322298982595436</v>
      </c>
    </row>
    <row r="92" spans="1:32" x14ac:dyDescent="0.25">
      <c r="A92" s="50">
        <v>45930</v>
      </c>
      <c r="B92" s="51">
        <v>0.8403728899638101</v>
      </c>
      <c r="C92" s="50">
        <v>45930</v>
      </c>
      <c r="D92" s="51">
        <v>0.84038824138214774</v>
      </c>
      <c r="E92" s="50">
        <v>45930</v>
      </c>
      <c r="F92" s="51">
        <v>0.97462950204880872</v>
      </c>
      <c r="G92" s="50">
        <v>45930</v>
      </c>
      <c r="H92" s="51">
        <v>0.98323359715052927</v>
      </c>
      <c r="I92" s="50">
        <v>45930</v>
      </c>
      <c r="J92" s="51">
        <v>0.675946889984539</v>
      </c>
      <c r="K92" s="50">
        <v>45930</v>
      </c>
      <c r="L92" s="51">
        <v>0.67595408754256436</v>
      </c>
      <c r="M92" s="50">
        <v>45930</v>
      </c>
      <c r="N92" s="51">
        <v>0.54012538021201673</v>
      </c>
      <c r="O92" s="50">
        <v>45930</v>
      </c>
      <c r="P92" s="51">
        <v>0.57810845832550461</v>
      </c>
      <c r="Q92" s="50">
        <v>45930</v>
      </c>
      <c r="R92" s="51">
        <v>0.99580408283797683</v>
      </c>
      <c r="S92" s="50">
        <v>45930</v>
      </c>
      <c r="T92" s="51">
        <v>1.0299587919980546</v>
      </c>
      <c r="U92" s="50">
        <v>45930</v>
      </c>
      <c r="V92" s="51">
        <v>0.91700204873669389</v>
      </c>
      <c r="W92" s="50">
        <v>45930</v>
      </c>
      <c r="X92" s="51">
        <v>0.90494470042367336</v>
      </c>
      <c r="Y92" s="50">
        <v>45930</v>
      </c>
      <c r="Z92" s="51">
        <v>1.0057687978452248</v>
      </c>
      <c r="AA92" s="50">
        <v>45930</v>
      </c>
      <c r="AB92" s="51">
        <v>1.0173997810013216</v>
      </c>
      <c r="AC92" s="50">
        <v>45930</v>
      </c>
      <c r="AD92" s="51">
        <v>0.85782386920268616</v>
      </c>
      <c r="AE92" s="50">
        <v>45930</v>
      </c>
      <c r="AF92" s="51">
        <v>0.86146226456211961</v>
      </c>
    </row>
    <row r="93" spans="1:32" x14ac:dyDescent="0.25">
      <c r="A93" s="50">
        <v>45961</v>
      </c>
      <c r="B93" s="51">
        <v>0.83841832419720574</v>
      </c>
      <c r="C93" s="50">
        <v>45961</v>
      </c>
      <c r="D93" s="51">
        <v>0.8384336547634168</v>
      </c>
      <c r="E93" s="50">
        <v>45961</v>
      </c>
      <c r="F93" s="51">
        <v>0.97364482535882813</v>
      </c>
      <c r="G93" s="50">
        <v>45961</v>
      </c>
      <c r="H93" s="51">
        <v>0.98236410551140385</v>
      </c>
      <c r="I93" s="50">
        <v>45961</v>
      </c>
      <c r="J93" s="51">
        <v>0.67192505154769344</v>
      </c>
      <c r="K93" s="50">
        <v>45961</v>
      </c>
      <c r="L93" s="51">
        <v>0.67193223303777572</v>
      </c>
      <c r="M93" s="50">
        <v>45961</v>
      </c>
      <c r="N93" s="51">
        <v>0.53532303072507581</v>
      </c>
      <c r="O93" s="50">
        <v>45961</v>
      </c>
      <c r="P93" s="51">
        <v>0.57362206721042863</v>
      </c>
      <c r="Q93" s="50">
        <v>45961</v>
      </c>
      <c r="R93" s="51">
        <v>0.99560225241927147</v>
      </c>
      <c r="S93" s="50">
        <v>45961</v>
      </c>
      <c r="T93" s="51">
        <v>1.0302702157669941</v>
      </c>
      <c r="U93" s="50">
        <v>45961</v>
      </c>
      <c r="V93" s="51">
        <v>0.91586971969374698</v>
      </c>
      <c r="W93" s="50">
        <v>45961</v>
      </c>
      <c r="X93" s="51">
        <v>0.90357124292318436</v>
      </c>
      <c r="Y93" s="50">
        <v>45961</v>
      </c>
      <c r="Z93" s="51">
        <v>1.0052314743405077</v>
      </c>
      <c r="AA93" s="50">
        <v>45961</v>
      </c>
      <c r="AB93" s="51">
        <v>1.0170871922115021</v>
      </c>
      <c r="AC93" s="50">
        <v>45961</v>
      </c>
      <c r="AD93" s="51">
        <v>0.85600488917730033</v>
      </c>
      <c r="AE93" s="50">
        <v>45961</v>
      </c>
      <c r="AF93" s="51">
        <v>0.85964284845615713</v>
      </c>
    </row>
    <row r="94" spans="1:32" x14ac:dyDescent="0.25">
      <c r="A94" s="50">
        <v>45991</v>
      </c>
      <c r="B94" s="51">
        <v>0.8365268089392015</v>
      </c>
      <c r="C94" s="50">
        <v>45991</v>
      </c>
      <c r="D94" s="51">
        <v>0.83654211932593525</v>
      </c>
      <c r="E94" s="50">
        <v>45991</v>
      </c>
      <c r="F94" s="51">
        <v>0.97269191243304043</v>
      </c>
      <c r="G94" s="50">
        <v>45991</v>
      </c>
      <c r="H94" s="51">
        <v>0.98152266198966953</v>
      </c>
      <c r="I94" s="50">
        <v>45991</v>
      </c>
      <c r="J94" s="51">
        <v>0.66803543913133312</v>
      </c>
      <c r="K94" s="50">
        <v>45991</v>
      </c>
      <c r="L94" s="51">
        <v>0.66804260508638214</v>
      </c>
      <c r="M94" s="50">
        <v>45991</v>
      </c>
      <c r="N94" s="51">
        <v>0.53067559573771361</v>
      </c>
      <c r="O94" s="50">
        <v>45991</v>
      </c>
      <c r="P94" s="51">
        <v>0.56928039838938727</v>
      </c>
      <c r="Q94" s="50">
        <v>45991</v>
      </c>
      <c r="R94" s="51">
        <v>0.99540693265923408</v>
      </c>
      <c r="S94" s="50">
        <v>45991</v>
      </c>
      <c r="T94" s="51">
        <v>1.0305715936079034</v>
      </c>
      <c r="U94" s="50">
        <v>45991</v>
      </c>
      <c r="V94" s="51">
        <v>0.91477391739412084</v>
      </c>
      <c r="W94" s="50">
        <v>45991</v>
      </c>
      <c r="X94" s="51">
        <v>0.90224209050335624</v>
      </c>
      <c r="Y94" s="50">
        <v>45991</v>
      </c>
      <c r="Z94" s="51">
        <v>1.0047114838520719</v>
      </c>
      <c r="AA94" s="50">
        <v>45991</v>
      </c>
      <c r="AB94" s="51">
        <v>1.0167846869310317</v>
      </c>
      <c r="AC94" s="50">
        <v>45991</v>
      </c>
      <c r="AD94" s="51">
        <v>0.85424458592692687</v>
      </c>
      <c r="AE94" s="50">
        <v>45991</v>
      </c>
      <c r="AF94" s="51">
        <v>0.85788212319232249</v>
      </c>
    </row>
    <row r="95" spans="1:32" x14ac:dyDescent="0.25">
      <c r="A95" s="50">
        <v>46022</v>
      </c>
      <c r="B95" s="51">
        <v>0.83457224317259715</v>
      </c>
      <c r="C95" s="50">
        <v>46022</v>
      </c>
      <c r="D95" s="51">
        <v>0.83458753270720432</v>
      </c>
      <c r="E95" s="50">
        <v>46022</v>
      </c>
      <c r="F95" s="51">
        <v>0.97170723574305984</v>
      </c>
      <c r="G95" s="50">
        <v>46022</v>
      </c>
      <c r="H95" s="51">
        <v>0.98065317035054411</v>
      </c>
      <c r="I95" s="50">
        <v>46022</v>
      </c>
      <c r="J95" s="51">
        <v>0.66401617296776072</v>
      </c>
      <c r="K95" s="50">
        <v>46022</v>
      </c>
      <c r="L95" s="51">
        <v>0.66402332286994192</v>
      </c>
      <c r="M95" s="50">
        <v>46022</v>
      </c>
      <c r="N95" s="51">
        <v>0.52587324625077259</v>
      </c>
      <c r="O95" s="50">
        <v>46022</v>
      </c>
      <c r="P95" s="51">
        <v>0.56479400727431128</v>
      </c>
      <c r="Q95" s="50">
        <v>46022</v>
      </c>
      <c r="R95" s="51">
        <v>0.99520510224052883</v>
      </c>
      <c r="S95" s="50">
        <v>46022</v>
      </c>
      <c r="T95" s="51">
        <v>1.0308830173768428</v>
      </c>
      <c r="U95" s="50">
        <v>46022</v>
      </c>
      <c r="V95" s="51">
        <v>0.91364158835117393</v>
      </c>
      <c r="W95" s="50">
        <v>46022</v>
      </c>
      <c r="X95" s="51">
        <v>0.90086863300286713</v>
      </c>
      <c r="Y95" s="50">
        <v>46022</v>
      </c>
      <c r="Z95" s="51">
        <v>1.0041741603473548</v>
      </c>
      <c r="AA95" s="50">
        <v>46022</v>
      </c>
      <c r="AB95" s="51">
        <v>1.0164720981412123</v>
      </c>
      <c r="AC95" s="50">
        <v>46022</v>
      </c>
      <c r="AD95" s="51">
        <v>0.85242560590154104</v>
      </c>
      <c r="AE95" s="50">
        <v>46022</v>
      </c>
      <c r="AF95" s="51">
        <v>0.85606270708636001</v>
      </c>
    </row>
    <row r="96" spans="1:32" x14ac:dyDescent="0.25">
      <c r="A96" s="50">
        <v>46053</v>
      </c>
      <c r="B96" s="51">
        <v>0.83257751170054728</v>
      </c>
      <c r="C96" s="50">
        <v>46053</v>
      </c>
      <c r="D96" s="51">
        <v>0.8325927814034918</v>
      </c>
      <c r="E96" s="50">
        <v>46053</v>
      </c>
      <c r="F96" s="51">
        <v>0.97056502241324305</v>
      </c>
      <c r="G96" s="50">
        <v>46053</v>
      </c>
      <c r="H96" s="51">
        <v>0.97961845482416265</v>
      </c>
      <c r="I96" s="50">
        <v>46053</v>
      </c>
      <c r="J96" s="51">
        <v>0.65985536994310867</v>
      </c>
      <c r="K96" s="50">
        <v>46053</v>
      </c>
      <c r="L96" s="51">
        <v>0.65986250341829789</v>
      </c>
      <c r="M96" s="50">
        <v>46053</v>
      </c>
      <c r="N96" s="51">
        <v>0.52153675430910118</v>
      </c>
      <c r="O96" s="50">
        <v>46053</v>
      </c>
      <c r="P96" s="51">
        <v>0.56061230915539495</v>
      </c>
      <c r="Q96" s="50">
        <v>46053</v>
      </c>
      <c r="R96" s="51">
        <v>0.99494931171705092</v>
      </c>
      <c r="S96" s="50">
        <v>46053</v>
      </c>
      <c r="T96" s="51">
        <v>1.0311192079943778</v>
      </c>
      <c r="U96" s="50">
        <v>46053</v>
      </c>
      <c r="V96" s="51">
        <v>0.91247217213529819</v>
      </c>
      <c r="W96" s="50">
        <v>46053</v>
      </c>
      <c r="X96" s="51">
        <v>0.89945667631153814</v>
      </c>
      <c r="Y96" s="50">
        <v>46053</v>
      </c>
      <c r="Z96" s="51">
        <v>1.0034241685118928</v>
      </c>
      <c r="AA96" s="50">
        <v>46053</v>
      </c>
      <c r="AB96" s="51">
        <v>1.0160520293452453</v>
      </c>
      <c r="AC96" s="50">
        <v>46053</v>
      </c>
      <c r="AD96" s="51">
        <v>0.85054826335327016</v>
      </c>
      <c r="AE96" s="50">
        <v>46053</v>
      </c>
      <c r="AF96" s="51">
        <v>0.85418729151607664</v>
      </c>
    </row>
    <row r="97" spans="1:32" x14ac:dyDescent="0.25">
      <c r="A97" s="50">
        <v>46081</v>
      </c>
      <c r="B97" s="51">
        <v>0.8307746094679942</v>
      </c>
      <c r="C97" s="50">
        <v>46081</v>
      </c>
      <c r="D97" s="51">
        <v>0.83078986128919285</v>
      </c>
      <c r="E97" s="50">
        <v>46081</v>
      </c>
      <c r="F97" s="51">
        <v>0.96952860281866071</v>
      </c>
      <c r="G97" s="50">
        <v>46081</v>
      </c>
      <c r="H97" s="51">
        <v>0.97867889857577151</v>
      </c>
      <c r="I97" s="50">
        <v>46081</v>
      </c>
      <c r="J97" s="51">
        <v>0.65609296395083117</v>
      </c>
      <c r="K97" s="50">
        <v>46081</v>
      </c>
      <c r="L97" s="51">
        <v>0.65610008257747343</v>
      </c>
      <c r="M97" s="50">
        <v>46081</v>
      </c>
      <c r="N97" s="51">
        <v>0.51763394869648127</v>
      </c>
      <c r="O97" s="50">
        <v>46081</v>
      </c>
      <c r="P97" s="51">
        <v>0.556844465052172</v>
      </c>
      <c r="Q97" s="50">
        <v>46081</v>
      </c>
      <c r="R97" s="51">
        <v>0.994716650509895</v>
      </c>
      <c r="S97" s="50">
        <v>46081</v>
      </c>
      <c r="T97" s="51">
        <v>1.0313302763712489</v>
      </c>
      <c r="U97" s="50">
        <v>46081</v>
      </c>
      <c r="V97" s="51">
        <v>0.91141480862758029</v>
      </c>
      <c r="W97" s="50">
        <v>46081</v>
      </c>
      <c r="X97" s="51">
        <v>0.89818020147491462</v>
      </c>
      <c r="Y97" s="50">
        <v>46081</v>
      </c>
      <c r="Z97" s="51">
        <v>1.0027403536139905</v>
      </c>
      <c r="AA97" s="50">
        <v>46081</v>
      </c>
      <c r="AB97" s="51">
        <v>1.0156693764110687</v>
      </c>
      <c r="AC97" s="50">
        <v>46081</v>
      </c>
      <c r="AD97" s="51">
        <v>0.84885084196489569</v>
      </c>
      <c r="AE97" s="50">
        <v>46081</v>
      </c>
      <c r="AF97" s="51">
        <v>0.85249168176979828</v>
      </c>
    </row>
    <row r="98" spans="1:32" x14ac:dyDescent="0.25">
      <c r="A98" s="50">
        <v>46112</v>
      </c>
      <c r="B98" s="51">
        <v>0.82877853913909605</v>
      </c>
      <c r="C98" s="50">
        <v>46112</v>
      </c>
      <c r="D98" s="51">
        <v>0.82879377116264763</v>
      </c>
      <c r="E98" s="50">
        <v>46112</v>
      </c>
      <c r="F98" s="51">
        <v>0.96838113826751593</v>
      </c>
      <c r="G98" s="50">
        <v>46112</v>
      </c>
      <c r="H98" s="51">
        <v>0.97763867558648143</v>
      </c>
      <c r="I98" s="50">
        <v>46112</v>
      </c>
      <c r="J98" s="51">
        <v>0.65192744303080974</v>
      </c>
      <c r="K98" s="50">
        <v>46112</v>
      </c>
      <c r="L98" s="51">
        <v>0.65193454521798921</v>
      </c>
      <c r="M98" s="50">
        <v>46112</v>
      </c>
      <c r="N98" s="51">
        <v>0.51331298533965208</v>
      </c>
      <c r="O98" s="50">
        <v>46112</v>
      </c>
      <c r="P98" s="51">
        <v>0.55267292336646101</v>
      </c>
      <c r="Q98" s="50">
        <v>46112</v>
      </c>
      <c r="R98" s="51">
        <v>0.99445906131625805</v>
      </c>
      <c r="S98" s="50">
        <v>46112</v>
      </c>
      <c r="T98" s="51">
        <v>1.0315639592170704</v>
      </c>
      <c r="U98" s="50">
        <v>46112</v>
      </c>
      <c r="V98" s="51">
        <v>0.9102441561726069</v>
      </c>
      <c r="W98" s="50">
        <v>46112</v>
      </c>
      <c r="X98" s="51">
        <v>0.89676696147722434</v>
      </c>
      <c r="Y98" s="50">
        <v>46112</v>
      </c>
      <c r="Z98" s="51">
        <v>1.00198327283417</v>
      </c>
      <c r="AA98" s="50">
        <v>46112</v>
      </c>
      <c r="AB98" s="51">
        <v>1.0152457249482301</v>
      </c>
      <c r="AC98" s="50">
        <v>46112</v>
      </c>
      <c r="AD98" s="51">
        <v>0.84697155399919533</v>
      </c>
      <c r="AE98" s="50">
        <v>46112</v>
      </c>
      <c r="AF98" s="51">
        <v>0.85061439955070428</v>
      </c>
    </row>
    <row r="99" spans="1:32" x14ac:dyDescent="0.25">
      <c r="A99" s="50">
        <v>46142</v>
      </c>
      <c r="B99" s="51">
        <v>0.82684685817564629</v>
      </c>
      <c r="C99" s="50">
        <v>46142</v>
      </c>
      <c r="D99" s="51">
        <v>0.8268620710401845</v>
      </c>
      <c r="E99" s="50">
        <v>46142</v>
      </c>
      <c r="F99" s="51">
        <v>0.96727068870189203</v>
      </c>
      <c r="G99" s="50">
        <v>46142</v>
      </c>
      <c r="H99" s="51">
        <v>0.97663200817749107</v>
      </c>
      <c r="I99" s="50">
        <v>46142</v>
      </c>
      <c r="J99" s="51">
        <v>0.64790687295004223</v>
      </c>
      <c r="K99" s="50">
        <v>46142</v>
      </c>
      <c r="L99" s="51">
        <v>0.64791395894787507</v>
      </c>
      <c r="M99" s="50">
        <v>46142</v>
      </c>
      <c r="N99" s="51">
        <v>0.5091314078975594</v>
      </c>
      <c r="O99" s="50">
        <v>46142</v>
      </c>
      <c r="P99" s="51">
        <v>0.54863594754157929</v>
      </c>
      <c r="Q99" s="50">
        <v>46142</v>
      </c>
      <c r="R99" s="51">
        <v>0.99420978145144812</v>
      </c>
      <c r="S99" s="50">
        <v>46142</v>
      </c>
      <c r="T99" s="51">
        <v>1.0317901039065751</v>
      </c>
      <c r="U99" s="50">
        <v>46142</v>
      </c>
      <c r="V99" s="51">
        <v>0.90911126670005193</v>
      </c>
      <c r="W99" s="50">
        <v>46142</v>
      </c>
      <c r="X99" s="51">
        <v>0.89539930986655625</v>
      </c>
      <c r="Y99" s="50">
        <v>46142</v>
      </c>
      <c r="Z99" s="51">
        <v>1.001250614014989</v>
      </c>
      <c r="AA99" s="50">
        <v>46142</v>
      </c>
      <c r="AB99" s="51">
        <v>1.0148357396616121</v>
      </c>
      <c r="AC99" s="50">
        <v>46142</v>
      </c>
      <c r="AD99" s="51">
        <v>0.84515288822593693</v>
      </c>
      <c r="AE99" s="50">
        <v>46142</v>
      </c>
      <c r="AF99" s="51">
        <v>0.84879767482254875</v>
      </c>
    </row>
    <row r="100" spans="1:32" x14ac:dyDescent="0.25">
      <c r="A100" s="50">
        <v>46173</v>
      </c>
      <c r="B100" s="51">
        <v>0.82485078784674815</v>
      </c>
      <c r="C100" s="50">
        <v>46173</v>
      </c>
      <c r="D100" s="51">
        <v>0.82486598091363927</v>
      </c>
      <c r="E100" s="50">
        <v>46173</v>
      </c>
      <c r="F100" s="51">
        <v>0.96612322415074736</v>
      </c>
      <c r="G100" s="50">
        <v>46173</v>
      </c>
      <c r="H100" s="51">
        <v>0.975591785188201</v>
      </c>
      <c r="I100" s="50">
        <v>46173</v>
      </c>
      <c r="J100" s="51">
        <v>0.64375266082646387</v>
      </c>
      <c r="K100" s="50">
        <v>46173</v>
      </c>
      <c r="L100" s="51">
        <v>0.64375973008532139</v>
      </c>
      <c r="M100" s="50">
        <v>46173</v>
      </c>
      <c r="N100" s="51">
        <v>0.50481044454073021</v>
      </c>
      <c r="O100" s="50">
        <v>46173</v>
      </c>
      <c r="P100" s="51">
        <v>0.54446440585586831</v>
      </c>
      <c r="Q100" s="50">
        <v>46173</v>
      </c>
      <c r="R100" s="51">
        <v>0.99395219225781117</v>
      </c>
      <c r="S100" s="50">
        <v>46173</v>
      </c>
      <c r="T100" s="51">
        <v>1.0320237867523967</v>
      </c>
      <c r="U100" s="50">
        <v>46173</v>
      </c>
      <c r="V100" s="51">
        <v>0.90794061424507855</v>
      </c>
      <c r="W100" s="50">
        <v>46173</v>
      </c>
      <c r="X100" s="51">
        <v>0.89398606986886597</v>
      </c>
      <c r="Y100" s="50">
        <v>46173</v>
      </c>
      <c r="Z100" s="51">
        <v>1.0004935332351688</v>
      </c>
      <c r="AA100" s="50">
        <v>46173</v>
      </c>
      <c r="AB100" s="51">
        <v>1.0144120881987737</v>
      </c>
      <c r="AC100" s="50">
        <v>46173</v>
      </c>
      <c r="AD100" s="51">
        <v>0.84327360026023668</v>
      </c>
      <c r="AE100" s="50">
        <v>46173</v>
      </c>
      <c r="AF100" s="51">
        <v>0.84692039260345475</v>
      </c>
    </row>
    <row r="101" spans="1:32" x14ac:dyDescent="0.25">
      <c r="A101" s="50">
        <v>46203</v>
      </c>
      <c r="B101" s="51">
        <v>0.82291910688329839</v>
      </c>
      <c r="C101" s="50">
        <v>46203</v>
      </c>
      <c r="D101" s="51">
        <v>0.82293428079117614</v>
      </c>
      <c r="E101" s="50">
        <v>46203</v>
      </c>
      <c r="F101" s="51">
        <v>0.96501277458512336</v>
      </c>
      <c r="G101" s="50">
        <v>46203</v>
      </c>
      <c r="H101" s="51">
        <v>0.97458511777921053</v>
      </c>
      <c r="I101" s="50">
        <v>46203</v>
      </c>
      <c r="J101" s="51">
        <v>0.63973245554558156</v>
      </c>
      <c r="K101" s="50">
        <v>46203</v>
      </c>
      <c r="L101" s="51">
        <v>0.63973950860543083</v>
      </c>
      <c r="M101" s="50">
        <v>46203</v>
      </c>
      <c r="N101" s="51">
        <v>0.50062886709863752</v>
      </c>
      <c r="O101" s="50">
        <v>46203</v>
      </c>
      <c r="P101" s="51">
        <v>0.54042743003098659</v>
      </c>
      <c r="Q101" s="50">
        <v>46203</v>
      </c>
      <c r="R101" s="51">
        <v>0.99370291239300124</v>
      </c>
      <c r="S101" s="50">
        <v>46203</v>
      </c>
      <c r="T101" s="51">
        <v>1.0322499314419014</v>
      </c>
      <c r="U101" s="50">
        <v>46203</v>
      </c>
      <c r="V101" s="51">
        <v>0.90680772477252369</v>
      </c>
      <c r="W101" s="50">
        <v>46203</v>
      </c>
      <c r="X101" s="51">
        <v>0.89261841825819788</v>
      </c>
      <c r="Y101" s="50">
        <v>46203</v>
      </c>
      <c r="Z101" s="51">
        <v>0.99976087441598782</v>
      </c>
      <c r="AA101" s="50">
        <v>46203</v>
      </c>
      <c r="AB101" s="51">
        <v>1.0140021029121558</v>
      </c>
      <c r="AC101" s="50">
        <v>46203</v>
      </c>
      <c r="AD101" s="51">
        <v>0.84145493448697828</v>
      </c>
      <c r="AE101" s="50">
        <v>46203</v>
      </c>
      <c r="AF101" s="51">
        <v>0.84510366787529922</v>
      </c>
    </row>
    <row r="102" spans="1:32" x14ac:dyDescent="0.25">
      <c r="A102" s="50">
        <v>46234</v>
      </c>
      <c r="B102" s="51">
        <v>0.82095783858331428</v>
      </c>
      <c r="C102" s="50">
        <v>46234</v>
      </c>
      <c r="D102" s="51">
        <v>0.82097299312170147</v>
      </c>
      <c r="E102" s="50">
        <v>46234</v>
      </c>
      <c r="F102" s="51">
        <v>0.96386531003397868</v>
      </c>
      <c r="G102" s="50">
        <v>46234</v>
      </c>
      <c r="H102" s="51">
        <v>0.97354489478992046</v>
      </c>
      <c r="I102" s="50">
        <v>46234</v>
      </c>
      <c r="J102" s="51">
        <v>0.63562322137540794</v>
      </c>
      <c r="K102" s="50">
        <v>46234</v>
      </c>
      <c r="L102" s="51">
        <v>0.63563025777826054</v>
      </c>
      <c r="M102" s="50">
        <v>46234</v>
      </c>
      <c r="N102" s="51">
        <v>0.49630790374180833</v>
      </c>
      <c r="O102" s="50">
        <v>46234</v>
      </c>
      <c r="P102" s="51">
        <v>0.5362558883452756</v>
      </c>
      <c r="Q102" s="50">
        <v>46234</v>
      </c>
      <c r="R102" s="51">
        <v>0.99342221343130577</v>
      </c>
      <c r="S102" s="50">
        <v>46234</v>
      </c>
      <c r="T102" s="51">
        <v>1.0324520765230076</v>
      </c>
      <c r="U102" s="50">
        <v>46234</v>
      </c>
      <c r="V102" s="51">
        <v>0.90565675653375355</v>
      </c>
      <c r="W102" s="50">
        <v>46234</v>
      </c>
      <c r="X102" s="51">
        <v>0.89121989375293253</v>
      </c>
      <c r="Y102" s="50">
        <v>46234</v>
      </c>
      <c r="Z102" s="51">
        <v>0.99900379363616743</v>
      </c>
      <c r="AA102" s="50">
        <v>46234</v>
      </c>
      <c r="AB102" s="51">
        <v>1.0135784514493171</v>
      </c>
      <c r="AC102" s="50">
        <v>46234</v>
      </c>
      <c r="AD102" s="51">
        <v>0.83962318873792541</v>
      </c>
      <c r="AE102" s="50">
        <v>46234</v>
      </c>
      <c r="AF102" s="51">
        <v>0.84326786501917828</v>
      </c>
    </row>
    <row r="103" spans="1:32" x14ac:dyDescent="0.25">
      <c r="A103" s="50">
        <v>46265</v>
      </c>
      <c r="B103" s="51">
        <v>0.81899773035096068</v>
      </c>
      <c r="C103" s="50">
        <v>46265</v>
      </c>
      <c r="D103" s="51">
        <v>0.81901286553412911</v>
      </c>
      <c r="E103" s="50">
        <v>46265</v>
      </c>
      <c r="F103" s="51">
        <v>0.96271784548283401</v>
      </c>
      <c r="G103" s="50">
        <v>46265</v>
      </c>
      <c r="H103" s="51">
        <v>0.97250467180063038</v>
      </c>
      <c r="I103" s="50">
        <v>46265</v>
      </c>
      <c r="J103" s="51">
        <v>0.63151548647034772</v>
      </c>
      <c r="K103" s="50">
        <v>46265</v>
      </c>
      <c r="L103" s="51">
        <v>0.63152250621893646</v>
      </c>
      <c r="M103" s="50">
        <v>46265</v>
      </c>
      <c r="N103" s="51">
        <v>0.4919869403849792</v>
      </c>
      <c r="O103" s="50">
        <v>46265</v>
      </c>
      <c r="P103" s="51">
        <v>0.5320843466595645</v>
      </c>
      <c r="Q103" s="50">
        <v>46265</v>
      </c>
      <c r="R103" s="51">
        <v>0.99314074414400844</v>
      </c>
      <c r="S103" s="50">
        <v>46265</v>
      </c>
      <c r="T103" s="51">
        <v>1.0326531703452901</v>
      </c>
      <c r="U103" s="50">
        <v>46265</v>
      </c>
      <c r="V103" s="51">
        <v>0.90450644443552342</v>
      </c>
      <c r="W103" s="50">
        <v>46265</v>
      </c>
      <c r="X103" s="51">
        <v>0.88982185976408135</v>
      </c>
      <c r="Y103" s="50">
        <v>46265</v>
      </c>
      <c r="Z103" s="51">
        <v>0.99824671285634703</v>
      </c>
      <c r="AA103" s="50">
        <v>46265</v>
      </c>
      <c r="AB103" s="51">
        <v>1.0131547999864787</v>
      </c>
      <c r="AC103" s="50">
        <v>46265</v>
      </c>
      <c r="AD103" s="51">
        <v>0.83779302772942743</v>
      </c>
      <c r="AE103" s="50">
        <v>46265</v>
      </c>
      <c r="AF103" s="51">
        <v>0.84143344480848981</v>
      </c>
    </row>
    <row r="104" spans="1:32" x14ac:dyDescent="0.25">
      <c r="A104" s="50">
        <v>46295</v>
      </c>
      <c r="B104" s="51">
        <v>0.81710085141642486</v>
      </c>
      <c r="C104" s="50">
        <v>46295</v>
      </c>
      <c r="D104" s="51">
        <v>0.81711596786873653</v>
      </c>
      <c r="E104" s="50">
        <v>46295</v>
      </c>
      <c r="F104" s="51">
        <v>0.96160739591721001</v>
      </c>
      <c r="G104" s="50">
        <v>46295</v>
      </c>
      <c r="H104" s="51">
        <v>0.97149800439163991</v>
      </c>
      <c r="I104" s="50">
        <v>46295</v>
      </c>
      <c r="J104" s="51">
        <v>0.62754025914287015</v>
      </c>
      <c r="K104" s="50">
        <v>46295</v>
      </c>
      <c r="L104" s="51">
        <v>0.62754726277442918</v>
      </c>
      <c r="M104" s="50">
        <v>46295</v>
      </c>
      <c r="N104" s="51">
        <v>0.48780536294288646</v>
      </c>
      <c r="O104" s="50">
        <v>46295</v>
      </c>
      <c r="P104" s="51">
        <v>0.52804737083468289</v>
      </c>
      <c r="Q104" s="50">
        <v>46295</v>
      </c>
      <c r="R104" s="51">
        <v>0.99286835451113997</v>
      </c>
      <c r="S104" s="50">
        <v>46295</v>
      </c>
      <c r="T104" s="51">
        <v>1.0328477772700795</v>
      </c>
      <c r="U104" s="50">
        <v>46295</v>
      </c>
      <c r="V104" s="51">
        <v>0.9033932391791718</v>
      </c>
      <c r="W104" s="50">
        <v>46295</v>
      </c>
      <c r="X104" s="51">
        <v>0.88846892364583829</v>
      </c>
      <c r="Y104" s="50">
        <v>46295</v>
      </c>
      <c r="Z104" s="51">
        <v>0.99751405403716609</v>
      </c>
      <c r="AA104" s="50">
        <v>46295</v>
      </c>
      <c r="AB104" s="51">
        <v>1.0127448146998608</v>
      </c>
      <c r="AC104" s="50">
        <v>46295</v>
      </c>
      <c r="AD104" s="51">
        <v>0.83602190417281652</v>
      </c>
      <c r="AE104" s="50">
        <v>46295</v>
      </c>
      <c r="AF104" s="51">
        <v>0.83965819944330733</v>
      </c>
    </row>
    <row r="105" spans="1:32" x14ac:dyDescent="0.25">
      <c r="A105" s="50">
        <v>46326</v>
      </c>
      <c r="B105" s="51">
        <v>0.81514074318407126</v>
      </c>
      <c r="C105" s="50">
        <v>46326</v>
      </c>
      <c r="D105" s="51">
        <v>0.81515584028116417</v>
      </c>
      <c r="E105" s="50">
        <v>46326</v>
      </c>
      <c r="F105" s="51">
        <v>0.96045993136606533</v>
      </c>
      <c r="G105" s="50">
        <v>46326</v>
      </c>
      <c r="H105" s="51">
        <v>0.97045778140234984</v>
      </c>
      <c r="I105" s="50">
        <v>46326</v>
      </c>
      <c r="J105" s="51">
        <v>0.62350943089576361</v>
      </c>
      <c r="K105" s="50">
        <v>46326</v>
      </c>
      <c r="L105" s="51">
        <v>0.6235164183214803</v>
      </c>
      <c r="M105" s="50">
        <v>46326</v>
      </c>
      <c r="N105" s="51">
        <v>0.48348439958605732</v>
      </c>
      <c r="O105" s="50">
        <v>46326</v>
      </c>
      <c r="P105" s="51">
        <v>0.52387582914897179</v>
      </c>
      <c r="Q105" s="50">
        <v>46326</v>
      </c>
      <c r="R105" s="51">
        <v>0.99258688522384253</v>
      </c>
      <c r="S105" s="50">
        <v>46326</v>
      </c>
      <c r="T105" s="51">
        <v>1.0330488710923618</v>
      </c>
      <c r="U105" s="50">
        <v>46326</v>
      </c>
      <c r="V105" s="51">
        <v>0.90224292708094178</v>
      </c>
      <c r="W105" s="50">
        <v>46326</v>
      </c>
      <c r="X105" s="51">
        <v>0.8870708896569871</v>
      </c>
      <c r="Y105" s="50">
        <v>46326</v>
      </c>
      <c r="Z105" s="51">
        <v>0.99675697325734569</v>
      </c>
      <c r="AA105" s="50">
        <v>46326</v>
      </c>
      <c r="AB105" s="51">
        <v>1.0123211632370221</v>
      </c>
      <c r="AC105" s="50">
        <v>46326</v>
      </c>
      <c r="AD105" s="51">
        <v>0.83419174316431854</v>
      </c>
      <c r="AE105" s="50">
        <v>46326</v>
      </c>
      <c r="AF105" s="51">
        <v>0.83782377923261875</v>
      </c>
    </row>
    <row r="106" spans="1:32" x14ac:dyDescent="0.25">
      <c r="A106" s="50">
        <v>46356</v>
      </c>
      <c r="B106" s="51">
        <v>0.81324386424953543</v>
      </c>
      <c r="C106" s="50">
        <v>46356</v>
      </c>
      <c r="D106" s="51">
        <v>0.81325894261577159</v>
      </c>
      <c r="E106" s="50">
        <v>46356</v>
      </c>
      <c r="F106" s="51">
        <v>0.95934948180044144</v>
      </c>
      <c r="G106" s="50">
        <v>46356</v>
      </c>
      <c r="H106" s="51">
        <v>0.96945111399335948</v>
      </c>
      <c r="I106" s="50">
        <v>46356</v>
      </c>
      <c r="J106" s="51">
        <v>0.61961111022623949</v>
      </c>
      <c r="K106" s="50">
        <v>46356</v>
      </c>
      <c r="L106" s="51">
        <v>0.61961808198334822</v>
      </c>
      <c r="M106" s="50">
        <v>46356</v>
      </c>
      <c r="N106" s="51">
        <v>0.47930282214396458</v>
      </c>
      <c r="O106" s="50">
        <v>46356</v>
      </c>
      <c r="P106" s="51">
        <v>0.51983885332409019</v>
      </c>
      <c r="Q106" s="50">
        <v>46356</v>
      </c>
      <c r="R106" s="51">
        <v>0.99231449559097407</v>
      </c>
      <c r="S106" s="50">
        <v>46356</v>
      </c>
      <c r="T106" s="51">
        <v>1.0332434780171511</v>
      </c>
      <c r="U106" s="50">
        <v>46356</v>
      </c>
      <c r="V106" s="51">
        <v>0.90112972182459006</v>
      </c>
      <c r="W106" s="50">
        <v>46356</v>
      </c>
      <c r="X106" s="51">
        <v>0.88571795353874405</v>
      </c>
      <c r="Y106" s="50">
        <v>46356</v>
      </c>
      <c r="Z106" s="51">
        <v>0.99602431443816475</v>
      </c>
      <c r="AA106" s="50">
        <v>46356</v>
      </c>
      <c r="AB106" s="51">
        <v>1.0119111779504042</v>
      </c>
      <c r="AC106" s="50">
        <v>46356</v>
      </c>
      <c r="AD106" s="51">
        <v>0.83242061960770763</v>
      </c>
      <c r="AE106" s="50">
        <v>46356</v>
      </c>
      <c r="AF106" s="51">
        <v>0.83604853386743627</v>
      </c>
    </row>
    <row r="107" spans="1:32" x14ac:dyDescent="0.25">
      <c r="A107" s="50">
        <v>46387</v>
      </c>
      <c r="B107" s="51">
        <v>0.81128375601718183</v>
      </c>
      <c r="C107" s="50">
        <v>46387</v>
      </c>
      <c r="D107" s="51">
        <v>0.81129881502819923</v>
      </c>
      <c r="E107" s="50">
        <v>46387</v>
      </c>
      <c r="F107" s="51">
        <v>0.95820201724929666</v>
      </c>
      <c r="G107" s="50">
        <v>46387</v>
      </c>
      <c r="H107" s="51">
        <v>0.96841089100406941</v>
      </c>
      <c r="I107" s="50">
        <v>46387</v>
      </c>
      <c r="J107" s="51">
        <v>0.61558284553439802</v>
      </c>
      <c r="K107" s="50">
        <v>46387</v>
      </c>
      <c r="L107" s="51">
        <v>0.61558980110061179</v>
      </c>
      <c r="M107" s="50">
        <v>46387</v>
      </c>
      <c r="N107" s="51">
        <v>0.47498185878713545</v>
      </c>
      <c r="O107" s="50">
        <v>46387</v>
      </c>
      <c r="P107" s="51">
        <v>0.51566731163837909</v>
      </c>
      <c r="Q107" s="50">
        <v>46387</v>
      </c>
      <c r="R107" s="51">
        <v>0.99203302630367673</v>
      </c>
      <c r="S107" s="50">
        <v>46387</v>
      </c>
      <c r="T107" s="51">
        <v>1.0334445718394336</v>
      </c>
      <c r="U107" s="50">
        <v>46387</v>
      </c>
      <c r="V107" s="51">
        <v>0.89997940972636004</v>
      </c>
      <c r="W107" s="50">
        <v>46387</v>
      </c>
      <c r="X107" s="51">
        <v>0.88431991954989286</v>
      </c>
      <c r="Y107" s="50">
        <v>46387</v>
      </c>
      <c r="Z107" s="51">
        <v>0.99526723365834435</v>
      </c>
      <c r="AA107" s="50">
        <v>46387</v>
      </c>
      <c r="AB107" s="51">
        <v>1.0114875264875658</v>
      </c>
      <c r="AC107" s="50">
        <v>46387</v>
      </c>
      <c r="AD107" s="51">
        <v>0.83059045859920977</v>
      </c>
      <c r="AE107" s="50">
        <v>46387</v>
      </c>
      <c r="AF107" s="51">
        <v>0.8342141136567478</v>
      </c>
    </row>
    <row r="108" spans="1:32" x14ac:dyDescent="0.25">
      <c r="A108" s="50">
        <v>46418</v>
      </c>
      <c r="B108" s="51">
        <v>0.80930433316913741</v>
      </c>
      <c r="C108" s="50">
        <v>46418</v>
      </c>
      <c r="D108" s="51">
        <v>0.80931937196509762</v>
      </c>
      <c r="E108" s="50">
        <v>46418</v>
      </c>
      <c r="F108" s="51">
        <v>0.95693106597060695</v>
      </c>
      <c r="G108" s="50">
        <v>46418</v>
      </c>
      <c r="H108" s="51">
        <v>0.9672271231758367</v>
      </c>
      <c r="I108" s="50">
        <v>46418</v>
      </c>
      <c r="J108" s="51">
        <v>0.61179395690495664</v>
      </c>
      <c r="K108" s="50">
        <v>46418</v>
      </c>
      <c r="L108" s="51">
        <v>0.61180088924470177</v>
      </c>
      <c r="M108" s="50">
        <v>46418</v>
      </c>
      <c r="N108" s="51">
        <v>0.4711752770628993</v>
      </c>
      <c r="O108" s="50">
        <v>46418</v>
      </c>
      <c r="P108" s="51">
        <v>0.51194993932895205</v>
      </c>
      <c r="Q108" s="50">
        <v>46418</v>
      </c>
      <c r="R108" s="51">
        <v>0.99168878254160764</v>
      </c>
      <c r="S108" s="50">
        <v>46418</v>
      </c>
      <c r="T108" s="51">
        <v>1.033566078161068</v>
      </c>
      <c r="U108" s="50">
        <v>46418</v>
      </c>
      <c r="V108" s="51">
        <v>0.89878879948021784</v>
      </c>
      <c r="W108" s="50">
        <v>46418</v>
      </c>
      <c r="X108" s="51">
        <v>0.88290036799181904</v>
      </c>
      <c r="Y108" s="50">
        <v>46418</v>
      </c>
      <c r="Z108" s="51">
        <v>0.99444206936760204</v>
      </c>
      <c r="AA108" s="50">
        <v>46418</v>
      </c>
      <c r="AB108" s="51">
        <v>1.0109438343560084</v>
      </c>
      <c r="AC108" s="50">
        <v>46418</v>
      </c>
      <c r="AD108" s="51">
        <v>0.82872077771108688</v>
      </c>
      <c r="AE108" s="50">
        <v>46418</v>
      </c>
      <c r="AF108" s="51">
        <v>0.83234433258000129</v>
      </c>
    </row>
    <row r="109" spans="1:32" x14ac:dyDescent="0.25">
      <c r="A109" s="50">
        <v>46446</v>
      </c>
      <c r="B109" s="51">
        <v>0.80751588585559264</v>
      </c>
      <c r="C109" s="50">
        <v>46446</v>
      </c>
      <c r="D109" s="51">
        <v>0.80753090636690383</v>
      </c>
      <c r="E109" s="50">
        <v>46446</v>
      </c>
      <c r="F109" s="51">
        <v>0.95577939209698271</v>
      </c>
      <c r="G109" s="50">
        <v>46446</v>
      </c>
      <c r="H109" s="51">
        <v>0.9661535917444326</v>
      </c>
      <c r="I109" s="50">
        <v>46446</v>
      </c>
      <c r="J109" s="51">
        <v>0.60837894193830777</v>
      </c>
      <c r="K109" s="50">
        <v>46446</v>
      </c>
      <c r="L109" s="51">
        <v>0.60838585308748316</v>
      </c>
      <c r="M109" s="50">
        <v>46446</v>
      </c>
      <c r="N109" s="51">
        <v>0.46775256097403295</v>
      </c>
      <c r="O109" s="50">
        <v>46446</v>
      </c>
      <c r="P109" s="51">
        <v>0.50860598664359424</v>
      </c>
      <c r="Q109" s="50">
        <v>46446</v>
      </c>
      <c r="R109" s="51">
        <v>0.99137596270781014</v>
      </c>
      <c r="S109" s="50">
        <v>46446</v>
      </c>
      <c r="T109" s="51">
        <v>1.0336734296235999</v>
      </c>
      <c r="U109" s="50">
        <v>46446</v>
      </c>
      <c r="V109" s="51">
        <v>0.897712196302905</v>
      </c>
      <c r="W109" s="50">
        <v>46446</v>
      </c>
      <c r="X109" s="51">
        <v>0.88161754455018437</v>
      </c>
      <c r="Y109" s="50">
        <v>46446</v>
      </c>
      <c r="Z109" s="51">
        <v>0.99369470985950592</v>
      </c>
      <c r="AA109" s="50">
        <v>46446</v>
      </c>
      <c r="AB109" s="51">
        <v>1.0104491434643608</v>
      </c>
      <c r="AC109" s="50">
        <v>46446</v>
      </c>
      <c r="AD109" s="51">
        <v>0.82703084383726677</v>
      </c>
      <c r="AE109" s="50">
        <v>46446</v>
      </c>
      <c r="AF109" s="51">
        <v>0.83065443343084366</v>
      </c>
    </row>
    <row r="110" spans="1:32" x14ac:dyDescent="0.25">
      <c r="A110" s="50">
        <v>46477</v>
      </c>
      <c r="B110" s="51">
        <v>0.80553581918702521</v>
      </c>
      <c r="C110" s="50">
        <v>46477</v>
      </c>
      <c r="D110" s="51">
        <v>0.80555081945461793</v>
      </c>
      <c r="E110" s="50">
        <v>46477</v>
      </c>
      <c r="F110" s="51">
        <v>0.95450432459404155</v>
      </c>
      <c r="G110" s="50">
        <v>46477</v>
      </c>
      <c r="H110" s="51">
        <v>0.96496503908823517</v>
      </c>
      <c r="I110" s="50">
        <v>46477</v>
      </c>
      <c r="J110" s="51">
        <v>0.60459803251094635</v>
      </c>
      <c r="K110" s="50">
        <v>46477</v>
      </c>
      <c r="L110" s="51">
        <v>0.60460492019913392</v>
      </c>
      <c r="M110" s="50">
        <v>46477</v>
      </c>
      <c r="N110" s="51">
        <v>0.46396312530421657</v>
      </c>
      <c r="O110" s="50">
        <v>46477</v>
      </c>
      <c r="P110" s="51">
        <v>0.50490375331337667</v>
      </c>
      <c r="Q110" s="50">
        <v>46477</v>
      </c>
      <c r="R110" s="51">
        <v>0.99102962646324866</v>
      </c>
      <c r="S110" s="50">
        <v>46477</v>
      </c>
      <c r="T110" s="51">
        <v>1.033792283028546</v>
      </c>
      <c r="U110" s="50">
        <v>46477</v>
      </c>
      <c r="V110" s="51">
        <v>0.89652024278516573</v>
      </c>
      <c r="W110" s="50">
        <v>46477</v>
      </c>
      <c r="X110" s="51">
        <v>0.88019727573980311</v>
      </c>
      <c r="Y110" s="50">
        <v>46477</v>
      </c>
      <c r="Z110" s="51">
        <v>0.99286727611839953</v>
      </c>
      <c r="AA110" s="50">
        <v>46477</v>
      </c>
      <c r="AB110" s="51">
        <v>1.0099014499771795</v>
      </c>
      <c r="AC110" s="50">
        <v>46477</v>
      </c>
      <c r="AD110" s="51">
        <v>0.82515984561982314</v>
      </c>
      <c r="AE110" s="50">
        <v>46477</v>
      </c>
      <c r="AF110" s="51">
        <v>0.82878347365856198</v>
      </c>
    </row>
    <row r="111" spans="1:32" x14ac:dyDescent="0.25">
      <c r="A111" s="50">
        <v>46507</v>
      </c>
      <c r="B111" s="51">
        <v>0.80361962563679856</v>
      </c>
      <c r="C111" s="50">
        <v>46507</v>
      </c>
      <c r="D111" s="51">
        <v>0.8036346063136961</v>
      </c>
      <c r="E111" s="50">
        <v>46507</v>
      </c>
      <c r="F111" s="51">
        <v>0.95327038830087263</v>
      </c>
      <c r="G111" s="50">
        <v>46507</v>
      </c>
      <c r="H111" s="51">
        <v>0.96381482684030217</v>
      </c>
      <c r="I111" s="50">
        <v>46507</v>
      </c>
      <c r="J111" s="51">
        <v>0.60096354884060288</v>
      </c>
      <c r="K111" s="50">
        <v>46507</v>
      </c>
      <c r="L111" s="51">
        <v>0.60097041382847383</v>
      </c>
      <c r="M111" s="50">
        <v>46507</v>
      </c>
      <c r="N111" s="51">
        <v>0.46029592949471687</v>
      </c>
      <c r="O111" s="50">
        <v>46507</v>
      </c>
      <c r="P111" s="51">
        <v>0.50132094686477913</v>
      </c>
      <c r="Q111" s="50">
        <v>46507</v>
      </c>
      <c r="R111" s="51">
        <v>0.99069446235560843</v>
      </c>
      <c r="S111" s="50">
        <v>46507</v>
      </c>
      <c r="T111" s="51">
        <v>1.0339073024526875</v>
      </c>
      <c r="U111" s="50">
        <v>46507</v>
      </c>
      <c r="V111" s="51">
        <v>0.89536673938090194</v>
      </c>
      <c r="W111" s="50">
        <v>46507</v>
      </c>
      <c r="X111" s="51">
        <v>0.87882282205233742</v>
      </c>
      <c r="Y111" s="50">
        <v>46507</v>
      </c>
      <c r="Z111" s="51">
        <v>0.99206653378829657</v>
      </c>
      <c r="AA111" s="50">
        <v>46507</v>
      </c>
      <c r="AB111" s="51">
        <v>1.0093714240218425</v>
      </c>
      <c r="AC111" s="50">
        <v>46507</v>
      </c>
      <c r="AD111" s="51">
        <v>0.82334920218358731</v>
      </c>
      <c r="AE111" s="50">
        <v>46507</v>
      </c>
      <c r="AF111" s="51">
        <v>0.82697286742732157</v>
      </c>
    </row>
    <row r="112" spans="1:32" x14ac:dyDescent="0.25">
      <c r="A112" s="50">
        <v>46538</v>
      </c>
      <c r="B112" s="51">
        <v>0.80163955896823114</v>
      </c>
      <c r="C112" s="50">
        <v>46538</v>
      </c>
      <c r="D112" s="51">
        <v>0.80165451940141019</v>
      </c>
      <c r="E112" s="50">
        <v>46538</v>
      </c>
      <c r="F112" s="51">
        <v>0.95199532079793148</v>
      </c>
      <c r="G112" s="50">
        <v>46538</v>
      </c>
      <c r="H112" s="51">
        <v>0.96262627418410474</v>
      </c>
      <c r="I112" s="50">
        <v>46538</v>
      </c>
      <c r="J112" s="51">
        <v>0.5972087873111791</v>
      </c>
      <c r="K112" s="50">
        <v>46538</v>
      </c>
      <c r="L112" s="51">
        <v>0.59721562884219392</v>
      </c>
      <c r="M112" s="50">
        <v>46538</v>
      </c>
      <c r="N112" s="51">
        <v>0.45650649382490055</v>
      </c>
      <c r="O112" s="50">
        <v>46538</v>
      </c>
      <c r="P112" s="51">
        <v>0.49761871353456155</v>
      </c>
      <c r="Q112" s="50">
        <v>46538</v>
      </c>
      <c r="R112" s="51">
        <v>0.99034812611104694</v>
      </c>
      <c r="S112" s="50">
        <v>46538</v>
      </c>
      <c r="T112" s="51">
        <v>1.0340261558576336</v>
      </c>
      <c r="U112" s="50">
        <v>46538</v>
      </c>
      <c r="V112" s="51">
        <v>0.89417478586316279</v>
      </c>
      <c r="W112" s="50">
        <v>46538</v>
      </c>
      <c r="X112" s="51">
        <v>0.87740255324195626</v>
      </c>
      <c r="Y112" s="50">
        <v>46538</v>
      </c>
      <c r="Z112" s="51">
        <v>0.99123910004719007</v>
      </c>
      <c r="AA112" s="50">
        <v>46538</v>
      </c>
      <c r="AB112" s="51">
        <v>1.0088237305346612</v>
      </c>
      <c r="AC112" s="50">
        <v>46538</v>
      </c>
      <c r="AD112" s="51">
        <v>0.82147820396614368</v>
      </c>
      <c r="AE112" s="50">
        <v>46538</v>
      </c>
      <c r="AF112" s="51">
        <v>0.82510190765503988</v>
      </c>
    </row>
    <row r="113" spans="1:32" x14ac:dyDescent="0.25">
      <c r="A113" s="50">
        <v>46568</v>
      </c>
      <c r="B113" s="51">
        <v>0.79972336541800459</v>
      </c>
      <c r="C113" s="50">
        <v>46568</v>
      </c>
      <c r="D113" s="51">
        <v>0.79973830626048836</v>
      </c>
      <c r="E113" s="50">
        <v>46568</v>
      </c>
      <c r="F113" s="51">
        <v>0.95076138450476255</v>
      </c>
      <c r="G113" s="50">
        <v>46568</v>
      </c>
      <c r="H113" s="51">
        <v>0.96147606193617174</v>
      </c>
      <c r="I113" s="50">
        <v>46568</v>
      </c>
      <c r="J113" s="51">
        <v>0.59357514712141413</v>
      </c>
      <c r="K113" s="50">
        <v>46568</v>
      </c>
      <c r="L113" s="51">
        <v>0.59358196595224566</v>
      </c>
      <c r="M113" s="50">
        <v>46568</v>
      </c>
      <c r="N113" s="51">
        <v>0.45283929801540085</v>
      </c>
      <c r="O113" s="50">
        <v>46568</v>
      </c>
      <c r="P113" s="51">
        <v>0.4940359070859639</v>
      </c>
      <c r="Q113" s="50">
        <v>46568</v>
      </c>
      <c r="R113" s="51">
        <v>0.99001296200340683</v>
      </c>
      <c r="S113" s="50">
        <v>46568</v>
      </c>
      <c r="T113" s="51">
        <v>1.0341411752817751</v>
      </c>
      <c r="U113" s="50">
        <v>46568</v>
      </c>
      <c r="V113" s="51">
        <v>0.893021282458899</v>
      </c>
      <c r="W113" s="50">
        <v>46568</v>
      </c>
      <c r="X113" s="51">
        <v>0.87602809955449057</v>
      </c>
      <c r="Y113" s="50">
        <v>46568</v>
      </c>
      <c r="Z113" s="51">
        <v>0.9904383577170871</v>
      </c>
      <c r="AA113" s="50">
        <v>46568</v>
      </c>
      <c r="AB113" s="51">
        <v>1.0082937045793245</v>
      </c>
      <c r="AC113" s="50">
        <v>46568</v>
      </c>
      <c r="AD113" s="51">
        <v>0.81966756052990786</v>
      </c>
      <c r="AE113" s="50">
        <v>46568</v>
      </c>
      <c r="AF113" s="51">
        <v>0.82329130142379958</v>
      </c>
    </row>
    <row r="114" spans="1:32" x14ac:dyDescent="0.25">
      <c r="A114" s="50">
        <v>46599</v>
      </c>
      <c r="B114" s="51">
        <v>0.79777850891988689</v>
      </c>
      <c r="C114" s="50">
        <v>46599</v>
      </c>
      <c r="D114" s="51">
        <v>0.7977934299639573</v>
      </c>
      <c r="E114" s="50">
        <v>46599</v>
      </c>
      <c r="F114" s="51">
        <v>0.9494863170018214</v>
      </c>
      <c r="G114" s="50">
        <v>46599</v>
      </c>
      <c r="H114" s="51">
        <v>0.96028750927997431</v>
      </c>
      <c r="I114" s="50">
        <v>46599</v>
      </c>
      <c r="J114" s="51">
        <v>0.58987745761720378</v>
      </c>
      <c r="K114" s="50">
        <v>46599</v>
      </c>
      <c r="L114" s="51">
        <v>0.58988425336019612</v>
      </c>
      <c r="M114" s="50">
        <v>46599</v>
      </c>
      <c r="N114" s="51">
        <v>0.44904986234558447</v>
      </c>
      <c r="O114" s="50">
        <v>46599</v>
      </c>
      <c r="P114" s="51">
        <v>0.49033367375574632</v>
      </c>
      <c r="Q114" s="50">
        <v>46599</v>
      </c>
      <c r="R114" s="51">
        <v>0.98963994697978197</v>
      </c>
      <c r="S114" s="50">
        <v>46599</v>
      </c>
      <c r="T114" s="51">
        <v>1.034222231602782</v>
      </c>
      <c r="U114" s="50">
        <v>46599</v>
      </c>
      <c r="V114" s="51">
        <v>0.89184482221032579</v>
      </c>
      <c r="W114" s="50">
        <v>46599</v>
      </c>
      <c r="X114" s="51">
        <v>0.874621624314732</v>
      </c>
      <c r="Y114" s="50">
        <v>46599</v>
      </c>
      <c r="Z114" s="51">
        <v>0.98961092397598072</v>
      </c>
      <c r="AA114" s="50">
        <v>46599</v>
      </c>
      <c r="AB114" s="51">
        <v>1.0077460110921432</v>
      </c>
      <c r="AC114" s="50">
        <v>46599</v>
      </c>
      <c r="AD114" s="51">
        <v>0.81783768511985255</v>
      </c>
      <c r="AE114" s="50">
        <v>46599</v>
      </c>
      <c r="AF114" s="51">
        <v>0.82145673416604137</v>
      </c>
    </row>
    <row r="115" spans="1:32" x14ac:dyDescent="0.25">
      <c r="A115" s="50">
        <v>46630</v>
      </c>
      <c r="B115" s="51">
        <v>0.79583482609411749</v>
      </c>
      <c r="C115" s="50">
        <v>46630</v>
      </c>
      <c r="D115" s="51">
        <v>0.79584972735461801</v>
      </c>
      <c r="E115" s="50">
        <v>46630</v>
      </c>
      <c r="F115" s="51">
        <v>0.94821124949888014</v>
      </c>
      <c r="G115" s="50">
        <v>46630</v>
      </c>
      <c r="H115" s="51">
        <v>0.95909895662377687</v>
      </c>
      <c r="I115" s="50">
        <v>46630</v>
      </c>
      <c r="J115" s="51">
        <v>0.58618167051383385</v>
      </c>
      <c r="K115" s="50">
        <v>46630</v>
      </c>
      <c r="L115" s="51">
        <v>0.58618844318128749</v>
      </c>
      <c r="M115" s="50">
        <v>46630</v>
      </c>
      <c r="N115" s="51">
        <v>0.44526042667576815</v>
      </c>
      <c r="O115" s="50">
        <v>46630</v>
      </c>
      <c r="P115" s="51">
        <v>0.48663144042552881</v>
      </c>
      <c r="Q115" s="50">
        <v>46630</v>
      </c>
      <c r="R115" s="51">
        <v>0.98926604266352169</v>
      </c>
      <c r="S115" s="50">
        <v>46630</v>
      </c>
      <c r="T115" s="51">
        <v>1.0343020280209911</v>
      </c>
      <c r="U115" s="50">
        <v>46630</v>
      </c>
      <c r="V115" s="51">
        <v>0.89066887840405817</v>
      </c>
      <c r="W115" s="50">
        <v>46630</v>
      </c>
      <c r="X115" s="51">
        <v>0.87321560886066096</v>
      </c>
      <c r="Y115" s="50">
        <v>46630</v>
      </c>
      <c r="Z115" s="51">
        <v>0.98878349023487433</v>
      </c>
      <c r="AA115" s="50">
        <v>46630</v>
      </c>
      <c r="AB115" s="51">
        <v>1.0071983176049619</v>
      </c>
      <c r="AC115" s="50">
        <v>46630</v>
      </c>
      <c r="AD115" s="51">
        <v>0.81600918047004345</v>
      </c>
      <c r="AE115" s="50">
        <v>46630</v>
      </c>
      <c r="AF115" s="51">
        <v>0.81962337999210055</v>
      </c>
    </row>
    <row r="116" spans="1:32" x14ac:dyDescent="0.25">
      <c r="A116" s="50">
        <v>46660</v>
      </c>
      <c r="B116" s="51">
        <v>0.79395384271434066</v>
      </c>
      <c r="C116" s="50">
        <v>46660</v>
      </c>
      <c r="D116" s="51">
        <v>0.79396872482945091</v>
      </c>
      <c r="E116" s="50">
        <v>46660</v>
      </c>
      <c r="F116" s="51">
        <v>0.94697731320571132</v>
      </c>
      <c r="G116" s="50">
        <v>46660</v>
      </c>
      <c r="H116" s="51">
        <v>0.95794874437584399</v>
      </c>
      <c r="I116" s="50">
        <v>46660</v>
      </c>
      <c r="J116" s="51">
        <v>0.58260510234928231</v>
      </c>
      <c r="K116" s="50">
        <v>46660</v>
      </c>
      <c r="L116" s="51">
        <v>0.58261185268556959</v>
      </c>
      <c r="M116" s="50">
        <v>46660</v>
      </c>
      <c r="N116" s="51">
        <v>0.44159323086626845</v>
      </c>
      <c r="O116" s="50">
        <v>46660</v>
      </c>
      <c r="P116" s="51">
        <v>0.48304863397693115</v>
      </c>
      <c r="Q116" s="50">
        <v>46660</v>
      </c>
      <c r="R116" s="51">
        <v>0.98890419977681809</v>
      </c>
      <c r="S116" s="50">
        <v>46660</v>
      </c>
      <c r="T116" s="51">
        <v>1.0343792503611935</v>
      </c>
      <c r="U116" s="50">
        <v>46660</v>
      </c>
      <c r="V116" s="51">
        <v>0.88953086826896055</v>
      </c>
      <c r="W116" s="50">
        <v>46660</v>
      </c>
      <c r="X116" s="51">
        <v>0.87185494874381797</v>
      </c>
      <c r="Y116" s="50">
        <v>46660</v>
      </c>
      <c r="Z116" s="51">
        <v>0.98798274790477136</v>
      </c>
      <c r="AA116" s="50">
        <v>46660</v>
      </c>
      <c r="AB116" s="51">
        <v>1.006668291649625</v>
      </c>
      <c r="AC116" s="50">
        <v>46660</v>
      </c>
      <c r="AD116" s="51">
        <v>0.81423965984119595</v>
      </c>
      <c r="AE116" s="50">
        <v>46660</v>
      </c>
      <c r="AF116" s="51">
        <v>0.81784916627538373</v>
      </c>
    </row>
    <row r="117" spans="1:32" x14ac:dyDescent="0.25">
      <c r="A117" s="50">
        <v>46691</v>
      </c>
      <c r="B117" s="51">
        <v>0.79201015988857137</v>
      </c>
      <c r="C117" s="50">
        <v>46691</v>
      </c>
      <c r="D117" s="51">
        <v>0.79202502222011173</v>
      </c>
      <c r="E117" s="50">
        <v>46691</v>
      </c>
      <c r="F117" s="51">
        <v>0.94570224570277017</v>
      </c>
      <c r="G117" s="50">
        <v>46691</v>
      </c>
      <c r="H117" s="51">
        <v>0.95676019171964655</v>
      </c>
      <c r="I117" s="50">
        <v>46691</v>
      </c>
      <c r="J117" s="51">
        <v>0.57896514799372834</v>
      </c>
      <c r="K117" s="50">
        <v>46691</v>
      </c>
      <c r="L117" s="51">
        <v>0.57897187561543095</v>
      </c>
      <c r="M117" s="50">
        <v>46691</v>
      </c>
      <c r="N117" s="51">
        <v>0.43780379519645207</v>
      </c>
      <c r="O117" s="50">
        <v>46691</v>
      </c>
      <c r="P117" s="51">
        <v>0.47934640064671358</v>
      </c>
      <c r="Q117" s="50">
        <v>46691</v>
      </c>
      <c r="R117" s="51">
        <v>0.98853029546055782</v>
      </c>
      <c r="S117" s="50">
        <v>46691</v>
      </c>
      <c r="T117" s="51">
        <v>1.0344590467794028</v>
      </c>
      <c r="U117" s="50">
        <v>46691</v>
      </c>
      <c r="V117" s="51">
        <v>0.88835492446269293</v>
      </c>
      <c r="W117" s="50">
        <v>46691</v>
      </c>
      <c r="X117" s="51">
        <v>0.87044893328974693</v>
      </c>
      <c r="Y117" s="50">
        <v>46691</v>
      </c>
      <c r="Z117" s="51">
        <v>0.98715531416366487</v>
      </c>
      <c r="AA117" s="50">
        <v>46691</v>
      </c>
      <c r="AB117" s="51">
        <v>1.0061205981624437</v>
      </c>
      <c r="AC117" s="50">
        <v>46691</v>
      </c>
      <c r="AD117" s="51">
        <v>0.81241115519138696</v>
      </c>
      <c r="AE117" s="50">
        <v>46691</v>
      </c>
      <c r="AF117" s="51">
        <v>0.81601581210144292</v>
      </c>
    </row>
    <row r="118" spans="1:32" x14ac:dyDescent="0.25">
      <c r="A118" s="50">
        <v>46721</v>
      </c>
      <c r="B118" s="51">
        <v>0.79012917650879455</v>
      </c>
      <c r="C118" s="50">
        <v>46721</v>
      </c>
      <c r="D118" s="51">
        <v>0.79014401969494463</v>
      </c>
      <c r="E118" s="50">
        <v>46721</v>
      </c>
      <c r="F118" s="51">
        <v>0.94446830940960125</v>
      </c>
      <c r="G118" s="50">
        <v>46721</v>
      </c>
      <c r="H118" s="51">
        <v>0.95560997947171356</v>
      </c>
      <c r="I118" s="50">
        <v>46721</v>
      </c>
      <c r="J118" s="51">
        <v>0.57544441257699275</v>
      </c>
      <c r="K118" s="50">
        <v>46721</v>
      </c>
      <c r="L118" s="51">
        <v>0.57545111822848283</v>
      </c>
      <c r="M118" s="50">
        <v>46721</v>
      </c>
      <c r="N118" s="51">
        <v>0.43413659938695237</v>
      </c>
      <c r="O118" s="50">
        <v>46721</v>
      </c>
      <c r="P118" s="51">
        <v>0.47576359419811598</v>
      </c>
      <c r="Q118" s="50">
        <v>46721</v>
      </c>
      <c r="R118" s="51">
        <v>0.98816845257385433</v>
      </c>
      <c r="S118" s="50">
        <v>46721</v>
      </c>
      <c r="T118" s="51">
        <v>1.0345362691196052</v>
      </c>
      <c r="U118" s="50">
        <v>46721</v>
      </c>
      <c r="V118" s="51">
        <v>0.8872169143275952</v>
      </c>
      <c r="W118" s="50">
        <v>46721</v>
      </c>
      <c r="X118" s="51">
        <v>0.86908827317290394</v>
      </c>
      <c r="Y118" s="50">
        <v>46721</v>
      </c>
      <c r="Z118" s="51">
        <v>0.9863545718335619</v>
      </c>
      <c r="AA118" s="50">
        <v>46721</v>
      </c>
      <c r="AB118" s="51">
        <v>1.005590572207107</v>
      </c>
      <c r="AC118" s="50">
        <v>46721</v>
      </c>
      <c r="AD118" s="51">
        <v>0.81064163456253946</v>
      </c>
      <c r="AE118" s="50">
        <v>46721</v>
      </c>
      <c r="AF118" s="51">
        <v>0.8142415983847261</v>
      </c>
    </row>
    <row r="119" spans="1:32" x14ac:dyDescent="0.25">
      <c r="A119" s="50">
        <v>46752</v>
      </c>
      <c r="B119" s="51">
        <v>0.78818549368302515</v>
      </c>
      <c r="C119" s="50">
        <v>46752</v>
      </c>
      <c r="D119" s="51">
        <v>0.78820031708560534</v>
      </c>
      <c r="E119" s="50">
        <v>46752</v>
      </c>
      <c r="F119" s="51">
        <v>0.9431932419066601</v>
      </c>
      <c r="G119" s="50">
        <v>46752</v>
      </c>
      <c r="H119" s="51">
        <v>0.95442142681551612</v>
      </c>
      <c r="I119" s="50">
        <v>46752</v>
      </c>
      <c r="J119" s="51">
        <v>0.57180631931303272</v>
      </c>
      <c r="K119" s="50">
        <v>46752</v>
      </c>
      <c r="L119" s="51">
        <v>0.57181300226196985</v>
      </c>
      <c r="M119" s="50">
        <v>46752</v>
      </c>
      <c r="N119" s="51">
        <v>0.43034716371713605</v>
      </c>
      <c r="O119" s="50">
        <v>46752</v>
      </c>
      <c r="P119" s="51">
        <v>0.47206136086789841</v>
      </c>
      <c r="Q119" s="50">
        <v>46752</v>
      </c>
      <c r="R119" s="51">
        <v>0.98779454825759405</v>
      </c>
      <c r="S119" s="50">
        <v>46752</v>
      </c>
      <c r="T119" s="51">
        <v>1.0346160655378143</v>
      </c>
      <c r="U119" s="50">
        <v>46752</v>
      </c>
      <c r="V119" s="51">
        <v>0.88604097052132758</v>
      </c>
      <c r="W119" s="50">
        <v>46752</v>
      </c>
      <c r="X119" s="51">
        <v>0.86768225771883278</v>
      </c>
      <c r="Y119" s="50">
        <v>46752</v>
      </c>
      <c r="Z119" s="51">
        <v>0.98552713809245551</v>
      </c>
      <c r="AA119" s="50">
        <v>46752</v>
      </c>
      <c r="AB119" s="51">
        <v>1.0050428787199257</v>
      </c>
      <c r="AC119" s="50">
        <v>46752</v>
      </c>
      <c r="AD119" s="51">
        <v>0.80881312991273036</v>
      </c>
      <c r="AE119" s="50">
        <v>46752</v>
      </c>
      <c r="AF119" s="51">
        <v>0.81240824421078528</v>
      </c>
    </row>
    <row r="120" spans="1:32" x14ac:dyDescent="0.25">
      <c r="A120" s="50">
        <v>46783</v>
      </c>
      <c r="B120" s="51">
        <v>0.78622197678963046</v>
      </c>
      <c r="C120" s="50">
        <v>46783</v>
      </c>
      <c r="D120" s="51">
        <v>0.78623678052217938</v>
      </c>
      <c r="E120" s="50">
        <v>46783</v>
      </c>
      <c r="F120" s="51">
        <v>0.94184940485926749</v>
      </c>
      <c r="G120" s="50">
        <v>46783</v>
      </c>
      <c r="H120" s="51">
        <v>0.95314828263716644</v>
      </c>
      <c r="I120" s="50">
        <v>46783</v>
      </c>
      <c r="J120" s="51">
        <v>0.56823772122891059</v>
      </c>
      <c r="K120" s="50">
        <v>46783</v>
      </c>
      <c r="L120" s="51">
        <v>0.56824437998493604</v>
      </c>
      <c r="M120" s="50">
        <v>46783</v>
      </c>
      <c r="N120" s="51">
        <v>0.426792515943691</v>
      </c>
      <c r="O120" s="50">
        <v>46783</v>
      </c>
      <c r="P120" s="51">
        <v>0.46853321780151952</v>
      </c>
      <c r="Q120" s="50">
        <v>46783</v>
      </c>
      <c r="R120" s="51">
        <v>0.98736074692617659</v>
      </c>
      <c r="S120" s="50">
        <v>46783</v>
      </c>
      <c r="T120" s="51">
        <v>1.0346053155716406</v>
      </c>
      <c r="U120" s="50">
        <v>46783</v>
      </c>
      <c r="V120" s="51">
        <v>0.8848296577436191</v>
      </c>
      <c r="W120" s="50">
        <v>46783</v>
      </c>
      <c r="X120" s="51">
        <v>0.86625966918086794</v>
      </c>
      <c r="Y120" s="50">
        <v>46783</v>
      </c>
      <c r="Z120" s="51">
        <v>0.98460834757261972</v>
      </c>
      <c r="AA120" s="50">
        <v>46783</v>
      </c>
      <c r="AB120" s="51">
        <v>1.0043400387042711</v>
      </c>
      <c r="AC120" s="50">
        <v>46783</v>
      </c>
      <c r="AD120" s="51">
        <v>0.8068397821268446</v>
      </c>
      <c r="AE120" s="50">
        <v>46783</v>
      </c>
      <c r="AF120" s="51">
        <v>0.8104351607438518</v>
      </c>
    </row>
    <row r="121" spans="1:32" x14ac:dyDescent="0.25">
      <c r="A121" s="50">
        <v>46812</v>
      </c>
      <c r="B121" s="51">
        <v>0.78438451992380831</v>
      </c>
      <c r="C121" s="50">
        <v>46812</v>
      </c>
      <c r="D121" s="51">
        <v>0.78439930525890078</v>
      </c>
      <c r="E121" s="50">
        <v>46812</v>
      </c>
      <c r="F121" s="51">
        <v>0.94059012254956786</v>
      </c>
      <c r="G121" s="50">
        <v>46812</v>
      </c>
      <c r="H121" s="51">
        <v>0.95195463899275068</v>
      </c>
      <c r="I121" s="50">
        <v>46812</v>
      </c>
      <c r="J121" s="51">
        <v>0.56490152233324298</v>
      </c>
      <c r="K121" s="50">
        <v>46812</v>
      </c>
      <c r="L121" s="51">
        <v>0.56490815841071618</v>
      </c>
      <c r="M121" s="50">
        <v>46812</v>
      </c>
      <c r="N121" s="51">
        <v>0.42347452162766691</v>
      </c>
      <c r="O121" s="50">
        <v>46812</v>
      </c>
      <c r="P121" s="51">
        <v>0.46523812548958582</v>
      </c>
      <c r="Q121" s="50">
        <v>46812</v>
      </c>
      <c r="R121" s="51">
        <v>0.98695306502104452</v>
      </c>
      <c r="S121" s="50">
        <v>46812</v>
      </c>
      <c r="T121" s="51">
        <v>1.0345924356622662</v>
      </c>
      <c r="U121" s="50">
        <v>46812</v>
      </c>
      <c r="V121" s="51">
        <v>0.88369539127396513</v>
      </c>
      <c r="W121" s="50">
        <v>46812</v>
      </c>
      <c r="X121" s="51">
        <v>0.86492834375348904</v>
      </c>
      <c r="Y121" s="50">
        <v>46812</v>
      </c>
      <c r="Z121" s="51">
        <v>0.9837459851007484</v>
      </c>
      <c r="AA121" s="50">
        <v>46812</v>
      </c>
      <c r="AB121" s="51">
        <v>1.0036777053032551</v>
      </c>
      <c r="AC121" s="50">
        <v>46812</v>
      </c>
      <c r="AD121" s="51">
        <v>0.80498923048741799</v>
      </c>
      <c r="AE121" s="50">
        <v>46812</v>
      </c>
      <c r="AF121" s="51">
        <v>0.80858501583446585</v>
      </c>
    </row>
    <row r="122" spans="1:32" x14ac:dyDescent="0.25">
      <c r="A122" s="50">
        <v>46843</v>
      </c>
      <c r="B122" s="51">
        <v>0.78242034189482612</v>
      </c>
      <c r="C122" s="50">
        <v>46843</v>
      </c>
      <c r="D122" s="51">
        <v>0.78243510756367196</v>
      </c>
      <c r="E122" s="50">
        <v>46843</v>
      </c>
      <c r="F122" s="51">
        <v>0.93924399318402685</v>
      </c>
      <c r="G122" s="50">
        <v>46843</v>
      </c>
      <c r="H122" s="51">
        <v>0.95067867509699588</v>
      </c>
      <c r="I122" s="50">
        <v>46843</v>
      </c>
      <c r="J122" s="51">
        <v>0.56133524075511554</v>
      </c>
      <c r="K122" s="50">
        <v>46843</v>
      </c>
      <c r="L122" s="51">
        <v>0.56134185258999847</v>
      </c>
      <c r="M122" s="50">
        <v>46843</v>
      </c>
      <c r="N122" s="51">
        <v>0.41992770011743424</v>
      </c>
      <c r="O122" s="50">
        <v>46843</v>
      </c>
      <c r="P122" s="51">
        <v>0.46171578543200154</v>
      </c>
      <c r="Q122" s="50">
        <v>46843</v>
      </c>
      <c r="R122" s="51">
        <v>0.98651726712245513</v>
      </c>
      <c r="S122" s="50">
        <v>46843</v>
      </c>
      <c r="T122" s="51">
        <v>1.0345786674832798</v>
      </c>
      <c r="U122" s="50">
        <v>46843</v>
      </c>
      <c r="V122" s="51">
        <v>0.88248289953054182</v>
      </c>
      <c r="W122" s="50">
        <v>46843</v>
      </c>
      <c r="X122" s="51">
        <v>0.86350520277939435</v>
      </c>
      <c r="Y122" s="50">
        <v>46843</v>
      </c>
      <c r="Z122" s="51">
        <v>0.98282414935495499</v>
      </c>
      <c r="AA122" s="50">
        <v>46843</v>
      </c>
      <c r="AB122" s="51">
        <v>1.0029696937366515</v>
      </c>
      <c r="AC122" s="50">
        <v>46843</v>
      </c>
      <c r="AD122" s="51">
        <v>0.8030110545969964</v>
      </c>
      <c r="AE122" s="50">
        <v>46843</v>
      </c>
      <c r="AF122" s="51">
        <v>0.80660727472443261</v>
      </c>
    </row>
    <row r="123" spans="1:32" x14ac:dyDescent="0.25">
      <c r="A123" s="50">
        <v>46873</v>
      </c>
      <c r="B123" s="51">
        <v>0.78051952444742401</v>
      </c>
      <c r="C123" s="50">
        <v>46873</v>
      </c>
      <c r="D123" s="51">
        <v>0.7805342710844182</v>
      </c>
      <c r="E123" s="50">
        <v>46873</v>
      </c>
      <c r="F123" s="51">
        <v>0.93794128734640658</v>
      </c>
      <c r="G123" s="50">
        <v>46873</v>
      </c>
      <c r="H123" s="51">
        <v>0.94944387132691066</v>
      </c>
      <c r="I123" s="50">
        <v>46873</v>
      </c>
      <c r="J123" s="51">
        <v>0.55788144525930938</v>
      </c>
      <c r="K123" s="50">
        <v>46873</v>
      </c>
      <c r="L123" s="51">
        <v>0.55788803334989778</v>
      </c>
      <c r="M123" s="50">
        <v>46873</v>
      </c>
      <c r="N123" s="51">
        <v>0.41649529220430587</v>
      </c>
      <c r="O123" s="50">
        <v>46873</v>
      </c>
      <c r="P123" s="51">
        <v>0.45830706924724257</v>
      </c>
      <c r="Q123" s="50">
        <v>46873</v>
      </c>
      <c r="R123" s="51">
        <v>0.98609552722059435</v>
      </c>
      <c r="S123" s="50">
        <v>46873</v>
      </c>
      <c r="T123" s="51">
        <v>1.0345653434390993</v>
      </c>
      <c r="U123" s="50">
        <v>46873</v>
      </c>
      <c r="V123" s="51">
        <v>0.88130952042400323</v>
      </c>
      <c r="W123" s="50">
        <v>46873</v>
      </c>
      <c r="X123" s="51">
        <v>0.86212796957865756</v>
      </c>
      <c r="Y123" s="50">
        <v>46873</v>
      </c>
      <c r="Z123" s="51">
        <v>0.98193205024612251</v>
      </c>
      <c r="AA123" s="50">
        <v>46873</v>
      </c>
      <c r="AB123" s="51">
        <v>1.0022845212528417</v>
      </c>
      <c r="AC123" s="50">
        <v>46873</v>
      </c>
      <c r="AD123" s="51">
        <v>0.80109669083207224</v>
      </c>
      <c r="AE123" s="50">
        <v>46873</v>
      </c>
      <c r="AF123" s="51">
        <v>0.80469333171472301</v>
      </c>
    </row>
    <row r="124" spans="1:32" x14ac:dyDescent="0.25">
      <c r="A124" s="50">
        <v>46904</v>
      </c>
      <c r="B124" s="51">
        <v>0.77855534641844171</v>
      </c>
      <c r="C124" s="50">
        <v>46904</v>
      </c>
      <c r="D124" s="51">
        <v>0.77857007338918938</v>
      </c>
      <c r="E124" s="50">
        <v>46904</v>
      </c>
      <c r="F124" s="51">
        <v>0.93659515798086557</v>
      </c>
      <c r="G124" s="50">
        <v>46904</v>
      </c>
      <c r="H124" s="51">
        <v>0.94816790743115587</v>
      </c>
      <c r="I124" s="50">
        <v>46904</v>
      </c>
      <c r="J124" s="51">
        <v>0.55431243219752113</v>
      </c>
      <c r="K124" s="50">
        <v>46904</v>
      </c>
      <c r="L124" s="51">
        <v>0.55431899574222865</v>
      </c>
      <c r="M124" s="50">
        <v>46904</v>
      </c>
      <c r="N124" s="51">
        <v>0.41294847069407326</v>
      </c>
      <c r="O124" s="50">
        <v>46904</v>
      </c>
      <c r="P124" s="51">
        <v>0.45478472918965829</v>
      </c>
      <c r="Q124" s="50">
        <v>46904</v>
      </c>
      <c r="R124" s="51">
        <v>0.98565972932200496</v>
      </c>
      <c r="S124" s="50">
        <v>46904</v>
      </c>
      <c r="T124" s="51">
        <v>1.0345515752601129</v>
      </c>
      <c r="U124" s="50">
        <v>46904</v>
      </c>
      <c r="V124" s="51">
        <v>0.88009702868057993</v>
      </c>
      <c r="W124" s="50">
        <v>46904</v>
      </c>
      <c r="X124" s="51">
        <v>0.86070482860456288</v>
      </c>
      <c r="Y124" s="50">
        <v>46904</v>
      </c>
      <c r="Z124" s="51">
        <v>0.9810102145003291</v>
      </c>
      <c r="AA124" s="50">
        <v>46904</v>
      </c>
      <c r="AB124" s="51">
        <v>1.0015765096862381</v>
      </c>
      <c r="AC124" s="50">
        <v>46904</v>
      </c>
      <c r="AD124" s="51">
        <v>0.79911851494165065</v>
      </c>
      <c r="AE124" s="50">
        <v>46904</v>
      </c>
      <c r="AF124" s="51">
        <v>0.80271559060468978</v>
      </c>
    </row>
    <row r="125" spans="1:32" x14ac:dyDescent="0.25">
      <c r="A125" s="50">
        <v>46934</v>
      </c>
      <c r="B125" s="51">
        <v>0.77665452897103959</v>
      </c>
      <c r="C125" s="50">
        <v>46934</v>
      </c>
      <c r="D125" s="51">
        <v>0.77666923690993572</v>
      </c>
      <c r="E125" s="50">
        <v>46934</v>
      </c>
      <c r="F125" s="51">
        <v>0.9352924521432453</v>
      </c>
      <c r="G125" s="50">
        <v>46934</v>
      </c>
      <c r="H125" s="51">
        <v>0.94693310366107053</v>
      </c>
      <c r="I125" s="50">
        <v>46934</v>
      </c>
      <c r="J125" s="51">
        <v>0.55085854858933891</v>
      </c>
      <c r="K125" s="50">
        <v>46934</v>
      </c>
      <c r="L125" s="51">
        <v>0.55086508837996817</v>
      </c>
      <c r="M125" s="50">
        <v>46934</v>
      </c>
      <c r="N125" s="51">
        <v>0.40951606278094488</v>
      </c>
      <c r="O125" s="50">
        <v>46934</v>
      </c>
      <c r="P125" s="51">
        <v>0.45137601300489932</v>
      </c>
      <c r="Q125" s="50">
        <v>46934</v>
      </c>
      <c r="R125" s="51">
        <v>0.98523798942014429</v>
      </c>
      <c r="S125" s="50">
        <v>46934</v>
      </c>
      <c r="T125" s="51">
        <v>1.0345382512159325</v>
      </c>
      <c r="U125" s="50">
        <v>46934</v>
      </c>
      <c r="V125" s="51">
        <v>0.87892364957404134</v>
      </c>
      <c r="W125" s="50">
        <v>46934</v>
      </c>
      <c r="X125" s="51">
        <v>0.85932759540382608</v>
      </c>
      <c r="Y125" s="50">
        <v>46934</v>
      </c>
      <c r="Z125" s="51">
        <v>0.98011811539149674</v>
      </c>
      <c r="AA125" s="50">
        <v>46934</v>
      </c>
      <c r="AB125" s="51">
        <v>1.0008913372024282</v>
      </c>
      <c r="AC125" s="50">
        <v>46934</v>
      </c>
      <c r="AD125" s="51">
        <v>0.79720415117672649</v>
      </c>
      <c r="AE125" s="50">
        <v>46934</v>
      </c>
      <c r="AF125" s="51">
        <v>0.80080164759498018</v>
      </c>
    </row>
    <row r="126" spans="1:32" x14ac:dyDescent="0.25">
      <c r="A126" s="50">
        <v>46965</v>
      </c>
      <c r="B126" s="51">
        <v>0.77471554271263166</v>
      </c>
      <c r="C126" s="50">
        <v>46965</v>
      </c>
      <c r="D126" s="51">
        <v>0.77473023123750651</v>
      </c>
      <c r="E126" s="50">
        <v>46965</v>
      </c>
      <c r="F126" s="51">
        <v>0.9339463227777044</v>
      </c>
      <c r="G126" s="50">
        <v>46965</v>
      </c>
      <c r="H126" s="51">
        <v>0.94565713976531585</v>
      </c>
      <c r="I126" s="50">
        <v>46965</v>
      </c>
      <c r="J126" s="51">
        <v>0.54734815839876627</v>
      </c>
      <c r="K126" s="50">
        <v>46965</v>
      </c>
      <c r="L126" s="51">
        <v>0.54735467407511107</v>
      </c>
      <c r="M126" s="50">
        <v>46965</v>
      </c>
      <c r="N126" s="51">
        <v>0.40596924127071221</v>
      </c>
      <c r="O126" s="50">
        <v>46965</v>
      </c>
      <c r="P126" s="51">
        <v>0.44785367294731504</v>
      </c>
      <c r="Q126" s="50">
        <v>46965</v>
      </c>
      <c r="R126" s="51">
        <v>0.98477375296769842</v>
      </c>
      <c r="S126" s="50">
        <v>46965</v>
      </c>
      <c r="T126" s="51">
        <v>1.0344801079210859</v>
      </c>
      <c r="U126" s="50">
        <v>46965</v>
      </c>
      <c r="V126" s="51">
        <v>0.87772686925874988</v>
      </c>
      <c r="W126" s="50">
        <v>46965</v>
      </c>
      <c r="X126" s="51">
        <v>0.85792133297696105</v>
      </c>
      <c r="Y126" s="50">
        <v>46965</v>
      </c>
      <c r="Z126" s="51">
        <v>0.97919627964570322</v>
      </c>
      <c r="AA126" s="50">
        <v>46965</v>
      </c>
      <c r="AB126" s="51">
        <v>1.0001833256358248</v>
      </c>
      <c r="AC126" s="50">
        <v>46965</v>
      </c>
      <c r="AD126" s="51">
        <v>0.79525841074732129</v>
      </c>
      <c r="AE126" s="50">
        <v>46965</v>
      </c>
      <c r="AF126" s="51">
        <v>0.7988526024437661</v>
      </c>
    </row>
    <row r="127" spans="1:32" x14ac:dyDescent="0.25">
      <c r="A127" s="50">
        <v>46996</v>
      </c>
      <c r="B127" s="51">
        <v>0.77277739617990948</v>
      </c>
      <c r="C127" s="50">
        <v>46996</v>
      </c>
      <c r="D127" s="51">
        <v>0.77279206529917066</v>
      </c>
      <c r="E127" s="50">
        <v>46996</v>
      </c>
      <c r="F127" s="51">
        <v>0.93260019341216338</v>
      </c>
      <c r="G127" s="50">
        <v>46996</v>
      </c>
      <c r="H127" s="51">
        <v>0.94438117586956105</v>
      </c>
      <c r="I127" s="50">
        <v>46996</v>
      </c>
      <c r="J127" s="51">
        <v>0.54383972230390076</v>
      </c>
      <c r="K127" s="50">
        <v>46996</v>
      </c>
      <c r="L127" s="51">
        <v>0.5438462138803476</v>
      </c>
      <c r="M127" s="50">
        <v>46996</v>
      </c>
      <c r="N127" s="51">
        <v>0.40242241976047954</v>
      </c>
      <c r="O127" s="50">
        <v>46996</v>
      </c>
      <c r="P127" s="51">
        <v>0.44433133288973081</v>
      </c>
      <c r="Q127" s="50">
        <v>46996</v>
      </c>
      <c r="R127" s="51">
        <v>0.98430856856345728</v>
      </c>
      <c r="S127" s="50">
        <v>46996</v>
      </c>
      <c r="T127" s="51">
        <v>1.0344204854557109</v>
      </c>
      <c r="U127" s="50">
        <v>46996</v>
      </c>
      <c r="V127" s="51">
        <v>0.87653061265772936</v>
      </c>
      <c r="W127" s="50">
        <v>46996</v>
      </c>
      <c r="X127" s="51">
        <v>0.85651563316833712</v>
      </c>
      <c r="Y127" s="50">
        <v>46996</v>
      </c>
      <c r="Z127" s="51">
        <v>0.97827444389990981</v>
      </c>
      <c r="AA127" s="50">
        <v>46996</v>
      </c>
      <c r="AB127" s="51">
        <v>0.99947531406922119</v>
      </c>
      <c r="AC127" s="50">
        <v>46996</v>
      </c>
      <c r="AD127" s="51">
        <v>0.79331375149994998</v>
      </c>
      <c r="AE127" s="50">
        <v>46996</v>
      </c>
      <c r="AF127" s="51">
        <v>0.79690451382451266</v>
      </c>
    </row>
    <row r="128" spans="1:32" x14ac:dyDescent="0.25">
      <c r="A128" s="50">
        <v>47026</v>
      </c>
      <c r="B128" s="51">
        <v>0.77090177050308162</v>
      </c>
      <c r="C128" s="50">
        <v>47026</v>
      </c>
      <c r="D128" s="51">
        <v>0.77091642084271661</v>
      </c>
      <c r="E128" s="50">
        <v>47026</v>
      </c>
      <c r="F128" s="51">
        <v>0.93129748757454311</v>
      </c>
      <c r="G128" s="50">
        <v>47026</v>
      </c>
      <c r="H128" s="51">
        <v>0.94314637209947572</v>
      </c>
      <c r="I128" s="50">
        <v>47026</v>
      </c>
      <c r="J128" s="51">
        <v>0.54044446156693415</v>
      </c>
      <c r="K128" s="50">
        <v>47026</v>
      </c>
      <c r="L128" s="51">
        <v>0.54045092982089904</v>
      </c>
      <c r="M128" s="50">
        <v>47026</v>
      </c>
      <c r="N128" s="51">
        <v>0.39899001184735117</v>
      </c>
      <c r="O128" s="50">
        <v>47026</v>
      </c>
      <c r="P128" s="51">
        <v>0.44092261670497179</v>
      </c>
      <c r="Q128" s="50">
        <v>47026</v>
      </c>
      <c r="R128" s="51">
        <v>0.98385839010774012</v>
      </c>
      <c r="S128" s="50">
        <v>47026</v>
      </c>
      <c r="T128" s="51">
        <v>1.0343627862956704</v>
      </c>
      <c r="U128" s="50">
        <v>47026</v>
      </c>
      <c r="V128" s="51">
        <v>0.8753729449793225</v>
      </c>
      <c r="W128" s="50">
        <v>47026</v>
      </c>
      <c r="X128" s="51">
        <v>0.85515527851482998</v>
      </c>
      <c r="Y128" s="50">
        <v>47026</v>
      </c>
      <c r="Z128" s="51">
        <v>0.97738234479107744</v>
      </c>
      <c r="AA128" s="50">
        <v>47026</v>
      </c>
      <c r="AB128" s="51">
        <v>0.99879014158541135</v>
      </c>
      <c r="AC128" s="50">
        <v>47026</v>
      </c>
      <c r="AD128" s="51">
        <v>0.79143182319604222</v>
      </c>
      <c r="AE128" s="50">
        <v>47026</v>
      </c>
      <c r="AF128" s="51">
        <v>0.79501926677362234</v>
      </c>
    </row>
    <row r="129" spans="1:32" x14ac:dyDescent="0.25">
      <c r="A129" s="50">
        <v>47057</v>
      </c>
      <c r="B129" s="51">
        <v>0.76896362397035944</v>
      </c>
      <c r="C129" s="50">
        <v>47057</v>
      </c>
      <c r="D129" s="51">
        <v>0.76897825490438076</v>
      </c>
      <c r="E129" s="50">
        <v>47057</v>
      </c>
      <c r="F129" s="51">
        <v>0.9299513582090021</v>
      </c>
      <c r="G129" s="50">
        <v>47057</v>
      </c>
      <c r="H129" s="51">
        <v>0.94187040820372103</v>
      </c>
      <c r="I129" s="50">
        <v>47057</v>
      </c>
      <c r="J129" s="51">
        <v>0.53702218132604329</v>
      </c>
      <c r="K129" s="50">
        <v>47057</v>
      </c>
      <c r="L129" s="51">
        <v>0.53702862625049774</v>
      </c>
      <c r="M129" s="50">
        <v>47057</v>
      </c>
      <c r="N129" s="51">
        <v>0.3954431903371185</v>
      </c>
      <c r="O129" s="50">
        <v>47057</v>
      </c>
      <c r="P129" s="51">
        <v>0.43740027664738756</v>
      </c>
      <c r="Q129" s="50">
        <v>47057</v>
      </c>
      <c r="R129" s="51">
        <v>0.98339320570349908</v>
      </c>
      <c r="S129" s="50">
        <v>47057</v>
      </c>
      <c r="T129" s="51">
        <v>1.0343031638302953</v>
      </c>
      <c r="U129" s="50">
        <v>47057</v>
      </c>
      <c r="V129" s="51">
        <v>0.87417668837830209</v>
      </c>
      <c r="W129" s="50">
        <v>47057</v>
      </c>
      <c r="X129" s="51">
        <v>0.85374957870620594</v>
      </c>
      <c r="Y129" s="50">
        <v>47057</v>
      </c>
      <c r="Z129" s="51">
        <v>0.97646050904528392</v>
      </c>
      <c r="AA129" s="50">
        <v>47057</v>
      </c>
      <c r="AB129" s="51">
        <v>0.99808213001880786</v>
      </c>
      <c r="AC129" s="50">
        <v>47057</v>
      </c>
      <c r="AD129" s="51">
        <v>0.78948716394867091</v>
      </c>
      <c r="AE129" s="50">
        <v>47057</v>
      </c>
      <c r="AF129" s="51">
        <v>0.79307117815436889</v>
      </c>
    </row>
    <row r="130" spans="1:32" x14ac:dyDescent="0.25">
      <c r="A130" s="50">
        <v>47087</v>
      </c>
      <c r="B130" s="51">
        <v>0.76708799829353147</v>
      </c>
      <c r="C130" s="50">
        <v>47087</v>
      </c>
      <c r="D130" s="51">
        <v>0.76710261044792671</v>
      </c>
      <c r="E130" s="50">
        <v>47087</v>
      </c>
      <c r="F130" s="51">
        <v>0.92864865237138183</v>
      </c>
      <c r="G130" s="50">
        <v>47087</v>
      </c>
      <c r="H130" s="51">
        <v>0.9406356044336357</v>
      </c>
      <c r="I130" s="50">
        <v>47087</v>
      </c>
      <c r="J130" s="51">
        <v>0.53371307644305133</v>
      </c>
      <c r="K130" s="50">
        <v>47087</v>
      </c>
      <c r="L130" s="51">
        <v>0.53371949881541125</v>
      </c>
      <c r="M130" s="50">
        <v>47087</v>
      </c>
      <c r="N130" s="51">
        <v>0.39201078242399012</v>
      </c>
      <c r="O130" s="50">
        <v>47087</v>
      </c>
      <c r="P130" s="51">
        <v>0.43399156046262855</v>
      </c>
      <c r="Q130" s="50">
        <v>47087</v>
      </c>
      <c r="R130" s="51">
        <v>0.98294302724778193</v>
      </c>
      <c r="S130" s="50">
        <v>47087</v>
      </c>
      <c r="T130" s="51">
        <v>1.0342454646702548</v>
      </c>
      <c r="U130" s="50">
        <v>47087</v>
      </c>
      <c r="V130" s="51">
        <v>0.87301902069989523</v>
      </c>
      <c r="W130" s="50">
        <v>47087</v>
      </c>
      <c r="X130" s="51">
        <v>0.8523892240526989</v>
      </c>
      <c r="Y130" s="50">
        <v>47087</v>
      </c>
      <c r="Z130" s="51">
        <v>0.97556840993645155</v>
      </c>
      <c r="AA130" s="50">
        <v>47087</v>
      </c>
      <c r="AB130" s="51">
        <v>0.99739695753499791</v>
      </c>
      <c r="AC130" s="50">
        <v>47087</v>
      </c>
      <c r="AD130" s="51">
        <v>0.78760523564476326</v>
      </c>
      <c r="AE130" s="50">
        <v>47087</v>
      </c>
      <c r="AF130" s="51">
        <v>0.79118593110347846</v>
      </c>
    </row>
    <row r="131" spans="1:32" x14ac:dyDescent="0.25">
      <c r="A131" s="50">
        <v>47118</v>
      </c>
      <c r="B131" s="51">
        <v>0.76514985176080941</v>
      </c>
      <c r="C131" s="50">
        <v>47118</v>
      </c>
      <c r="D131" s="51">
        <v>0.76516444450959087</v>
      </c>
      <c r="E131" s="50">
        <v>47118</v>
      </c>
      <c r="F131" s="51">
        <v>0.92730252300584082</v>
      </c>
      <c r="G131" s="50">
        <v>47118</v>
      </c>
      <c r="H131" s="51">
        <v>0.9393596405378809</v>
      </c>
      <c r="I131" s="50">
        <v>47118</v>
      </c>
      <c r="J131" s="51">
        <v>0.53029366806395961</v>
      </c>
      <c r="K131" s="50">
        <v>47118</v>
      </c>
      <c r="L131" s="51">
        <v>0.53030006713248867</v>
      </c>
      <c r="M131" s="50">
        <v>47118</v>
      </c>
      <c r="N131" s="51">
        <v>0.38846396091375751</v>
      </c>
      <c r="O131" s="50">
        <v>47118</v>
      </c>
      <c r="P131" s="51">
        <v>0.43046922040504432</v>
      </c>
      <c r="Q131" s="50">
        <v>47118</v>
      </c>
      <c r="R131" s="51">
        <v>0.98247784284354078</v>
      </c>
      <c r="S131" s="50">
        <v>47118</v>
      </c>
      <c r="T131" s="51">
        <v>1.0341858422048797</v>
      </c>
      <c r="U131" s="50">
        <v>47118</v>
      </c>
      <c r="V131" s="51">
        <v>0.87182276409887471</v>
      </c>
      <c r="W131" s="50">
        <v>47118</v>
      </c>
      <c r="X131" s="51">
        <v>0.85098352424407486</v>
      </c>
      <c r="Y131" s="50">
        <v>47118</v>
      </c>
      <c r="Z131" s="51">
        <v>0.97464657419065803</v>
      </c>
      <c r="AA131" s="50">
        <v>47118</v>
      </c>
      <c r="AB131" s="51">
        <v>0.99668894596839441</v>
      </c>
      <c r="AC131" s="50">
        <v>47118</v>
      </c>
      <c r="AD131" s="51">
        <v>0.78566057639739184</v>
      </c>
      <c r="AE131" s="50">
        <v>47118</v>
      </c>
      <c r="AF131" s="51">
        <v>0.78923784248422502</v>
      </c>
    </row>
    <row r="132" spans="1:32" x14ac:dyDescent="0.25">
      <c r="A132" s="50">
        <v>47149</v>
      </c>
      <c r="B132" s="51">
        <v>0.76330308129508151</v>
      </c>
      <c r="C132" s="50">
        <v>47149</v>
      </c>
      <c r="D132" s="51">
        <v>0.76331764744899477</v>
      </c>
      <c r="E132" s="50">
        <v>47149</v>
      </c>
      <c r="F132" s="51">
        <v>0.92586512470849991</v>
      </c>
      <c r="G132" s="50">
        <v>47149</v>
      </c>
      <c r="H132" s="51">
        <v>0.93794098571726159</v>
      </c>
      <c r="I132" s="50">
        <v>47149</v>
      </c>
      <c r="J132" s="51">
        <v>0.52712066038891026</v>
      </c>
      <c r="K132" s="50">
        <v>47149</v>
      </c>
      <c r="L132" s="51">
        <v>0.52712703112503057</v>
      </c>
      <c r="M132" s="50">
        <v>47149</v>
      </c>
      <c r="N132" s="51">
        <v>0.38538629516790951</v>
      </c>
      <c r="O132" s="50">
        <v>47149</v>
      </c>
      <c r="P132" s="51">
        <v>0.4273685937055095</v>
      </c>
      <c r="Q132" s="50">
        <v>47149</v>
      </c>
      <c r="R132" s="51">
        <v>0.98195389752163931</v>
      </c>
      <c r="S132" s="50">
        <v>47149</v>
      </c>
      <c r="T132" s="51">
        <v>1.0340321989321284</v>
      </c>
      <c r="U132" s="50">
        <v>47149</v>
      </c>
      <c r="V132" s="51">
        <v>0.87059973215770037</v>
      </c>
      <c r="W132" s="50">
        <v>47149</v>
      </c>
      <c r="X132" s="51">
        <v>0.84960271417771427</v>
      </c>
      <c r="Y132" s="50">
        <v>47149</v>
      </c>
      <c r="Z132" s="51">
        <v>0.97374194793730762</v>
      </c>
      <c r="AA132" s="50">
        <v>47149</v>
      </c>
      <c r="AB132" s="51">
        <v>0.99601454910468235</v>
      </c>
      <c r="AC132" s="50">
        <v>47149</v>
      </c>
      <c r="AD132" s="51">
        <v>0.78381967674225683</v>
      </c>
      <c r="AE132" s="50">
        <v>47149</v>
      </c>
      <c r="AF132" s="51">
        <v>0.78740607583776356</v>
      </c>
    </row>
    <row r="133" spans="1:32" x14ac:dyDescent="0.25">
      <c r="A133" s="50">
        <v>47177</v>
      </c>
      <c r="B133" s="51">
        <v>0.76163778165923679</v>
      </c>
      <c r="C133" s="50">
        <v>47177</v>
      </c>
      <c r="D133" s="51">
        <v>0.76165232357552815</v>
      </c>
      <c r="E133" s="50">
        <v>47177</v>
      </c>
      <c r="F133" s="51">
        <v>0.92456408159037429</v>
      </c>
      <c r="G133" s="50">
        <v>47177</v>
      </c>
      <c r="H133" s="51">
        <v>0.93665532400197504</v>
      </c>
      <c r="I133" s="50">
        <v>47177</v>
      </c>
      <c r="J133" s="51">
        <v>0.52426213648855735</v>
      </c>
      <c r="K133" s="50">
        <v>47177</v>
      </c>
      <c r="L133" s="51">
        <v>0.52426848148271676</v>
      </c>
      <c r="M133" s="50">
        <v>47177</v>
      </c>
      <c r="N133" s="51">
        <v>0.38262059316241537</v>
      </c>
      <c r="O133" s="50">
        <v>47177</v>
      </c>
      <c r="P133" s="51">
        <v>0.42458072440058059</v>
      </c>
      <c r="Q133" s="50">
        <v>47177</v>
      </c>
      <c r="R133" s="51">
        <v>0.98147888743982026</v>
      </c>
      <c r="S133" s="50">
        <v>47177</v>
      </c>
      <c r="T133" s="51">
        <v>1.0338905936292064</v>
      </c>
      <c r="U133" s="50">
        <v>47177</v>
      </c>
      <c r="V133" s="51">
        <v>0.86949425200704367</v>
      </c>
      <c r="W133" s="50">
        <v>47177</v>
      </c>
      <c r="X133" s="51">
        <v>0.84835628026055354</v>
      </c>
      <c r="Y133" s="50">
        <v>47177</v>
      </c>
      <c r="Z133" s="51">
        <v>0.97292538429534425</v>
      </c>
      <c r="AA133" s="50">
        <v>47177</v>
      </c>
      <c r="AB133" s="51">
        <v>0.99540642850915861</v>
      </c>
      <c r="AC133" s="50">
        <v>47177</v>
      </c>
      <c r="AD133" s="51">
        <v>0.78216005261136345</v>
      </c>
      <c r="AE133" s="50">
        <v>47177</v>
      </c>
      <c r="AF133" s="51">
        <v>0.78575507909820497</v>
      </c>
    </row>
    <row r="134" spans="1:32" x14ac:dyDescent="0.25">
      <c r="A134" s="50">
        <v>47208</v>
      </c>
      <c r="B134" s="51">
        <v>0.75979405706240877</v>
      </c>
      <c r="C134" s="50">
        <v>47208</v>
      </c>
      <c r="D134" s="51">
        <v>0.75980857214418995</v>
      </c>
      <c r="E134" s="50">
        <v>47208</v>
      </c>
      <c r="F134" s="51">
        <v>0.92312364099530675</v>
      </c>
      <c r="G134" s="50">
        <v>47208</v>
      </c>
      <c r="H134" s="51">
        <v>0.93523191281719353</v>
      </c>
      <c r="I134" s="50">
        <v>47208</v>
      </c>
      <c r="J134" s="51">
        <v>0.52109734217030945</v>
      </c>
      <c r="K134" s="50">
        <v>47208</v>
      </c>
      <c r="L134" s="51">
        <v>0.52110365866444086</v>
      </c>
      <c r="M134" s="50">
        <v>47208</v>
      </c>
      <c r="N134" s="51">
        <v>0.37955856594204684</v>
      </c>
      <c r="O134" s="50">
        <v>47208</v>
      </c>
      <c r="P134" s="51">
        <v>0.42149415481298075</v>
      </c>
      <c r="Q134" s="50">
        <v>47208</v>
      </c>
      <c r="R134" s="51">
        <v>0.98095298342066339</v>
      </c>
      <c r="S134" s="50">
        <v>47208</v>
      </c>
      <c r="T134" s="51">
        <v>1.0337338163295426</v>
      </c>
      <c r="U134" s="50">
        <v>47208</v>
      </c>
      <c r="V134" s="51">
        <v>0.86827032755453093</v>
      </c>
      <c r="W134" s="50">
        <v>47208</v>
      </c>
      <c r="X134" s="51">
        <v>0.84697629985226841</v>
      </c>
      <c r="Y134" s="50">
        <v>47208</v>
      </c>
      <c r="Z134" s="51">
        <v>0.97202133169174199</v>
      </c>
      <c r="AA134" s="50">
        <v>47208</v>
      </c>
      <c r="AB134" s="51">
        <v>0.99473315213554292</v>
      </c>
      <c r="AC134" s="50">
        <v>47208</v>
      </c>
      <c r="AD134" s="51">
        <v>0.78032261160930294</v>
      </c>
      <c r="AE134" s="50">
        <v>47208</v>
      </c>
      <c r="AF134" s="51">
        <v>0.78392718985083665</v>
      </c>
    </row>
    <row r="135" spans="1:32" x14ac:dyDescent="0.25">
      <c r="A135" s="50">
        <v>47238</v>
      </c>
      <c r="B135" s="51">
        <v>0.75800980745257518</v>
      </c>
      <c r="C135" s="50">
        <v>47238</v>
      </c>
      <c r="D135" s="51">
        <v>0.75802429656547565</v>
      </c>
      <c r="E135" s="50">
        <v>47238</v>
      </c>
      <c r="F135" s="51">
        <v>0.92172966622588637</v>
      </c>
      <c r="G135" s="50">
        <v>47238</v>
      </c>
      <c r="H135" s="51">
        <v>0.93385441812224368</v>
      </c>
      <c r="I135" s="50">
        <v>47238</v>
      </c>
      <c r="J135" s="51">
        <v>0.51806856265483492</v>
      </c>
      <c r="K135" s="50">
        <v>47238</v>
      </c>
      <c r="L135" s="51">
        <v>0.51807485183682644</v>
      </c>
      <c r="M135" s="50">
        <v>47238</v>
      </c>
      <c r="N135" s="51">
        <v>0.37659531379330313</v>
      </c>
      <c r="O135" s="50">
        <v>47238</v>
      </c>
      <c r="P135" s="51">
        <v>0.41850715198627125</v>
      </c>
      <c r="Q135" s="50">
        <v>47238</v>
      </c>
      <c r="R135" s="51">
        <v>0.9804440440472858</v>
      </c>
      <c r="S135" s="50">
        <v>47238</v>
      </c>
      <c r="T135" s="51">
        <v>1.0335820963621261</v>
      </c>
      <c r="U135" s="50">
        <v>47238</v>
      </c>
      <c r="V135" s="51">
        <v>0.86708588453597013</v>
      </c>
      <c r="W135" s="50">
        <v>47238</v>
      </c>
      <c r="X135" s="51">
        <v>0.84564083494102482</v>
      </c>
      <c r="Y135" s="50">
        <v>47238</v>
      </c>
      <c r="Z135" s="51">
        <v>0.97114644207535272</v>
      </c>
      <c r="AA135" s="50">
        <v>47238</v>
      </c>
      <c r="AB135" s="51">
        <v>0.99408159435462451</v>
      </c>
      <c r="AC135" s="50">
        <v>47238</v>
      </c>
      <c r="AD135" s="51">
        <v>0.77854444289763147</v>
      </c>
      <c r="AE135" s="50">
        <v>47238</v>
      </c>
      <c r="AF135" s="51">
        <v>0.7821582647727382</v>
      </c>
    </row>
    <row r="136" spans="1:32" x14ac:dyDescent="0.25">
      <c r="A136" s="50">
        <v>47269</v>
      </c>
      <c r="B136" s="51">
        <v>0.75616608285574716</v>
      </c>
      <c r="C136" s="50">
        <v>47269</v>
      </c>
      <c r="D136" s="51">
        <v>0.75618054513413757</v>
      </c>
      <c r="E136" s="50">
        <v>47269</v>
      </c>
      <c r="F136" s="51">
        <v>0.92028922563081883</v>
      </c>
      <c r="G136" s="50">
        <v>47269</v>
      </c>
      <c r="H136" s="51">
        <v>0.93243100693746206</v>
      </c>
      <c r="I136" s="50">
        <v>47269</v>
      </c>
      <c r="J136" s="51">
        <v>0.51494003263202581</v>
      </c>
      <c r="K136" s="50">
        <v>47269</v>
      </c>
      <c r="L136" s="51">
        <v>0.51494629360104116</v>
      </c>
      <c r="M136" s="50">
        <v>47269</v>
      </c>
      <c r="N136" s="51">
        <v>0.37353328657293466</v>
      </c>
      <c r="O136" s="50">
        <v>47269</v>
      </c>
      <c r="P136" s="51">
        <v>0.41542058239867141</v>
      </c>
      <c r="Q136" s="50">
        <v>47269</v>
      </c>
      <c r="R136" s="51">
        <v>0.97991814002812905</v>
      </c>
      <c r="S136" s="50">
        <v>47269</v>
      </c>
      <c r="T136" s="51">
        <v>1.0334253190624625</v>
      </c>
      <c r="U136" s="50">
        <v>47269</v>
      </c>
      <c r="V136" s="51">
        <v>0.86586196008345728</v>
      </c>
      <c r="W136" s="50">
        <v>47269</v>
      </c>
      <c r="X136" s="51">
        <v>0.84426085453273969</v>
      </c>
      <c r="Y136" s="50">
        <v>47269</v>
      </c>
      <c r="Z136" s="51">
        <v>0.97024238947175034</v>
      </c>
      <c r="AA136" s="50">
        <v>47269</v>
      </c>
      <c r="AB136" s="51">
        <v>0.99340831798100893</v>
      </c>
      <c r="AC136" s="50">
        <v>47269</v>
      </c>
      <c r="AD136" s="51">
        <v>0.77670700189557096</v>
      </c>
      <c r="AE136" s="50">
        <v>47269</v>
      </c>
      <c r="AF136" s="51">
        <v>0.78033037552536977</v>
      </c>
    </row>
    <row r="137" spans="1:32" x14ac:dyDescent="0.25">
      <c r="A137" s="50">
        <v>47299</v>
      </c>
      <c r="B137" s="51">
        <v>0.75438183324591357</v>
      </c>
      <c r="C137" s="50">
        <v>47299</v>
      </c>
      <c r="D137" s="51">
        <v>0.75439626955542327</v>
      </c>
      <c r="E137" s="50">
        <v>47299</v>
      </c>
      <c r="F137" s="51">
        <v>0.91889525086139856</v>
      </c>
      <c r="G137" s="50">
        <v>47299</v>
      </c>
      <c r="H137" s="51">
        <v>0.9310535122425122</v>
      </c>
      <c r="I137" s="50">
        <v>47299</v>
      </c>
      <c r="J137" s="51">
        <v>0.51191242293253314</v>
      </c>
      <c r="K137" s="50">
        <v>47299</v>
      </c>
      <c r="L137" s="51">
        <v>0.51191865659866842</v>
      </c>
      <c r="M137" s="50">
        <v>47299</v>
      </c>
      <c r="N137" s="51">
        <v>0.37057003442419095</v>
      </c>
      <c r="O137" s="50">
        <v>47299</v>
      </c>
      <c r="P137" s="51">
        <v>0.41243357957196192</v>
      </c>
      <c r="Q137" s="50">
        <v>47299</v>
      </c>
      <c r="R137" s="51">
        <v>0.97940920065475146</v>
      </c>
      <c r="S137" s="50">
        <v>47299</v>
      </c>
      <c r="T137" s="51">
        <v>1.0332735990950459</v>
      </c>
      <c r="U137" s="50">
        <v>47299</v>
      </c>
      <c r="V137" s="51">
        <v>0.86467751706489659</v>
      </c>
      <c r="W137" s="50">
        <v>47299</v>
      </c>
      <c r="X137" s="51">
        <v>0.84292538962149599</v>
      </c>
      <c r="Y137" s="50">
        <v>47299</v>
      </c>
      <c r="Z137" s="51">
        <v>0.96936749985536108</v>
      </c>
      <c r="AA137" s="50">
        <v>47299</v>
      </c>
      <c r="AB137" s="51">
        <v>0.99275676020009052</v>
      </c>
      <c r="AC137" s="50">
        <v>47299</v>
      </c>
      <c r="AD137" s="51">
        <v>0.77492883318389949</v>
      </c>
      <c r="AE137" s="50">
        <v>47299</v>
      </c>
      <c r="AF137" s="51">
        <v>0.77856145044727132</v>
      </c>
    </row>
    <row r="138" spans="1:32" x14ac:dyDescent="0.25">
      <c r="A138" s="50">
        <v>47330</v>
      </c>
      <c r="B138" s="51">
        <v>0.75258039824051726</v>
      </c>
      <c r="C138" s="50">
        <v>47330</v>
      </c>
      <c r="D138" s="51">
        <v>0.75259480841589044</v>
      </c>
      <c r="E138" s="50">
        <v>47330</v>
      </c>
      <c r="F138" s="51">
        <v>0.91745481026633091</v>
      </c>
      <c r="G138" s="50">
        <v>47330</v>
      </c>
      <c r="H138" s="51">
        <v>0.9296301010577307</v>
      </c>
      <c r="I138" s="50">
        <v>47330</v>
      </c>
      <c r="J138" s="51">
        <v>0.50884675266184221</v>
      </c>
      <c r="K138" s="50">
        <v>47330</v>
      </c>
      <c r="L138" s="51">
        <v>0.50885295873219349</v>
      </c>
      <c r="M138" s="50">
        <v>47330</v>
      </c>
      <c r="N138" s="51">
        <v>0.36750800720382243</v>
      </c>
      <c r="O138" s="50">
        <v>47330</v>
      </c>
      <c r="P138" s="51">
        <v>0.40934700998436208</v>
      </c>
      <c r="Q138" s="50">
        <v>47330</v>
      </c>
      <c r="R138" s="51">
        <v>0.97885490988840385</v>
      </c>
      <c r="S138" s="50">
        <v>47330</v>
      </c>
      <c r="T138" s="51">
        <v>1.0330654450474874</v>
      </c>
      <c r="U138" s="50">
        <v>47330</v>
      </c>
      <c r="V138" s="51">
        <v>0.8634767271964392</v>
      </c>
      <c r="W138" s="50">
        <v>47330</v>
      </c>
      <c r="X138" s="51">
        <v>0.84157529708888945</v>
      </c>
      <c r="Y138" s="50">
        <v>47330</v>
      </c>
      <c r="Z138" s="51">
        <v>0.96846344725175881</v>
      </c>
      <c r="AA138" s="50">
        <v>47330</v>
      </c>
      <c r="AB138" s="51">
        <v>0.99208348382647482</v>
      </c>
      <c r="AC138" s="50">
        <v>47330</v>
      </c>
      <c r="AD138" s="51">
        <v>0.77314504424770658</v>
      </c>
      <c r="AE138" s="50">
        <v>47330</v>
      </c>
      <c r="AF138" s="51">
        <v>0.77678468236123965</v>
      </c>
    </row>
    <row r="139" spans="1:32" x14ac:dyDescent="0.25">
      <c r="A139" s="50">
        <v>47361</v>
      </c>
      <c r="B139" s="51">
        <v>0.75078037288816857</v>
      </c>
      <c r="C139" s="50">
        <v>47361</v>
      </c>
      <c r="D139" s="51">
        <v>0.75079475695275122</v>
      </c>
      <c r="E139" s="50">
        <v>47361</v>
      </c>
      <c r="F139" s="51">
        <v>0.91601436967126326</v>
      </c>
      <c r="G139" s="50">
        <v>47361</v>
      </c>
      <c r="H139" s="51">
        <v>0.92820668987294919</v>
      </c>
      <c r="I139" s="50">
        <v>47361</v>
      </c>
      <c r="J139" s="51">
        <v>0.50578317771622194</v>
      </c>
      <c r="K139" s="50">
        <v>47361</v>
      </c>
      <c r="L139" s="51">
        <v>0.50578935621136223</v>
      </c>
      <c r="M139" s="50">
        <v>47361</v>
      </c>
      <c r="N139" s="51">
        <v>0.3644459799834539</v>
      </c>
      <c r="O139" s="50">
        <v>47361</v>
      </c>
      <c r="P139" s="51">
        <v>0.40626044039676223</v>
      </c>
      <c r="Q139" s="50">
        <v>47361</v>
      </c>
      <c r="R139" s="51">
        <v>0.97829967289714992</v>
      </c>
      <c r="S139" s="50">
        <v>47361</v>
      </c>
      <c r="T139" s="51">
        <v>1.0328555784416658</v>
      </c>
      <c r="U139" s="50">
        <v>47361</v>
      </c>
      <c r="V139" s="51">
        <v>0.86227670848078375</v>
      </c>
      <c r="W139" s="50">
        <v>47361</v>
      </c>
      <c r="X139" s="51">
        <v>0.84022620081880561</v>
      </c>
      <c r="Y139" s="50">
        <v>47361</v>
      </c>
      <c r="Z139" s="51">
        <v>0.96755939464815643</v>
      </c>
      <c r="AA139" s="50">
        <v>47361</v>
      </c>
      <c r="AB139" s="51">
        <v>0.99141020745285924</v>
      </c>
      <c r="AC139" s="50">
        <v>47361</v>
      </c>
      <c r="AD139" s="51">
        <v>0.77136304371370923</v>
      </c>
      <c r="AE139" s="50">
        <v>47361</v>
      </c>
      <c r="AF139" s="51">
        <v>0.77500961831391935</v>
      </c>
    </row>
    <row r="140" spans="1:32" x14ac:dyDescent="0.25">
      <c r="A140" s="50">
        <v>47391</v>
      </c>
      <c r="B140" s="51">
        <v>0.74903841286976669</v>
      </c>
      <c r="C140" s="50">
        <v>47391</v>
      </c>
      <c r="D140" s="51">
        <v>0.74905277166584217</v>
      </c>
      <c r="E140" s="50">
        <v>47391</v>
      </c>
      <c r="F140" s="51">
        <v>0.91462039490184299</v>
      </c>
      <c r="G140" s="50">
        <v>47391</v>
      </c>
      <c r="H140" s="51">
        <v>0.92682919517799933</v>
      </c>
      <c r="I140" s="50">
        <v>47391</v>
      </c>
      <c r="J140" s="51">
        <v>0.50281842776884744</v>
      </c>
      <c r="K140" s="50">
        <v>47391</v>
      </c>
      <c r="L140" s="51">
        <v>0.50282457957829974</v>
      </c>
      <c r="M140" s="50">
        <v>47391</v>
      </c>
      <c r="N140" s="51">
        <v>0.36148272783471019</v>
      </c>
      <c r="O140" s="50">
        <v>47391</v>
      </c>
      <c r="P140" s="51">
        <v>0.40327343757005274</v>
      </c>
      <c r="Q140" s="50">
        <v>47391</v>
      </c>
      <c r="R140" s="51">
        <v>0.97776234677658169</v>
      </c>
      <c r="S140" s="50">
        <v>47391</v>
      </c>
      <c r="T140" s="51">
        <v>1.0326524817263545</v>
      </c>
      <c r="U140" s="50">
        <v>47391</v>
      </c>
      <c r="V140" s="51">
        <v>0.8611154000462784</v>
      </c>
      <c r="W140" s="50">
        <v>47391</v>
      </c>
      <c r="X140" s="51">
        <v>0.8389206237832405</v>
      </c>
      <c r="Y140" s="50">
        <v>47391</v>
      </c>
      <c r="Z140" s="51">
        <v>0.96668450503176717</v>
      </c>
      <c r="AA140" s="50">
        <v>47391</v>
      </c>
      <c r="AB140" s="51">
        <v>0.99075864967194083</v>
      </c>
      <c r="AC140" s="50">
        <v>47391</v>
      </c>
      <c r="AD140" s="51">
        <v>0.76963852706790525</v>
      </c>
      <c r="AE140" s="50">
        <v>47391</v>
      </c>
      <c r="AF140" s="51">
        <v>0.77329181439715766</v>
      </c>
    </row>
    <row r="141" spans="1:32" x14ac:dyDescent="0.25">
      <c r="A141" s="50">
        <v>47422</v>
      </c>
      <c r="B141" s="51">
        <v>0.747238387517418</v>
      </c>
      <c r="C141" s="50">
        <v>47422</v>
      </c>
      <c r="D141" s="51">
        <v>0.74725272020270284</v>
      </c>
      <c r="E141" s="50">
        <v>47422</v>
      </c>
      <c r="F141" s="51">
        <v>0.91317995430677534</v>
      </c>
      <c r="G141" s="50">
        <v>47422</v>
      </c>
      <c r="H141" s="51">
        <v>0.92540578399321771</v>
      </c>
      <c r="I141" s="50">
        <v>47422</v>
      </c>
      <c r="J141" s="51">
        <v>0.49984310896790046</v>
      </c>
      <c r="K141" s="50">
        <v>47422</v>
      </c>
      <c r="L141" s="51">
        <v>0.49984923413617433</v>
      </c>
      <c r="M141" s="50">
        <v>47422</v>
      </c>
      <c r="N141" s="51">
        <v>0.35842070061434173</v>
      </c>
      <c r="O141" s="50">
        <v>47422</v>
      </c>
      <c r="P141" s="51">
        <v>0.4001868679824529</v>
      </c>
      <c r="Q141" s="50">
        <v>47422</v>
      </c>
      <c r="R141" s="51">
        <v>0.97720710978532777</v>
      </c>
      <c r="S141" s="50">
        <v>47422</v>
      </c>
      <c r="T141" s="51">
        <v>1.032442615120533</v>
      </c>
      <c r="U141" s="50">
        <v>47422</v>
      </c>
      <c r="V141" s="51">
        <v>0.85991538133062295</v>
      </c>
      <c r="W141" s="50">
        <v>47422</v>
      </c>
      <c r="X141" s="51">
        <v>0.83757152751315667</v>
      </c>
      <c r="Y141" s="50">
        <v>47422</v>
      </c>
      <c r="Z141" s="51">
        <v>0.9657804524281649</v>
      </c>
      <c r="AA141" s="50">
        <v>47422</v>
      </c>
      <c r="AB141" s="51">
        <v>0.99008537329832513</v>
      </c>
      <c r="AC141" s="50">
        <v>47422</v>
      </c>
      <c r="AD141" s="51">
        <v>0.7678565265339079</v>
      </c>
      <c r="AE141" s="50">
        <v>47422</v>
      </c>
      <c r="AF141" s="51">
        <v>0.77151675034983724</v>
      </c>
    </row>
    <row r="142" spans="1:32" x14ac:dyDescent="0.25">
      <c r="A142" s="50">
        <v>47452</v>
      </c>
      <c r="B142" s="51">
        <v>0.74549642749901612</v>
      </c>
      <c r="C142" s="50">
        <v>47452</v>
      </c>
      <c r="D142" s="51">
        <v>0.74551073491579389</v>
      </c>
      <c r="E142" s="50">
        <v>47452</v>
      </c>
      <c r="F142" s="51">
        <v>0.91178597953735507</v>
      </c>
      <c r="G142" s="50">
        <v>47452</v>
      </c>
      <c r="H142" s="51">
        <v>0.92402828929826786</v>
      </c>
      <c r="I142" s="50">
        <v>47452</v>
      </c>
      <c r="J142" s="51">
        <v>0.4969666151651993</v>
      </c>
      <c r="K142" s="50">
        <v>47452</v>
      </c>
      <c r="L142" s="51">
        <v>0.49697271458181763</v>
      </c>
      <c r="M142" s="50">
        <v>47452</v>
      </c>
      <c r="N142" s="51">
        <v>0.35545744846559801</v>
      </c>
      <c r="O142" s="50">
        <v>47452</v>
      </c>
      <c r="P142" s="51">
        <v>0.3971998651557434</v>
      </c>
      <c r="Q142" s="50">
        <v>47452</v>
      </c>
      <c r="R142" s="51">
        <v>0.97666978366475943</v>
      </c>
      <c r="S142" s="50">
        <v>47452</v>
      </c>
      <c r="T142" s="51">
        <v>1.0322395184052218</v>
      </c>
      <c r="U142" s="50">
        <v>47452</v>
      </c>
      <c r="V142" s="51">
        <v>0.8587540728961176</v>
      </c>
      <c r="W142" s="50">
        <v>47452</v>
      </c>
      <c r="X142" s="51">
        <v>0.83626595047759156</v>
      </c>
      <c r="Y142" s="50">
        <v>47452</v>
      </c>
      <c r="Z142" s="51">
        <v>0.96490556281177553</v>
      </c>
      <c r="AA142" s="50">
        <v>47452</v>
      </c>
      <c r="AB142" s="51">
        <v>0.98943381551740683</v>
      </c>
      <c r="AC142" s="50">
        <v>47452</v>
      </c>
      <c r="AD142" s="51">
        <v>0.76613200988810404</v>
      </c>
      <c r="AE142" s="50">
        <v>47452</v>
      </c>
      <c r="AF142" s="51">
        <v>0.76979894643307567</v>
      </c>
    </row>
    <row r="143" spans="1:32" x14ac:dyDescent="0.25">
      <c r="A143" s="50">
        <v>47483</v>
      </c>
      <c r="B143" s="51">
        <v>0.74369640214666743</v>
      </c>
      <c r="C143" s="50">
        <v>47483</v>
      </c>
      <c r="D143" s="51">
        <v>0.74371068345265456</v>
      </c>
      <c r="E143" s="50">
        <v>47483</v>
      </c>
      <c r="F143" s="51">
        <v>0.91034553894228754</v>
      </c>
      <c r="G143" s="50">
        <v>47483</v>
      </c>
      <c r="H143" s="51">
        <v>0.92260487811348635</v>
      </c>
      <c r="I143" s="50">
        <v>47483</v>
      </c>
      <c r="J143" s="51">
        <v>0.49399423823574146</v>
      </c>
      <c r="K143" s="50">
        <v>47483</v>
      </c>
      <c r="L143" s="51">
        <v>0.49400031104231573</v>
      </c>
      <c r="M143" s="50">
        <v>47483</v>
      </c>
      <c r="N143" s="51">
        <v>0.35239542124522949</v>
      </c>
      <c r="O143" s="50">
        <v>47483</v>
      </c>
      <c r="P143" s="51">
        <v>0.39411329556814356</v>
      </c>
      <c r="Q143" s="50">
        <v>47483</v>
      </c>
      <c r="R143" s="51">
        <v>0.9761145466735055</v>
      </c>
      <c r="S143" s="50">
        <v>47483</v>
      </c>
      <c r="T143" s="51">
        <v>1.0320296517994001</v>
      </c>
      <c r="U143" s="50">
        <v>47483</v>
      </c>
      <c r="V143" s="51">
        <v>0.85755405418046216</v>
      </c>
      <c r="W143" s="50">
        <v>47483</v>
      </c>
      <c r="X143" s="51">
        <v>0.83491685420750772</v>
      </c>
      <c r="Y143" s="50">
        <v>47483</v>
      </c>
      <c r="Z143" s="51">
        <v>0.96400151020817326</v>
      </c>
      <c r="AA143" s="50">
        <v>47483</v>
      </c>
      <c r="AB143" s="51">
        <v>0.98876053914379114</v>
      </c>
      <c r="AC143" s="50">
        <v>47483</v>
      </c>
      <c r="AD143" s="51">
        <v>0.76435000935410669</v>
      </c>
      <c r="AE143" s="50">
        <v>47483</v>
      </c>
      <c r="AF143" s="51">
        <v>0.76802388238575525</v>
      </c>
    </row>
    <row r="144" spans="1:32" x14ac:dyDescent="0.25">
      <c r="A144" s="50">
        <v>47514</v>
      </c>
      <c r="B144" s="51">
        <v>0.74171411930806119</v>
      </c>
      <c r="C144" s="50">
        <v>47514</v>
      </c>
      <c r="D144" s="51">
        <v>0.74172838317685097</v>
      </c>
      <c r="E144" s="50">
        <v>47514</v>
      </c>
      <c r="F144" s="51">
        <v>0.90893338200883156</v>
      </c>
      <c r="G144" s="50">
        <v>47514</v>
      </c>
      <c r="H144" s="51">
        <v>0.92125569517853378</v>
      </c>
      <c r="I144" s="50">
        <v>47514</v>
      </c>
      <c r="J144" s="51">
        <v>0.49097215558422702</v>
      </c>
      <c r="K144" s="50">
        <v>47514</v>
      </c>
      <c r="L144" s="51">
        <v>0.49097820102158424</v>
      </c>
      <c r="M144" s="50">
        <v>47514</v>
      </c>
      <c r="N144" s="51">
        <v>0.34933339402486097</v>
      </c>
      <c r="O144" s="50">
        <v>47514</v>
      </c>
      <c r="P144" s="51">
        <v>0.39102672598054372</v>
      </c>
      <c r="Q144" s="50">
        <v>47514</v>
      </c>
      <c r="R144" s="51">
        <v>0.97555531469459966</v>
      </c>
      <c r="S144" s="50">
        <v>47514</v>
      </c>
      <c r="T144" s="51">
        <v>1.0317850335168413</v>
      </c>
      <c r="U144" s="50">
        <v>47514</v>
      </c>
      <c r="V144" s="51">
        <v>0.85634377407754836</v>
      </c>
      <c r="W144" s="50">
        <v>47514</v>
      </c>
      <c r="X144" s="51">
        <v>0.83352266393447827</v>
      </c>
      <c r="Y144" s="50">
        <v>47514</v>
      </c>
      <c r="Z144" s="51">
        <v>0.96278365279664824</v>
      </c>
      <c r="AA144" s="50">
        <v>47514</v>
      </c>
      <c r="AB144" s="51">
        <v>0.98777493843613795</v>
      </c>
      <c r="AC144" s="50">
        <v>47514</v>
      </c>
      <c r="AD144" s="51">
        <v>0.76252170913103046</v>
      </c>
      <c r="AE144" s="50">
        <v>47514</v>
      </c>
      <c r="AF144" s="51">
        <v>0.76620150112762053</v>
      </c>
    </row>
    <row r="145" spans="1:32" x14ac:dyDescent="0.25">
      <c r="A145" s="50">
        <v>47542</v>
      </c>
      <c r="B145" s="51">
        <v>0.73991818297037892</v>
      </c>
      <c r="C145" s="50">
        <v>47542</v>
      </c>
      <c r="D145" s="51">
        <v>0.73993243135058262</v>
      </c>
      <c r="E145" s="50">
        <v>47542</v>
      </c>
      <c r="F145" s="51">
        <v>0.90765873697487687</v>
      </c>
      <c r="G145" s="50">
        <v>47542</v>
      </c>
      <c r="H145" s="51">
        <v>0.92003931316308751</v>
      </c>
      <c r="I145" s="50">
        <v>47542</v>
      </c>
      <c r="J145" s="51">
        <v>0.4882410360277864</v>
      </c>
      <c r="K145" s="50">
        <v>47542</v>
      </c>
      <c r="L145" s="51">
        <v>0.48824705672170371</v>
      </c>
      <c r="M145" s="50">
        <v>47542</v>
      </c>
      <c r="N145" s="51">
        <v>0.34656769201936688</v>
      </c>
      <c r="O145" s="50">
        <v>47542</v>
      </c>
      <c r="P145" s="51">
        <v>0.38823885667561486</v>
      </c>
      <c r="Q145" s="50">
        <v>47542</v>
      </c>
      <c r="R145" s="51">
        <v>0.97505008166026075</v>
      </c>
      <c r="S145" s="50">
        <v>47542</v>
      </c>
      <c r="T145" s="51">
        <v>1.0315630416842627</v>
      </c>
      <c r="U145" s="50">
        <v>47542</v>
      </c>
      <c r="V145" s="51">
        <v>0.85525030891056908</v>
      </c>
      <c r="W145" s="50">
        <v>47542</v>
      </c>
      <c r="X145" s="51">
        <v>0.83226203763186846</v>
      </c>
      <c r="Y145" s="50">
        <v>47542</v>
      </c>
      <c r="Z145" s="51">
        <v>0.96167420466729037</v>
      </c>
      <c r="AA145" s="50">
        <v>47542</v>
      </c>
      <c r="AB145" s="51">
        <v>0.98687531512884585</v>
      </c>
      <c r="AC145" s="50">
        <v>47542</v>
      </c>
      <c r="AD145" s="51">
        <v>0.76086894721847331</v>
      </c>
      <c r="AE145" s="50">
        <v>47542</v>
      </c>
      <c r="AF145" s="51">
        <v>0.76455405474188287</v>
      </c>
    </row>
    <row r="146" spans="1:32" x14ac:dyDescent="0.25">
      <c r="A146" s="50">
        <v>47573</v>
      </c>
      <c r="B146" s="51">
        <v>0.7379298248822308</v>
      </c>
      <c r="C146" s="50">
        <v>47573</v>
      </c>
      <c r="D146" s="51">
        <v>0.73794405611435687</v>
      </c>
      <c r="E146" s="50">
        <v>47573</v>
      </c>
      <c r="F146" s="51">
        <v>0.90624752283014132</v>
      </c>
      <c r="G146" s="50">
        <v>47573</v>
      </c>
      <c r="H146" s="51">
        <v>0.91869260450312928</v>
      </c>
      <c r="I146" s="50">
        <v>47573</v>
      </c>
      <c r="J146" s="51">
        <v>0.48521729651887002</v>
      </c>
      <c r="K146" s="50">
        <v>47573</v>
      </c>
      <c r="L146" s="51">
        <v>0.48522328981826451</v>
      </c>
      <c r="M146" s="50">
        <v>47573</v>
      </c>
      <c r="N146" s="51">
        <v>0.34350566479899836</v>
      </c>
      <c r="O146" s="50">
        <v>47573</v>
      </c>
      <c r="P146" s="51">
        <v>0.38515228708801502</v>
      </c>
      <c r="Q146" s="50">
        <v>47573</v>
      </c>
      <c r="R146" s="51">
        <v>0.97449071651509978</v>
      </c>
      <c r="S146" s="50">
        <v>47573</v>
      </c>
      <c r="T146" s="51">
        <v>1.0313172650124793</v>
      </c>
      <c r="U146" s="50">
        <v>47573</v>
      </c>
      <c r="V146" s="51">
        <v>0.8540396867614134</v>
      </c>
      <c r="W146" s="50">
        <v>47573</v>
      </c>
      <c r="X146" s="51">
        <v>0.8308663442254075</v>
      </c>
      <c r="Y146" s="50">
        <v>47573</v>
      </c>
      <c r="Z146" s="51">
        <v>0.96044588709550138</v>
      </c>
      <c r="AA146" s="50">
        <v>47573</v>
      </c>
      <c r="AB146" s="51">
        <v>0.98587930361005816</v>
      </c>
      <c r="AC146" s="50">
        <v>47573</v>
      </c>
      <c r="AD146" s="51">
        <v>0.75903910367242777</v>
      </c>
      <c r="AE146" s="50">
        <v>47573</v>
      </c>
      <c r="AF146" s="51">
        <v>0.76273009624338772</v>
      </c>
    </row>
    <row r="147" spans="1:32" x14ac:dyDescent="0.25">
      <c r="A147" s="50">
        <v>47603</v>
      </c>
      <c r="B147" s="51">
        <v>0.73600560737757126</v>
      </c>
      <c r="C147" s="50">
        <v>47603</v>
      </c>
      <c r="D147" s="51">
        <v>0.73601982201478366</v>
      </c>
      <c r="E147" s="50">
        <v>47603</v>
      </c>
      <c r="F147" s="51">
        <v>0.90488183172233272</v>
      </c>
      <c r="G147" s="50">
        <v>47603</v>
      </c>
      <c r="H147" s="51">
        <v>0.91738933805800837</v>
      </c>
      <c r="I147" s="50">
        <v>47603</v>
      </c>
      <c r="J147" s="51">
        <v>0.4823242137387323</v>
      </c>
      <c r="K147" s="50">
        <v>47603</v>
      </c>
      <c r="L147" s="51">
        <v>0.48233018079097767</v>
      </c>
      <c r="M147" s="50">
        <v>47603</v>
      </c>
      <c r="N147" s="51">
        <v>0.34054241265025464</v>
      </c>
      <c r="O147" s="50">
        <v>47603</v>
      </c>
      <c r="P147" s="51">
        <v>0.38216528426130547</v>
      </c>
      <c r="Q147" s="50">
        <v>47603</v>
      </c>
      <c r="R147" s="51">
        <v>0.97394939540687953</v>
      </c>
      <c r="S147" s="50">
        <v>47603</v>
      </c>
      <c r="T147" s="51">
        <v>1.0310794166204307</v>
      </c>
      <c r="U147" s="50">
        <v>47603</v>
      </c>
      <c r="V147" s="51">
        <v>0.85286811693964992</v>
      </c>
      <c r="W147" s="50">
        <v>47603</v>
      </c>
      <c r="X147" s="51">
        <v>0.8295156731868969</v>
      </c>
      <c r="Y147" s="50">
        <v>47603</v>
      </c>
      <c r="Z147" s="51">
        <v>0.95925719267118936</v>
      </c>
      <c r="AA147" s="50">
        <v>47603</v>
      </c>
      <c r="AB147" s="51">
        <v>0.98491542149510225</v>
      </c>
      <c r="AC147" s="50">
        <v>47603</v>
      </c>
      <c r="AD147" s="51">
        <v>0.75726828733754514</v>
      </c>
      <c r="AE147" s="50">
        <v>47603</v>
      </c>
      <c r="AF147" s="51">
        <v>0.76096497511581163</v>
      </c>
    </row>
    <row r="148" spans="1:32" x14ac:dyDescent="0.25">
      <c r="A148" s="50">
        <v>47634</v>
      </c>
      <c r="B148" s="51">
        <v>0.73401724928942313</v>
      </c>
      <c r="C148" s="50">
        <v>47634</v>
      </c>
      <c r="D148" s="51">
        <v>0.73403144677855792</v>
      </c>
      <c r="E148" s="50">
        <v>47634</v>
      </c>
      <c r="F148" s="51">
        <v>0.90347061757759717</v>
      </c>
      <c r="G148" s="50">
        <v>47634</v>
      </c>
      <c r="H148" s="51">
        <v>0.91604262939805003</v>
      </c>
      <c r="I148" s="50">
        <v>47634</v>
      </c>
      <c r="J148" s="51">
        <v>0.47933587488785806</v>
      </c>
      <c r="K148" s="50">
        <v>47634</v>
      </c>
      <c r="L148" s="51">
        <v>0.47934181482744481</v>
      </c>
      <c r="M148" s="50">
        <v>47634</v>
      </c>
      <c r="N148" s="51">
        <v>0.33748038542988612</v>
      </c>
      <c r="O148" s="50">
        <v>47634</v>
      </c>
      <c r="P148" s="51">
        <v>0.37907871467370569</v>
      </c>
      <c r="Q148" s="50">
        <v>47634</v>
      </c>
      <c r="R148" s="51">
        <v>0.97339003026171855</v>
      </c>
      <c r="S148" s="50">
        <v>47634</v>
      </c>
      <c r="T148" s="51">
        <v>1.0308336399486473</v>
      </c>
      <c r="U148" s="50">
        <v>47634</v>
      </c>
      <c r="V148" s="51">
        <v>0.85165749479049424</v>
      </c>
      <c r="W148" s="50">
        <v>47634</v>
      </c>
      <c r="X148" s="51">
        <v>0.82811997978043594</v>
      </c>
      <c r="Y148" s="50">
        <v>47634</v>
      </c>
      <c r="Z148" s="51">
        <v>0.95802887509940027</v>
      </c>
      <c r="AA148" s="50">
        <v>47634</v>
      </c>
      <c r="AB148" s="51">
        <v>0.98391940997631455</v>
      </c>
      <c r="AC148" s="50">
        <v>47634</v>
      </c>
      <c r="AD148" s="51">
        <v>0.7554384437914996</v>
      </c>
      <c r="AE148" s="50">
        <v>47634</v>
      </c>
      <c r="AF148" s="51">
        <v>0.75914101661731648</v>
      </c>
    </row>
    <row r="149" spans="1:32" x14ac:dyDescent="0.25">
      <c r="A149" s="50">
        <v>47664</v>
      </c>
      <c r="B149" s="51">
        <v>0.73209303178476359</v>
      </c>
      <c r="C149" s="50">
        <v>47664</v>
      </c>
      <c r="D149" s="51">
        <v>0.7321072126789846</v>
      </c>
      <c r="E149" s="50">
        <v>47664</v>
      </c>
      <c r="F149" s="51">
        <v>0.90210492646978857</v>
      </c>
      <c r="G149" s="50">
        <v>47664</v>
      </c>
      <c r="H149" s="51">
        <v>0.91473936295292912</v>
      </c>
      <c r="I149" s="50">
        <v>47664</v>
      </c>
      <c r="J149" s="51">
        <v>0.47644393406443131</v>
      </c>
      <c r="K149" s="50">
        <v>47664</v>
      </c>
      <c r="L149" s="51">
        <v>0.47644984776596133</v>
      </c>
      <c r="M149" s="50">
        <v>47664</v>
      </c>
      <c r="N149" s="51">
        <v>0.33451713328114241</v>
      </c>
      <c r="O149" s="50">
        <v>47664</v>
      </c>
      <c r="P149" s="51">
        <v>0.37609171184699619</v>
      </c>
      <c r="Q149" s="50">
        <v>47664</v>
      </c>
      <c r="R149" s="51">
        <v>0.9728487091534983</v>
      </c>
      <c r="S149" s="50">
        <v>47664</v>
      </c>
      <c r="T149" s="51">
        <v>1.0305957915565989</v>
      </c>
      <c r="U149" s="50">
        <v>47664</v>
      </c>
      <c r="V149" s="51">
        <v>0.85048592496873066</v>
      </c>
      <c r="W149" s="50">
        <v>47664</v>
      </c>
      <c r="X149" s="51">
        <v>0.82676930874192534</v>
      </c>
      <c r="Y149" s="50">
        <v>47664</v>
      </c>
      <c r="Z149" s="51">
        <v>0.95684018067508825</v>
      </c>
      <c r="AA149" s="50">
        <v>47664</v>
      </c>
      <c r="AB149" s="51">
        <v>0.98295552786135865</v>
      </c>
      <c r="AC149" s="50">
        <v>47664</v>
      </c>
      <c r="AD149" s="51">
        <v>0.75366762745661697</v>
      </c>
      <c r="AE149" s="50">
        <v>47664</v>
      </c>
      <c r="AF149" s="51">
        <v>0.75737589548974038</v>
      </c>
    </row>
    <row r="150" spans="1:32" x14ac:dyDescent="0.25">
      <c r="A150" s="50">
        <v>47695</v>
      </c>
      <c r="B150" s="51">
        <v>0.73013620505664245</v>
      </c>
      <c r="C150" s="50">
        <v>47695</v>
      </c>
      <c r="D150" s="51">
        <v>0.73015036913454945</v>
      </c>
      <c r="E150" s="50">
        <v>47695</v>
      </c>
      <c r="F150" s="51">
        <v>0.90069371232505291</v>
      </c>
      <c r="G150" s="50">
        <v>47695</v>
      </c>
      <c r="H150" s="51">
        <v>0.91339265429297078</v>
      </c>
      <c r="I150" s="50">
        <v>47695</v>
      </c>
      <c r="J150" s="51">
        <v>0.47351591915054958</v>
      </c>
      <c r="K150" s="50">
        <v>47695</v>
      </c>
      <c r="L150" s="51">
        <v>0.4735218063370728</v>
      </c>
      <c r="M150" s="50">
        <v>47695</v>
      </c>
      <c r="N150" s="51">
        <v>0.33145510606077394</v>
      </c>
      <c r="O150" s="50">
        <v>47695</v>
      </c>
      <c r="P150" s="51">
        <v>0.37300514225939635</v>
      </c>
      <c r="Q150" s="50">
        <v>47695</v>
      </c>
      <c r="R150" s="51">
        <v>0.97226535432030436</v>
      </c>
      <c r="S150" s="50">
        <v>47695</v>
      </c>
      <c r="T150" s="51">
        <v>1.0303001139895105</v>
      </c>
      <c r="U150" s="50">
        <v>47695</v>
      </c>
      <c r="V150" s="51">
        <v>0.84930117345940381</v>
      </c>
      <c r="W150" s="50">
        <v>47695</v>
      </c>
      <c r="X150" s="51">
        <v>0.82540383621411328</v>
      </c>
      <c r="Y150" s="50">
        <v>47695</v>
      </c>
      <c r="Z150" s="51">
        <v>0.95561186310329926</v>
      </c>
      <c r="AA150" s="50">
        <v>47695</v>
      </c>
      <c r="AB150" s="51">
        <v>0.98195951634257095</v>
      </c>
      <c r="AC150" s="50">
        <v>47695</v>
      </c>
      <c r="AD150" s="51">
        <v>0.75189126792790462</v>
      </c>
      <c r="AE150" s="50">
        <v>47695</v>
      </c>
      <c r="AF150" s="51">
        <v>0.75560305180897591</v>
      </c>
    </row>
    <row r="151" spans="1:32" x14ac:dyDescent="0.25">
      <c r="A151" s="50">
        <v>47726</v>
      </c>
      <c r="B151" s="51">
        <v>0.72818042937385563</v>
      </c>
      <c r="C151" s="50">
        <v>47726</v>
      </c>
      <c r="D151" s="51">
        <v>0.72819457664650722</v>
      </c>
      <c r="E151" s="50">
        <v>47726</v>
      </c>
      <c r="F151" s="51">
        <v>0.89928249818031736</v>
      </c>
      <c r="G151" s="50">
        <v>47726</v>
      </c>
      <c r="H151" s="51">
        <v>0.91204594563301256</v>
      </c>
      <c r="I151" s="50">
        <v>47726</v>
      </c>
      <c r="J151" s="51">
        <v>0.47058991503456765</v>
      </c>
      <c r="K151" s="50">
        <v>47726</v>
      </c>
      <c r="L151" s="51">
        <v>0.4705957757260058</v>
      </c>
      <c r="M151" s="50">
        <v>47726</v>
      </c>
      <c r="N151" s="51">
        <v>0.32839307884040542</v>
      </c>
      <c r="O151" s="50">
        <v>47726</v>
      </c>
      <c r="P151" s="51">
        <v>0.36991857267179651</v>
      </c>
      <c r="Q151" s="50">
        <v>47726</v>
      </c>
      <c r="R151" s="51">
        <v>0.97168119983084278</v>
      </c>
      <c r="S151" s="50">
        <v>47726</v>
      </c>
      <c r="T151" s="51">
        <v>1.0300027730592451</v>
      </c>
      <c r="U151" s="50">
        <v>47726</v>
      </c>
      <c r="V151" s="51">
        <v>0.84811728430473787</v>
      </c>
      <c r="W151" s="50">
        <v>47726</v>
      </c>
      <c r="X151" s="51">
        <v>0.82403937104892289</v>
      </c>
      <c r="Y151" s="50">
        <v>47726</v>
      </c>
      <c r="Z151" s="51">
        <v>0.95438354553151017</v>
      </c>
      <c r="AA151" s="50">
        <v>47726</v>
      </c>
      <c r="AB151" s="51">
        <v>0.98096350482378314</v>
      </c>
      <c r="AC151" s="50">
        <v>47726</v>
      </c>
      <c r="AD151" s="51">
        <v>0.75011669119977009</v>
      </c>
      <c r="AE151" s="50">
        <v>47726</v>
      </c>
      <c r="AF151" s="51">
        <v>0.75383191195546906</v>
      </c>
    </row>
    <row r="152" spans="1:32" x14ac:dyDescent="0.25">
      <c r="A152" s="50">
        <v>47756</v>
      </c>
      <c r="B152" s="51">
        <v>0.72628774322922329</v>
      </c>
      <c r="C152" s="50">
        <v>47756</v>
      </c>
      <c r="D152" s="51">
        <v>0.7263018742387245</v>
      </c>
      <c r="E152" s="50">
        <v>47756</v>
      </c>
      <c r="F152" s="51">
        <v>0.89791680707250876</v>
      </c>
      <c r="G152" s="50">
        <v>47756</v>
      </c>
      <c r="H152" s="51">
        <v>0.91074267918789165</v>
      </c>
      <c r="I152" s="50">
        <v>47756</v>
      </c>
      <c r="J152" s="51">
        <v>0.46775829814813347</v>
      </c>
      <c r="K152" s="50">
        <v>47756</v>
      </c>
      <c r="L152" s="51">
        <v>0.46776413319916671</v>
      </c>
      <c r="M152" s="50">
        <v>47756</v>
      </c>
      <c r="N152" s="51">
        <v>0.32542982669166171</v>
      </c>
      <c r="O152" s="50">
        <v>47756</v>
      </c>
      <c r="P152" s="51">
        <v>0.36693156984508701</v>
      </c>
      <c r="Q152" s="50">
        <v>47756</v>
      </c>
      <c r="R152" s="51">
        <v>0.97111588903458956</v>
      </c>
      <c r="S152" s="50">
        <v>47756</v>
      </c>
      <c r="T152" s="51">
        <v>1.0297150237718917</v>
      </c>
      <c r="U152" s="50">
        <v>47756</v>
      </c>
      <c r="V152" s="51">
        <v>0.84697158512280313</v>
      </c>
      <c r="W152" s="50">
        <v>47756</v>
      </c>
      <c r="X152" s="51">
        <v>0.82271892088906129</v>
      </c>
      <c r="Y152" s="50">
        <v>47756</v>
      </c>
      <c r="Z152" s="51">
        <v>0.95319485110719815</v>
      </c>
      <c r="AA152" s="50">
        <v>47756</v>
      </c>
      <c r="AB152" s="51">
        <v>0.97999962270882734</v>
      </c>
      <c r="AC152" s="50">
        <v>47756</v>
      </c>
      <c r="AD152" s="51">
        <v>0.74839935888222053</v>
      </c>
      <c r="AE152" s="50">
        <v>47756</v>
      </c>
      <c r="AF152" s="51">
        <v>0.75211790564562375</v>
      </c>
    </row>
    <row r="153" spans="1:32" x14ac:dyDescent="0.25">
      <c r="A153" s="50">
        <v>47787</v>
      </c>
      <c r="B153" s="51">
        <v>0.72433196754643647</v>
      </c>
      <c r="C153" s="50">
        <v>47787</v>
      </c>
      <c r="D153" s="51">
        <v>0.72434608175068238</v>
      </c>
      <c r="E153" s="50">
        <v>47787</v>
      </c>
      <c r="F153" s="51">
        <v>0.89650559292777321</v>
      </c>
      <c r="G153" s="50">
        <v>47787</v>
      </c>
      <c r="H153" s="51">
        <v>0.90939597052793331</v>
      </c>
      <c r="I153" s="50">
        <v>47787</v>
      </c>
      <c r="J153" s="51">
        <v>0.46491640269471923</v>
      </c>
      <c r="K153" s="50">
        <v>47787</v>
      </c>
      <c r="L153" s="51">
        <v>0.46492221215129792</v>
      </c>
      <c r="M153" s="50">
        <v>47787</v>
      </c>
      <c r="N153" s="51">
        <v>0.32236779947129318</v>
      </c>
      <c r="O153" s="50">
        <v>47787</v>
      </c>
      <c r="P153" s="51">
        <v>0.36384500025748712</v>
      </c>
      <c r="Q153" s="50">
        <v>47787</v>
      </c>
      <c r="R153" s="51">
        <v>0.97053173454512787</v>
      </c>
      <c r="S153" s="50">
        <v>47787</v>
      </c>
      <c r="T153" s="51">
        <v>1.0294176828416264</v>
      </c>
      <c r="U153" s="50">
        <v>47787</v>
      </c>
      <c r="V153" s="51">
        <v>0.84578769596813719</v>
      </c>
      <c r="W153" s="50">
        <v>47787</v>
      </c>
      <c r="X153" s="51">
        <v>0.82135445572387089</v>
      </c>
      <c r="Y153" s="50">
        <v>47787</v>
      </c>
      <c r="Z153" s="51">
        <v>0.95196653353540905</v>
      </c>
      <c r="AA153" s="50">
        <v>47787</v>
      </c>
      <c r="AB153" s="51">
        <v>0.97900361119003965</v>
      </c>
      <c r="AC153" s="50">
        <v>47787</v>
      </c>
      <c r="AD153" s="51">
        <v>0.74662478215408601</v>
      </c>
      <c r="AE153" s="50">
        <v>47787</v>
      </c>
      <c r="AF153" s="51">
        <v>0.7503467657921169</v>
      </c>
    </row>
    <row r="154" spans="1:32" x14ac:dyDescent="0.25">
      <c r="A154" s="50">
        <v>47817</v>
      </c>
      <c r="B154" s="51">
        <v>0.72243928140180402</v>
      </c>
      <c r="C154" s="50">
        <v>47817</v>
      </c>
      <c r="D154" s="51">
        <v>0.72245337934289966</v>
      </c>
      <c r="E154" s="50">
        <v>47817</v>
      </c>
      <c r="F154" s="51">
        <v>0.89513990181996461</v>
      </c>
      <c r="G154" s="50">
        <v>47817</v>
      </c>
      <c r="H154" s="51">
        <v>0.9080927040828124</v>
      </c>
      <c r="I154" s="50">
        <v>47817</v>
      </c>
      <c r="J154" s="51">
        <v>0.46216889447085274</v>
      </c>
      <c r="K154" s="50">
        <v>47817</v>
      </c>
      <c r="L154" s="51">
        <v>0.46217467918765709</v>
      </c>
      <c r="M154" s="50">
        <v>47817</v>
      </c>
      <c r="N154" s="51">
        <v>0.31940454732254947</v>
      </c>
      <c r="O154" s="50">
        <v>47817</v>
      </c>
      <c r="P154" s="51">
        <v>0.36085799743077762</v>
      </c>
      <c r="Q154" s="50">
        <v>47817</v>
      </c>
      <c r="R154" s="51">
        <v>0.96996642374887465</v>
      </c>
      <c r="S154" s="50">
        <v>47817</v>
      </c>
      <c r="T154" s="51">
        <v>1.029129933554273</v>
      </c>
      <c r="U154" s="50">
        <v>47817</v>
      </c>
      <c r="V154" s="51">
        <v>0.84464199678620244</v>
      </c>
      <c r="W154" s="50">
        <v>47817</v>
      </c>
      <c r="X154" s="51">
        <v>0.82003400556400918</v>
      </c>
      <c r="Y154" s="50">
        <v>47817</v>
      </c>
      <c r="Z154" s="51">
        <v>0.95077783911109714</v>
      </c>
      <c r="AA154" s="50">
        <v>47817</v>
      </c>
      <c r="AB154" s="51">
        <v>0.97803972907508374</v>
      </c>
      <c r="AC154" s="50">
        <v>47817</v>
      </c>
      <c r="AD154" s="51">
        <v>0.74490744983653645</v>
      </c>
      <c r="AE154" s="50">
        <v>47817</v>
      </c>
      <c r="AF154" s="51">
        <v>0.74863275948227159</v>
      </c>
    </row>
    <row r="155" spans="1:32" x14ac:dyDescent="0.25">
      <c r="A155" s="50">
        <v>47848</v>
      </c>
      <c r="B155" s="51">
        <v>0.7204835057190172</v>
      </c>
      <c r="C155" s="50">
        <v>47848</v>
      </c>
      <c r="D155" s="51">
        <v>0.72049758685485743</v>
      </c>
      <c r="E155" s="50">
        <v>47848</v>
      </c>
      <c r="F155" s="51">
        <v>0.89372868767522906</v>
      </c>
      <c r="G155" s="50">
        <v>47848</v>
      </c>
      <c r="H155" s="51">
        <v>0.90674599542285406</v>
      </c>
      <c r="I155" s="50">
        <v>47848</v>
      </c>
      <c r="J155" s="51">
        <v>0.45932980263952405</v>
      </c>
      <c r="K155" s="50">
        <v>47848</v>
      </c>
      <c r="L155" s="51">
        <v>0.45933556179189489</v>
      </c>
      <c r="M155" s="50">
        <v>47848</v>
      </c>
      <c r="N155" s="51">
        <v>0.316342520102181</v>
      </c>
      <c r="O155" s="50">
        <v>47848</v>
      </c>
      <c r="P155" s="51">
        <v>0.35777142784317784</v>
      </c>
      <c r="Q155" s="50">
        <v>47848</v>
      </c>
      <c r="R155" s="51">
        <v>0.96938226925941307</v>
      </c>
      <c r="S155" s="50">
        <v>47848</v>
      </c>
      <c r="T155" s="51">
        <v>1.0288325926240076</v>
      </c>
      <c r="U155" s="50">
        <v>47848</v>
      </c>
      <c r="V155" s="51">
        <v>0.84345810763153661</v>
      </c>
      <c r="W155" s="50">
        <v>47848</v>
      </c>
      <c r="X155" s="51">
        <v>0.81866954039881878</v>
      </c>
      <c r="Y155" s="50">
        <v>47848</v>
      </c>
      <c r="Z155" s="51">
        <v>0.94954952153930805</v>
      </c>
      <c r="AA155" s="50">
        <v>47848</v>
      </c>
      <c r="AB155" s="51">
        <v>0.97704371755629604</v>
      </c>
      <c r="AC155" s="50">
        <v>47848</v>
      </c>
      <c r="AD155" s="51">
        <v>0.74313287310840193</v>
      </c>
      <c r="AE155" s="50">
        <v>47848</v>
      </c>
      <c r="AF155" s="51">
        <v>0.74686161962876474</v>
      </c>
    </row>
    <row r="156" spans="1:32" x14ac:dyDescent="0.25">
      <c r="A156" s="50">
        <v>47879</v>
      </c>
      <c r="B156" s="51">
        <v>0.7186394362292744</v>
      </c>
      <c r="C156" s="50">
        <v>47879</v>
      </c>
      <c r="D156" s="51">
        <v>0.71865349348358876</v>
      </c>
      <c r="E156" s="50">
        <v>47879</v>
      </c>
      <c r="F156" s="51">
        <v>0.89230067666896407</v>
      </c>
      <c r="G156" s="50">
        <v>47879</v>
      </c>
      <c r="H156" s="51">
        <v>0.90531351133574667</v>
      </c>
      <c r="I156" s="50">
        <v>47879</v>
      </c>
      <c r="J156" s="51">
        <v>0.45636531202856723</v>
      </c>
      <c r="K156" s="50">
        <v>47879</v>
      </c>
      <c r="L156" s="51">
        <v>0.45637104572365667</v>
      </c>
      <c r="M156" s="50">
        <v>47879</v>
      </c>
      <c r="N156" s="51">
        <v>0.31388501940468372</v>
      </c>
      <c r="O156" s="50">
        <v>47879</v>
      </c>
      <c r="P156" s="51">
        <v>0.35522469348109603</v>
      </c>
      <c r="Q156" s="50">
        <v>47879</v>
      </c>
      <c r="R156" s="51">
        <v>0.96872324381125585</v>
      </c>
      <c r="S156" s="50">
        <v>47879</v>
      </c>
      <c r="T156" s="51">
        <v>1.0284334548649032</v>
      </c>
      <c r="U156" s="50">
        <v>47879</v>
      </c>
      <c r="V156" s="51">
        <v>0.84228692749136225</v>
      </c>
      <c r="W156" s="50">
        <v>47879</v>
      </c>
      <c r="X156" s="51">
        <v>0.81739342708260632</v>
      </c>
      <c r="Y156" s="50">
        <v>47879</v>
      </c>
      <c r="Z156" s="51">
        <v>0.94862772515563398</v>
      </c>
      <c r="AA156" s="50">
        <v>47879</v>
      </c>
      <c r="AB156" s="51">
        <v>0.97618508359801237</v>
      </c>
      <c r="AC156" s="50">
        <v>47879</v>
      </c>
      <c r="AD156" s="51">
        <v>0.74133100900256732</v>
      </c>
      <c r="AE156" s="50">
        <v>47879</v>
      </c>
      <c r="AF156" s="51">
        <v>0.7451225503240656</v>
      </c>
    </row>
    <row r="157" spans="1:32" x14ac:dyDescent="0.25">
      <c r="A157" s="50">
        <v>47907</v>
      </c>
      <c r="B157" s="51">
        <v>0.71697718827445867</v>
      </c>
      <c r="C157" s="50">
        <v>47907</v>
      </c>
      <c r="D157" s="51">
        <v>0.71699122374531354</v>
      </c>
      <c r="E157" s="50">
        <v>47907</v>
      </c>
      <c r="F157" s="51">
        <v>0.89101035456424871</v>
      </c>
      <c r="G157" s="50">
        <v>47907</v>
      </c>
      <c r="H157" s="51">
        <v>0.90401707225496131</v>
      </c>
      <c r="I157" s="50">
        <v>47907</v>
      </c>
      <c r="J157" s="51">
        <v>0.45368393215863889</v>
      </c>
      <c r="K157" s="50">
        <v>47907</v>
      </c>
      <c r="L157" s="51">
        <v>0.45368964286328095</v>
      </c>
      <c r="M157" s="50">
        <v>47907</v>
      </c>
      <c r="N157" s="51">
        <v>0.31168354215386945</v>
      </c>
      <c r="O157" s="50">
        <v>47907</v>
      </c>
      <c r="P157" s="51">
        <v>0.35294067038665072</v>
      </c>
      <c r="Q157" s="50">
        <v>47907</v>
      </c>
      <c r="R157" s="51">
        <v>0.96812574083997038</v>
      </c>
      <c r="S157" s="50">
        <v>47907</v>
      </c>
      <c r="T157" s="51">
        <v>1.0280698784897899</v>
      </c>
      <c r="U157" s="50">
        <v>47907</v>
      </c>
      <c r="V157" s="51">
        <v>0.84122947000174852</v>
      </c>
      <c r="W157" s="50">
        <v>47907</v>
      </c>
      <c r="X157" s="51">
        <v>0.81624346865911468</v>
      </c>
      <c r="Y157" s="50">
        <v>47907</v>
      </c>
      <c r="Z157" s="51">
        <v>0.94780436346851682</v>
      </c>
      <c r="AA157" s="50">
        <v>47907</v>
      </c>
      <c r="AB157" s="51">
        <v>0.9754136793471907</v>
      </c>
      <c r="AC157" s="50">
        <v>47907</v>
      </c>
      <c r="AD157" s="51">
        <v>0.739702697287001</v>
      </c>
      <c r="AE157" s="50">
        <v>47907</v>
      </c>
      <c r="AF157" s="51">
        <v>0.74355274361376389</v>
      </c>
    </row>
    <row r="158" spans="1:32" x14ac:dyDescent="0.25">
      <c r="A158" s="50">
        <v>47938</v>
      </c>
      <c r="B158" s="51">
        <v>0.71513684232448393</v>
      </c>
      <c r="C158" s="50">
        <v>47938</v>
      </c>
      <c r="D158" s="51">
        <v>0.71515085367793729</v>
      </c>
      <c r="E158" s="50">
        <v>47938</v>
      </c>
      <c r="F158" s="51">
        <v>0.88958178366259943</v>
      </c>
      <c r="G158" s="50">
        <v>47938</v>
      </c>
      <c r="H158" s="51">
        <v>0.90258172898694899</v>
      </c>
      <c r="I158" s="50">
        <v>47938</v>
      </c>
      <c r="J158" s="51">
        <v>0.45071526158836106</v>
      </c>
      <c r="K158" s="50">
        <v>47938</v>
      </c>
      <c r="L158" s="51">
        <v>0.45072094683929353</v>
      </c>
      <c r="M158" s="50">
        <v>47938</v>
      </c>
      <c r="N158" s="51">
        <v>0.30924619234046791</v>
      </c>
      <c r="O158" s="50">
        <v>47938</v>
      </c>
      <c r="P158" s="51">
        <v>0.35041193053208619</v>
      </c>
      <c r="Q158" s="50">
        <v>47938</v>
      </c>
      <c r="R158" s="51">
        <v>0.96746421969318996</v>
      </c>
      <c r="S158" s="50">
        <v>47938</v>
      </c>
      <c r="T158" s="51">
        <v>1.0276673475030573</v>
      </c>
      <c r="U158" s="50">
        <v>47938</v>
      </c>
      <c r="V158" s="51">
        <v>0.84005871349539052</v>
      </c>
      <c r="W158" s="50">
        <v>47938</v>
      </c>
      <c r="X158" s="51">
        <v>0.81497030040453478</v>
      </c>
      <c r="Y158" s="50">
        <v>47938</v>
      </c>
      <c r="Z158" s="51">
        <v>0.94689278445777991</v>
      </c>
      <c r="AA158" s="50">
        <v>47938</v>
      </c>
      <c r="AB158" s="51">
        <v>0.97455962464092383</v>
      </c>
      <c r="AC158" s="50">
        <v>47938</v>
      </c>
      <c r="AD158" s="51">
        <v>0.73789992360190959</v>
      </c>
      <c r="AE158" s="50">
        <v>47938</v>
      </c>
      <c r="AF158" s="51">
        <v>0.74181474332735831</v>
      </c>
    </row>
    <row r="159" spans="1:32" x14ac:dyDescent="0.25">
      <c r="A159" s="50">
        <v>47968</v>
      </c>
      <c r="B159" s="51">
        <v>0.71335586237289561</v>
      </c>
      <c r="C159" s="50">
        <v>47968</v>
      </c>
      <c r="D159" s="51">
        <v>0.71336985038692802</v>
      </c>
      <c r="E159" s="50">
        <v>47968</v>
      </c>
      <c r="F159" s="51">
        <v>0.88819929569326139</v>
      </c>
      <c r="G159" s="50">
        <v>47968</v>
      </c>
      <c r="H159" s="51">
        <v>0.90119268711467893</v>
      </c>
      <c r="I159" s="50">
        <v>47968</v>
      </c>
      <c r="J159" s="51">
        <v>0.44787388379788234</v>
      </c>
      <c r="K159" s="50">
        <v>47968</v>
      </c>
      <c r="L159" s="51">
        <v>0.44787954463696522</v>
      </c>
      <c r="M159" s="50">
        <v>47968</v>
      </c>
      <c r="N159" s="51">
        <v>0.30688746671459544</v>
      </c>
      <c r="O159" s="50">
        <v>47968</v>
      </c>
      <c r="P159" s="51">
        <v>0.34796476293089473</v>
      </c>
      <c r="Q159" s="50">
        <v>47968</v>
      </c>
      <c r="R159" s="51">
        <v>0.96682403793824123</v>
      </c>
      <c r="S159" s="50">
        <v>47968</v>
      </c>
      <c r="T159" s="51">
        <v>1.0272778013868646</v>
      </c>
      <c r="U159" s="50">
        <v>47968</v>
      </c>
      <c r="V159" s="51">
        <v>0.83892572332794735</v>
      </c>
      <c r="W159" s="50">
        <v>47968</v>
      </c>
      <c r="X159" s="51">
        <v>0.813738202093651</v>
      </c>
      <c r="Y159" s="50">
        <v>47968</v>
      </c>
      <c r="Z159" s="51">
        <v>0.94601061122158292</v>
      </c>
      <c r="AA159" s="50">
        <v>47968</v>
      </c>
      <c r="AB159" s="51">
        <v>0.97373312008647206</v>
      </c>
      <c r="AC159" s="50">
        <v>47968</v>
      </c>
      <c r="AD159" s="51">
        <v>0.73615530390665995</v>
      </c>
      <c r="AE159" s="50">
        <v>47968</v>
      </c>
      <c r="AF159" s="51">
        <v>0.74013280756632083</v>
      </c>
    </row>
    <row r="160" spans="1:32" x14ac:dyDescent="0.25">
      <c r="A160" s="50">
        <v>47999</v>
      </c>
      <c r="B160" s="51">
        <v>0.71151551642292088</v>
      </c>
      <c r="C160" s="50">
        <v>47999</v>
      </c>
      <c r="D160" s="51">
        <v>0.71152948031955188</v>
      </c>
      <c r="E160" s="50">
        <v>47999</v>
      </c>
      <c r="F160" s="51">
        <v>0.88677072479161212</v>
      </c>
      <c r="G160" s="50">
        <v>47999</v>
      </c>
      <c r="H160" s="51">
        <v>0.89975734384666661</v>
      </c>
      <c r="I160" s="50">
        <v>47999</v>
      </c>
      <c r="J160" s="51">
        <v>0.44493891686910431</v>
      </c>
      <c r="K160" s="50">
        <v>47999</v>
      </c>
      <c r="L160" s="51">
        <v>0.44494455249047593</v>
      </c>
      <c r="M160" s="50">
        <v>47999</v>
      </c>
      <c r="N160" s="51">
        <v>0.30445011690119395</v>
      </c>
      <c r="O160" s="50">
        <v>47999</v>
      </c>
      <c r="P160" s="51">
        <v>0.34543602307633026</v>
      </c>
      <c r="Q160" s="50">
        <v>47999</v>
      </c>
      <c r="R160" s="51">
        <v>0.96616251679146092</v>
      </c>
      <c r="S160" s="50">
        <v>47999</v>
      </c>
      <c r="T160" s="51">
        <v>1.0268752704001323</v>
      </c>
      <c r="U160" s="50">
        <v>47999</v>
      </c>
      <c r="V160" s="51">
        <v>0.83775496682158934</v>
      </c>
      <c r="W160" s="50">
        <v>47999</v>
      </c>
      <c r="X160" s="51">
        <v>0.81246503383907098</v>
      </c>
      <c r="Y160" s="50">
        <v>47999</v>
      </c>
      <c r="Z160" s="51">
        <v>0.94509903221084601</v>
      </c>
      <c r="AA160" s="50">
        <v>47999</v>
      </c>
      <c r="AB160" s="51">
        <v>0.97287906538020519</v>
      </c>
      <c r="AC160" s="50">
        <v>47999</v>
      </c>
      <c r="AD160" s="51">
        <v>0.73435253022156866</v>
      </c>
      <c r="AE160" s="50">
        <v>47999</v>
      </c>
      <c r="AF160" s="51">
        <v>0.73839480727991524</v>
      </c>
    </row>
    <row r="161" spans="1:32" x14ac:dyDescent="0.25">
      <c r="A161" s="50">
        <v>48029</v>
      </c>
      <c r="B161" s="51">
        <v>0.70973453647133256</v>
      </c>
      <c r="C161" s="50">
        <v>48029</v>
      </c>
      <c r="D161" s="51">
        <v>0.7097484770285426</v>
      </c>
      <c r="E161" s="50">
        <v>48029</v>
      </c>
      <c r="F161" s="51">
        <v>0.88538823682227419</v>
      </c>
      <c r="G161" s="50">
        <v>48029</v>
      </c>
      <c r="H161" s="51">
        <v>0.89836830197439654</v>
      </c>
      <c r="I161" s="50">
        <v>48029</v>
      </c>
      <c r="J161" s="51">
        <v>0.4420986262928675</v>
      </c>
      <c r="K161" s="50">
        <v>48029</v>
      </c>
      <c r="L161" s="51">
        <v>0.44210423751000244</v>
      </c>
      <c r="M161" s="50">
        <v>48029</v>
      </c>
      <c r="N161" s="51">
        <v>0.30209139127532147</v>
      </c>
      <c r="O161" s="50">
        <v>48029</v>
      </c>
      <c r="P161" s="51">
        <v>0.3429888554751388</v>
      </c>
      <c r="Q161" s="50">
        <v>48029</v>
      </c>
      <c r="R161" s="51">
        <v>0.96552233503651208</v>
      </c>
      <c r="S161" s="50">
        <v>48029</v>
      </c>
      <c r="T161" s="51">
        <v>1.0264857242839394</v>
      </c>
      <c r="U161" s="50">
        <v>48029</v>
      </c>
      <c r="V161" s="51">
        <v>0.83662197665414606</v>
      </c>
      <c r="W161" s="50">
        <v>48029</v>
      </c>
      <c r="X161" s="51">
        <v>0.8112329355281872</v>
      </c>
      <c r="Y161" s="50">
        <v>48029</v>
      </c>
      <c r="Z161" s="51">
        <v>0.94421685897464902</v>
      </c>
      <c r="AA161" s="50">
        <v>48029</v>
      </c>
      <c r="AB161" s="51">
        <v>0.97205256082575342</v>
      </c>
      <c r="AC161" s="50">
        <v>48029</v>
      </c>
      <c r="AD161" s="51">
        <v>0.73260791052631902</v>
      </c>
      <c r="AE161" s="50">
        <v>48029</v>
      </c>
      <c r="AF161" s="51">
        <v>0.73671287151887765</v>
      </c>
    </row>
    <row r="162" spans="1:32" x14ac:dyDescent="0.25">
      <c r="A162" s="50">
        <v>48060</v>
      </c>
      <c r="B162" s="51">
        <v>0.70793296955434559</v>
      </c>
      <c r="C162" s="50">
        <v>48060</v>
      </c>
      <c r="D162" s="51">
        <v>0.70794688659763871</v>
      </c>
      <c r="E162" s="50">
        <v>48060</v>
      </c>
      <c r="F162" s="51">
        <v>0.88395966592062492</v>
      </c>
      <c r="G162" s="50">
        <v>48060</v>
      </c>
      <c r="H162" s="51">
        <v>0.89693295870638423</v>
      </c>
      <c r="I162" s="50">
        <v>48060</v>
      </c>
      <c r="J162" s="51">
        <v>0.43922075870454891</v>
      </c>
      <c r="K162" s="50">
        <v>48060</v>
      </c>
      <c r="L162" s="51">
        <v>0.43922634524454574</v>
      </c>
      <c r="M162" s="50">
        <v>48060</v>
      </c>
      <c r="N162" s="51">
        <v>0.29965404146191993</v>
      </c>
      <c r="O162" s="50">
        <v>48060</v>
      </c>
      <c r="P162" s="51">
        <v>0.34046011562057432</v>
      </c>
      <c r="Q162" s="50">
        <v>48060</v>
      </c>
      <c r="R162" s="51">
        <v>0.96483407802619003</v>
      </c>
      <c r="S162" s="50">
        <v>48060</v>
      </c>
      <c r="T162" s="51">
        <v>1.0260304530725368</v>
      </c>
      <c r="U162" s="50">
        <v>48060</v>
      </c>
      <c r="V162" s="51">
        <v>0.83547545461983963</v>
      </c>
      <c r="W162" s="50">
        <v>48060</v>
      </c>
      <c r="X162" s="51">
        <v>0.80999254500465001</v>
      </c>
      <c r="Y162" s="50">
        <v>48060</v>
      </c>
      <c r="Z162" s="51">
        <v>0.94330527996391211</v>
      </c>
      <c r="AA162" s="50">
        <v>48060</v>
      </c>
      <c r="AB162" s="51">
        <v>0.97119850611948655</v>
      </c>
      <c r="AC162" s="50">
        <v>48060</v>
      </c>
      <c r="AD162" s="51">
        <v>0.73085140136859339</v>
      </c>
      <c r="AE162" s="50">
        <v>48060</v>
      </c>
      <c r="AF162" s="51">
        <v>0.73502231708827481</v>
      </c>
    </row>
    <row r="163" spans="1:32" x14ac:dyDescent="0.25">
      <c r="A163" s="50">
        <v>48091</v>
      </c>
      <c r="B163" s="51">
        <v>0.70613269527179157</v>
      </c>
      <c r="C163" s="50">
        <v>48091</v>
      </c>
      <c r="D163" s="51">
        <v>0.70614658882128389</v>
      </c>
      <c r="E163" s="50">
        <v>48091</v>
      </c>
      <c r="F163" s="51">
        <v>0.88253109501897564</v>
      </c>
      <c r="G163" s="50">
        <v>48091</v>
      </c>
      <c r="H163" s="51">
        <v>0.89549761543837181</v>
      </c>
      <c r="I163" s="50">
        <v>48091</v>
      </c>
      <c r="J163" s="51">
        <v>0.43634479442757895</v>
      </c>
      <c r="K163" s="50">
        <v>48091</v>
      </c>
      <c r="L163" s="51">
        <v>0.43635035630845681</v>
      </c>
      <c r="M163" s="50">
        <v>48091</v>
      </c>
      <c r="N163" s="51">
        <v>0.29721669164851838</v>
      </c>
      <c r="O163" s="50">
        <v>48091</v>
      </c>
      <c r="P163" s="51">
        <v>0.33793137576600984</v>
      </c>
      <c r="Q163" s="50">
        <v>48091</v>
      </c>
      <c r="R163" s="51">
        <v>0.96414492982041655</v>
      </c>
      <c r="S163" s="50">
        <v>48091</v>
      </c>
      <c r="T163" s="51">
        <v>1.0255734238536451</v>
      </c>
      <c r="U163" s="50">
        <v>48091</v>
      </c>
      <c r="V163" s="51">
        <v>0.83432974040126828</v>
      </c>
      <c r="W163" s="50">
        <v>48091</v>
      </c>
      <c r="X163" s="51">
        <v>0.80875324707214769</v>
      </c>
      <c r="Y163" s="50">
        <v>48091</v>
      </c>
      <c r="Z163" s="51">
        <v>0.94239370095317521</v>
      </c>
      <c r="AA163" s="50">
        <v>48091</v>
      </c>
      <c r="AB163" s="51">
        <v>0.97034445141321968</v>
      </c>
      <c r="AC163" s="50">
        <v>48091</v>
      </c>
      <c r="AD163" s="51">
        <v>0.72909643436178007</v>
      </c>
      <c r="AE163" s="50">
        <v>48091</v>
      </c>
      <c r="AF163" s="51">
        <v>0.73333334418619867</v>
      </c>
    </row>
    <row r="164" spans="1:32" x14ac:dyDescent="0.25">
      <c r="A164" s="50">
        <v>48121</v>
      </c>
      <c r="B164" s="51">
        <v>0.70439049435319079</v>
      </c>
      <c r="C164" s="50">
        <v>48121</v>
      </c>
      <c r="D164" s="51">
        <v>0.70440436516674698</v>
      </c>
      <c r="E164" s="50">
        <v>48121</v>
      </c>
      <c r="F164" s="51">
        <v>0.88114860704963771</v>
      </c>
      <c r="G164" s="50">
        <v>48121</v>
      </c>
      <c r="H164" s="51">
        <v>0.89410857356610174</v>
      </c>
      <c r="I164" s="50">
        <v>48121</v>
      </c>
      <c r="J164" s="51">
        <v>0.43356160319180159</v>
      </c>
      <c r="K164" s="50">
        <v>48121</v>
      </c>
      <c r="L164" s="51">
        <v>0.4335671412090159</v>
      </c>
      <c r="M164" s="50">
        <v>48121</v>
      </c>
      <c r="N164" s="51">
        <v>0.29485796602264597</v>
      </c>
      <c r="O164" s="50">
        <v>48121</v>
      </c>
      <c r="P164" s="51">
        <v>0.33548420816481839</v>
      </c>
      <c r="Q164" s="50">
        <v>48121</v>
      </c>
      <c r="R164" s="51">
        <v>0.96347801220192608</v>
      </c>
      <c r="S164" s="50">
        <v>48121</v>
      </c>
      <c r="T164" s="51">
        <v>1.0251311375127823</v>
      </c>
      <c r="U164" s="50">
        <v>48121</v>
      </c>
      <c r="V164" s="51">
        <v>0.83322098470587658</v>
      </c>
      <c r="W164" s="50">
        <v>48121</v>
      </c>
      <c r="X164" s="51">
        <v>0.80755392649230662</v>
      </c>
      <c r="Y164" s="50">
        <v>48121</v>
      </c>
      <c r="Z164" s="51">
        <v>0.94151152771697821</v>
      </c>
      <c r="AA164" s="50">
        <v>48121</v>
      </c>
      <c r="AB164" s="51">
        <v>0.96951794685876791</v>
      </c>
      <c r="AC164" s="50">
        <v>48121</v>
      </c>
      <c r="AD164" s="51">
        <v>0.7273980791938961</v>
      </c>
      <c r="AE164" s="50">
        <v>48121</v>
      </c>
      <c r="AF164" s="51">
        <v>0.73169885428096371</v>
      </c>
    </row>
    <row r="165" spans="1:32" x14ac:dyDescent="0.25">
      <c r="A165" s="50">
        <v>48152</v>
      </c>
      <c r="B165" s="51">
        <v>0.70259022007063676</v>
      </c>
      <c r="C165" s="50">
        <v>48152</v>
      </c>
      <c r="D165" s="51">
        <v>0.70260406739039216</v>
      </c>
      <c r="E165" s="50">
        <v>48152</v>
      </c>
      <c r="F165" s="51">
        <v>0.87972003614798844</v>
      </c>
      <c r="G165" s="50">
        <v>48152</v>
      </c>
      <c r="H165" s="51">
        <v>0.89267323029808943</v>
      </c>
      <c r="I165" s="50">
        <v>48152</v>
      </c>
      <c r="J165" s="51">
        <v>0.43074112102794782</v>
      </c>
      <c r="K165" s="50">
        <v>48152</v>
      </c>
      <c r="L165" s="51">
        <v>0.43074663491140447</v>
      </c>
      <c r="M165" s="50">
        <v>48152</v>
      </c>
      <c r="N165" s="51">
        <v>0.29242061620924442</v>
      </c>
      <c r="O165" s="50">
        <v>48152</v>
      </c>
      <c r="P165" s="51">
        <v>0.33295546831025391</v>
      </c>
      <c r="Q165" s="50">
        <v>48152</v>
      </c>
      <c r="R165" s="51">
        <v>0.9627888639961526</v>
      </c>
      <c r="S165" s="50">
        <v>48152</v>
      </c>
      <c r="T165" s="51">
        <v>1.0246741082938906</v>
      </c>
      <c r="U165" s="50">
        <v>48152</v>
      </c>
      <c r="V165" s="51">
        <v>0.83207527048730512</v>
      </c>
      <c r="W165" s="50">
        <v>48152</v>
      </c>
      <c r="X165" s="51">
        <v>0.80631462855980418</v>
      </c>
      <c r="Y165" s="50">
        <v>48152</v>
      </c>
      <c r="Z165" s="51">
        <v>0.94059994870624131</v>
      </c>
      <c r="AA165" s="50">
        <v>48152</v>
      </c>
      <c r="AB165" s="51">
        <v>0.96866389215250104</v>
      </c>
      <c r="AC165" s="50">
        <v>48152</v>
      </c>
      <c r="AD165" s="51">
        <v>0.72564311218708277</v>
      </c>
      <c r="AE165" s="50">
        <v>48152</v>
      </c>
      <c r="AF165" s="51">
        <v>0.73000988137888756</v>
      </c>
    </row>
    <row r="166" spans="1:32" x14ac:dyDescent="0.25">
      <c r="A166" s="50">
        <v>48182</v>
      </c>
      <c r="B166" s="51">
        <v>0.70084801915203609</v>
      </c>
      <c r="C166" s="50">
        <v>48182</v>
      </c>
      <c r="D166" s="51">
        <v>0.70086184373585525</v>
      </c>
      <c r="E166" s="50">
        <v>48182</v>
      </c>
      <c r="F166" s="51">
        <v>0.8783375481786504</v>
      </c>
      <c r="G166" s="50">
        <v>48182</v>
      </c>
      <c r="H166" s="51">
        <v>0.89128418842581936</v>
      </c>
      <c r="I166" s="50">
        <v>48182</v>
      </c>
      <c r="J166" s="51">
        <v>0.42801341190528669</v>
      </c>
      <c r="K166" s="50">
        <v>48182</v>
      </c>
      <c r="L166" s="51">
        <v>0.42801890245044105</v>
      </c>
      <c r="M166" s="50">
        <v>48182</v>
      </c>
      <c r="N166" s="51">
        <v>0.29006189058337195</v>
      </c>
      <c r="O166" s="50">
        <v>48182</v>
      </c>
      <c r="P166" s="51">
        <v>0.33050830070906245</v>
      </c>
      <c r="Q166" s="50">
        <v>48182</v>
      </c>
      <c r="R166" s="51">
        <v>0.96212194637766213</v>
      </c>
      <c r="S166" s="50">
        <v>48182</v>
      </c>
      <c r="T166" s="51">
        <v>1.0242318219530278</v>
      </c>
      <c r="U166" s="50">
        <v>48182</v>
      </c>
      <c r="V166" s="51">
        <v>0.83096651479191341</v>
      </c>
      <c r="W166" s="50">
        <v>48182</v>
      </c>
      <c r="X166" s="51">
        <v>0.80511530797996322</v>
      </c>
      <c r="Y166" s="50">
        <v>48182</v>
      </c>
      <c r="Z166" s="51">
        <v>0.93971777547004431</v>
      </c>
      <c r="AA166" s="50">
        <v>48182</v>
      </c>
      <c r="AB166" s="51">
        <v>0.96783738759804916</v>
      </c>
      <c r="AC166" s="50">
        <v>48182</v>
      </c>
      <c r="AD166" s="51">
        <v>0.7239447570191988</v>
      </c>
      <c r="AE166" s="50">
        <v>48182</v>
      </c>
      <c r="AF166" s="51">
        <v>0.7283753914736526</v>
      </c>
    </row>
    <row r="167" spans="1:32" x14ac:dyDescent="0.25">
      <c r="A167" s="50">
        <v>48213</v>
      </c>
      <c r="B167" s="51">
        <v>0.69904774486948207</v>
      </c>
      <c r="C167" s="50">
        <v>48213</v>
      </c>
      <c r="D167" s="51">
        <v>0.69906154595950043</v>
      </c>
      <c r="E167" s="50">
        <v>48213</v>
      </c>
      <c r="F167" s="51">
        <v>0.87690897727700112</v>
      </c>
      <c r="G167" s="50">
        <v>48213</v>
      </c>
      <c r="H167" s="51">
        <v>0.88984884515780704</v>
      </c>
      <c r="I167" s="50">
        <v>48213</v>
      </c>
      <c r="J167" s="51">
        <v>0.42519477914520348</v>
      </c>
      <c r="K167" s="50">
        <v>48213</v>
      </c>
      <c r="L167" s="51">
        <v>0.42520024557411218</v>
      </c>
      <c r="M167" s="50">
        <v>48213</v>
      </c>
      <c r="N167" s="51">
        <v>0.28762454076997046</v>
      </c>
      <c r="O167" s="50">
        <v>48213</v>
      </c>
      <c r="P167" s="51">
        <v>0.32797956085449798</v>
      </c>
      <c r="Q167" s="50">
        <v>48213</v>
      </c>
      <c r="R167" s="51">
        <v>0.96143279817188865</v>
      </c>
      <c r="S167" s="50">
        <v>48213</v>
      </c>
      <c r="T167" s="51">
        <v>1.0237747927341361</v>
      </c>
      <c r="U167" s="50">
        <v>48213</v>
      </c>
      <c r="V167" s="51">
        <v>0.82982080057334207</v>
      </c>
      <c r="W167" s="50">
        <v>48213</v>
      </c>
      <c r="X167" s="51">
        <v>0.80387601004746079</v>
      </c>
      <c r="Y167" s="50">
        <v>48213</v>
      </c>
      <c r="Z167" s="51">
        <v>0.93880619645930741</v>
      </c>
      <c r="AA167" s="50">
        <v>48213</v>
      </c>
      <c r="AB167" s="51">
        <v>0.9669833328917824</v>
      </c>
      <c r="AC167" s="50">
        <v>48213</v>
      </c>
      <c r="AD167" s="51">
        <v>0.72218979001238548</v>
      </c>
      <c r="AE167" s="50">
        <v>48213</v>
      </c>
      <c r="AF167" s="51">
        <v>0.72668641857157645</v>
      </c>
    </row>
    <row r="168" spans="1:32" x14ac:dyDescent="0.25">
      <c r="A168" s="50">
        <v>48244</v>
      </c>
      <c r="B168" s="51">
        <v>0.69722708683184009</v>
      </c>
      <c r="C168" s="50">
        <v>48244</v>
      </c>
      <c r="D168" s="51">
        <v>0.69724086487786663</v>
      </c>
      <c r="E168" s="50">
        <v>48244</v>
      </c>
      <c r="F168" s="51">
        <v>0.87548819900822739</v>
      </c>
      <c r="G168" s="50">
        <v>48244</v>
      </c>
      <c r="H168" s="51">
        <v>0.88840844606907665</v>
      </c>
      <c r="I168" s="50">
        <v>48244</v>
      </c>
      <c r="J168" s="51">
        <v>0.42238441493069029</v>
      </c>
      <c r="K168" s="50">
        <v>48244</v>
      </c>
      <c r="L168" s="51">
        <v>0.4223898571335582</v>
      </c>
      <c r="M168" s="50">
        <v>48244</v>
      </c>
      <c r="N168" s="51">
        <v>0.28518719095656891</v>
      </c>
      <c r="O168" s="50">
        <v>48244</v>
      </c>
      <c r="P168" s="51">
        <v>0.32545082099993344</v>
      </c>
      <c r="Q168" s="50">
        <v>48244</v>
      </c>
      <c r="R168" s="51">
        <v>0.96073453393113195</v>
      </c>
      <c r="S168" s="50">
        <v>48244</v>
      </c>
      <c r="T168" s="51">
        <v>1.023303310085276</v>
      </c>
      <c r="U168" s="50">
        <v>48244</v>
      </c>
      <c r="V168" s="51">
        <v>0.82866057691553208</v>
      </c>
      <c r="W168" s="50">
        <v>48244</v>
      </c>
      <c r="X168" s="51">
        <v>0.80262406744702997</v>
      </c>
      <c r="Y168" s="50">
        <v>48244</v>
      </c>
      <c r="Z168" s="51">
        <v>0.93787760127216546</v>
      </c>
      <c r="AA168" s="50">
        <v>48244</v>
      </c>
      <c r="AB168" s="51">
        <v>0.96609202614771861</v>
      </c>
      <c r="AC168" s="50">
        <v>48244</v>
      </c>
      <c r="AD168" s="51">
        <v>0.72040858765264948</v>
      </c>
      <c r="AE168" s="50">
        <v>48244</v>
      </c>
      <c r="AF168" s="51">
        <v>0.72497328027005759</v>
      </c>
    </row>
    <row r="169" spans="1:32" x14ac:dyDescent="0.25">
      <c r="A169" s="50">
        <v>48273</v>
      </c>
      <c r="B169" s="51">
        <v>0.69552325498060774</v>
      </c>
      <c r="C169" s="50">
        <v>48273</v>
      </c>
      <c r="D169" s="51">
        <v>0.69553701148337799</v>
      </c>
      <c r="E169" s="50">
        <v>48273</v>
      </c>
      <c r="F169" s="51">
        <v>0.87415932684964703</v>
      </c>
      <c r="G169" s="50">
        <v>48273</v>
      </c>
      <c r="H169" s="51">
        <v>0.88706081829918815</v>
      </c>
      <c r="I169" s="50">
        <v>48273</v>
      </c>
      <c r="J169" s="51">
        <v>0.41975562237283554</v>
      </c>
      <c r="K169" s="50">
        <v>48273</v>
      </c>
      <c r="L169" s="51">
        <v>0.41976104190920926</v>
      </c>
      <c r="M169" s="50">
        <v>48273</v>
      </c>
      <c r="N169" s="51">
        <v>0.28290708951822552</v>
      </c>
      <c r="O169" s="50">
        <v>48273</v>
      </c>
      <c r="P169" s="51">
        <v>0.32308522565211506</v>
      </c>
      <c r="Q169" s="50">
        <v>48273</v>
      </c>
      <c r="R169" s="51">
        <v>0.96008103473277406</v>
      </c>
      <c r="S169" s="50">
        <v>48273</v>
      </c>
      <c r="T169" s="51">
        <v>1.0228617949734726</v>
      </c>
      <c r="U169" s="50">
        <v>48273</v>
      </c>
      <c r="V169" s="51">
        <v>0.82757475395205626</v>
      </c>
      <c r="W169" s="50">
        <v>48273</v>
      </c>
      <c r="X169" s="51">
        <v>0.80145250104085275</v>
      </c>
      <c r="Y169" s="50">
        <v>48273</v>
      </c>
      <c r="Z169" s="51">
        <v>0.9370083848399835</v>
      </c>
      <c r="AA169" s="50">
        <v>48273</v>
      </c>
      <c r="AB169" s="51">
        <v>0.96525706144187828</v>
      </c>
      <c r="AC169" s="50">
        <v>48273</v>
      </c>
      <c r="AD169" s="51">
        <v>0.71874148348253653</v>
      </c>
      <c r="AE169" s="50">
        <v>48273</v>
      </c>
      <c r="AF169" s="51">
        <v>0.72336991347553592</v>
      </c>
    </row>
    <row r="170" spans="1:32" x14ac:dyDescent="0.25">
      <c r="A170" s="50">
        <v>48304</v>
      </c>
      <c r="B170" s="51">
        <v>0.69370191748446286</v>
      </c>
      <c r="C170" s="50">
        <v>48304</v>
      </c>
      <c r="D170" s="51">
        <v>0.69371565095823495</v>
      </c>
      <c r="E170" s="50">
        <v>48304</v>
      </c>
      <c r="F170" s="51">
        <v>0.87273880833530249</v>
      </c>
      <c r="G170" s="50">
        <v>48304</v>
      </c>
      <c r="H170" s="51">
        <v>0.88562025068310046</v>
      </c>
      <c r="I170" s="50">
        <v>48304</v>
      </c>
      <c r="J170" s="51">
        <v>0.416945533776508</v>
      </c>
      <c r="K170" s="50">
        <v>48304</v>
      </c>
      <c r="L170" s="51">
        <v>0.41695092908318115</v>
      </c>
      <c r="M170" s="50">
        <v>48304</v>
      </c>
      <c r="N170" s="51">
        <v>0.28046973970482403</v>
      </c>
      <c r="O170" s="50">
        <v>48304</v>
      </c>
      <c r="P170" s="51">
        <v>0.32055648579755058</v>
      </c>
      <c r="Q170" s="50">
        <v>48304</v>
      </c>
      <c r="R170" s="51">
        <v>0.95938246662418458</v>
      </c>
      <c r="S170" s="50">
        <v>48304</v>
      </c>
      <c r="T170" s="51">
        <v>1.0223898305436137</v>
      </c>
      <c r="U170" s="50">
        <v>48304</v>
      </c>
      <c r="V170" s="51">
        <v>0.82641404664627172</v>
      </c>
      <c r="W170" s="50">
        <v>48304</v>
      </c>
      <c r="X170" s="51">
        <v>0.80020013695149095</v>
      </c>
      <c r="Y170" s="50">
        <v>48304</v>
      </c>
      <c r="Z170" s="51">
        <v>0.9360792224469614</v>
      </c>
      <c r="AA170" s="50">
        <v>48304</v>
      </c>
      <c r="AB170" s="51">
        <v>0.96436451296322134</v>
      </c>
      <c r="AC170" s="50">
        <v>48304</v>
      </c>
      <c r="AD170" s="51">
        <v>0.71695940661103641</v>
      </c>
      <c r="AE170" s="50">
        <v>48304</v>
      </c>
      <c r="AF170" s="51">
        <v>0.72165596966070233</v>
      </c>
    </row>
    <row r="171" spans="1:32" x14ac:dyDescent="0.25">
      <c r="A171" s="50">
        <v>48334</v>
      </c>
      <c r="B171" s="51">
        <v>0.69193933281077424</v>
      </c>
      <c r="C171" s="50">
        <v>48334</v>
      </c>
      <c r="D171" s="51">
        <v>0.69195304399841906</v>
      </c>
      <c r="E171" s="50">
        <v>48334</v>
      </c>
      <c r="F171" s="51">
        <v>0.87136411299883998</v>
      </c>
      <c r="G171" s="50">
        <v>48334</v>
      </c>
      <c r="H171" s="51">
        <v>0.88422615299011242</v>
      </c>
      <c r="I171" s="50">
        <v>48334</v>
      </c>
      <c r="J171" s="51">
        <v>0.41423348115528025</v>
      </c>
      <c r="K171" s="50">
        <v>48334</v>
      </c>
      <c r="L171" s="51">
        <v>0.41423885292846191</v>
      </c>
      <c r="M171" s="50">
        <v>48334</v>
      </c>
      <c r="N171" s="51">
        <v>0.27811101407895156</v>
      </c>
      <c r="O171" s="50">
        <v>48334</v>
      </c>
      <c r="P171" s="51">
        <v>0.31810931819635913</v>
      </c>
      <c r="Q171" s="50">
        <v>48334</v>
      </c>
      <c r="R171" s="51">
        <v>0.9587064329707109</v>
      </c>
      <c r="S171" s="50">
        <v>48334</v>
      </c>
      <c r="T171" s="51">
        <v>1.0219330907727824</v>
      </c>
      <c r="U171" s="50">
        <v>48334</v>
      </c>
      <c r="V171" s="51">
        <v>0.82529078151164148</v>
      </c>
      <c r="W171" s="50">
        <v>48334</v>
      </c>
      <c r="X171" s="51">
        <v>0.79898817170372138</v>
      </c>
      <c r="Y171" s="50">
        <v>48334</v>
      </c>
      <c r="Z171" s="51">
        <v>0.93518003303435926</v>
      </c>
      <c r="AA171" s="50">
        <v>48334</v>
      </c>
      <c r="AB171" s="51">
        <v>0.96350075637097277</v>
      </c>
      <c r="AC171" s="50">
        <v>48334</v>
      </c>
      <c r="AD171" s="51">
        <v>0.71523481609022987</v>
      </c>
      <c r="AE171" s="50">
        <v>48334</v>
      </c>
      <c r="AF171" s="51">
        <v>0.71999731435602476</v>
      </c>
    </row>
    <row r="172" spans="1:32" x14ac:dyDescent="0.25">
      <c r="A172" s="50">
        <v>48365</v>
      </c>
      <c r="B172" s="51">
        <v>0.69011799531462936</v>
      </c>
      <c r="C172" s="50">
        <v>48365</v>
      </c>
      <c r="D172" s="51">
        <v>0.69013168347327603</v>
      </c>
      <c r="E172" s="50">
        <v>48365</v>
      </c>
      <c r="F172" s="51">
        <v>0.86994359448449543</v>
      </c>
      <c r="G172" s="50">
        <v>48365</v>
      </c>
      <c r="H172" s="51">
        <v>0.88278558537402474</v>
      </c>
      <c r="I172" s="50">
        <v>48365</v>
      </c>
      <c r="J172" s="51">
        <v>0.41143129002901352</v>
      </c>
      <c r="K172" s="50">
        <v>48365</v>
      </c>
      <c r="L172" s="51">
        <v>0.41143663748121134</v>
      </c>
      <c r="M172" s="50">
        <v>48365</v>
      </c>
      <c r="N172" s="51">
        <v>0.27567366426555001</v>
      </c>
      <c r="O172" s="50">
        <v>48365</v>
      </c>
      <c r="P172" s="51">
        <v>0.31558057834179465</v>
      </c>
      <c r="Q172" s="50">
        <v>48365</v>
      </c>
      <c r="R172" s="51">
        <v>0.95800786486212142</v>
      </c>
      <c r="S172" s="50">
        <v>48365</v>
      </c>
      <c r="T172" s="51">
        <v>1.0214611263429236</v>
      </c>
      <c r="U172" s="50">
        <v>48365</v>
      </c>
      <c r="V172" s="51">
        <v>0.82413007420585693</v>
      </c>
      <c r="W172" s="50">
        <v>48365</v>
      </c>
      <c r="X172" s="51">
        <v>0.79773580761435958</v>
      </c>
      <c r="Y172" s="50">
        <v>48365</v>
      </c>
      <c r="Z172" s="51">
        <v>0.93425087064133716</v>
      </c>
      <c r="AA172" s="50">
        <v>48365</v>
      </c>
      <c r="AB172" s="51">
        <v>0.96260820789231583</v>
      </c>
      <c r="AC172" s="50">
        <v>48365</v>
      </c>
      <c r="AD172" s="51">
        <v>0.71345273921872976</v>
      </c>
      <c r="AE172" s="50">
        <v>48365</v>
      </c>
      <c r="AF172" s="51">
        <v>0.71828337054119118</v>
      </c>
    </row>
    <row r="173" spans="1:32" x14ac:dyDescent="0.25">
      <c r="A173" s="50">
        <v>48395</v>
      </c>
      <c r="B173" s="51">
        <v>0.68835541064094075</v>
      </c>
      <c r="C173" s="50">
        <v>48395</v>
      </c>
      <c r="D173" s="51">
        <v>0.68836907651346013</v>
      </c>
      <c r="E173" s="50">
        <v>48395</v>
      </c>
      <c r="F173" s="51">
        <v>0.86856889914803292</v>
      </c>
      <c r="G173" s="50">
        <v>48395</v>
      </c>
      <c r="H173" s="51">
        <v>0.8813914876810367</v>
      </c>
      <c r="I173" s="50">
        <v>48395</v>
      </c>
      <c r="J173" s="51">
        <v>0.40871949216488446</v>
      </c>
      <c r="K173" s="50">
        <v>48395</v>
      </c>
      <c r="L173" s="51">
        <v>0.4087248160806462</v>
      </c>
      <c r="M173" s="50">
        <v>48395</v>
      </c>
      <c r="N173" s="51">
        <v>0.2733149386396776</v>
      </c>
      <c r="O173" s="50">
        <v>48395</v>
      </c>
      <c r="P173" s="51">
        <v>0.31313341074060319</v>
      </c>
      <c r="Q173" s="50">
        <v>48395</v>
      </c>
      <c r="R173" s="51">
        <v>0.95733183120864773</v>
      </c>
      <c r="S173" s="50">
        <v>48395</v>
      </c>
      <c r="T173" s="51">
        <v>1.0210043865720924</v>
      </c>
      <c r="U173" s="50">
        <v>48395</v>
      </c>
      <c r="V173" s="51">
        <v>0.8230068090712267</v>
      </c>
      <c r="W173" s="50">
        <v>48395</v>
      </c>
      <c r="X173" s="51">
        <v>0.79652384236659013</v>
      </c>
      <c r="Y173" s="50">
        <v>48395</v>
      </c>
      <c r="Z173" s="51">
        <v>0.93335168122873513</v>
      </c>
      <c r="AA173" s="50">
        <v>48395</v>
      </c>
      <c r="AB173" s="51">
        <v>0.96174445130006725</v>
      </c>
      <c r="AC173" s="50">
        <v>48395</v>
      </c>
      <c r="AD173" s="51">
        <v>0.71172814869792322</v>
      </c>
      <c r="AE173" s="50">
        <v>48395</v>
      </c>
      <c r="AF173" s="51">
        <v>0.7166247152365135</v>
      </c>
    </row>
    <row r="174" spans="1:32" x14ac:dyDescent="0.25">
      <c r="A174" s="50">
        <v>48426</v>
      </c>
      <c r="B174" s="51">
        <v>0.68656301473275905</v>
      </c>
      <c r="C174" s="50">
        <v>48426</v>
      </c>
      <c r="D174" s="51">
        <v>0.68657665797684708</v>
      </c>
      <c r="E174" s="50">
        <v>48426</v>
      </c>
      <c r="F174" s="51">
        <v>0.86714838063368838</v>
      </c>
      <c r="G174" s="50">
        <v>48426</v>
      </c>
      <c r="H174" s="51">
        <v>0.87995092006494902</v>
      </c>
      <c r="I174" s="50">
        <v>48426</v>
      </c>
      <c r="J174" s="51">
        <v>0.40597220700900921</v>
      </c>
      <c r="K174" s="50">
        <v>48426</v>
      </c>
      <c r="L174" s="51">
        <v>0.40597750713055614</v>
      </c>
      <c r="M174" s="50">
        <v>48426</v>
      </c>
      <c r="N174" s="51">
        <v>0.27087758882627605</v>
      </c>
      <c r="O174" s="50">
        <v>48426</v>
      </c>
      <c r="P174" s="51">
        <v>0.31060467088603871</v>
      </c>
      <c r="Q174" s="50">
        <v>48426</v>
      </c>
      <c r="R174" s="51">
        <v>0.95660994074147043</v>
      </c>
      <c r="S174" s="50">
        <v>48426</v>
      </c>
      <c r="T174" s="51">
        <v>1.0204836782234408</v>
      </c>
      <c r="U174" s="50">
        <v>48426</v>
      </c>
      <c r="V174" s="51">
        <v>0.82187079833308707</v>
      </c>
      <c r="W174" s="50">
        <v>48426</v>
      </c>
      <c r="X174" s="51">
        <v>0.79530431887873787</v>
      </c>
      <c r="Y174" s="50">
        <v>48426</v>
      </c>
      <c r="Z174" s="51">
        <v>0.93242251883571303</v>
      </c>
      <c r="AA174" s="50">
        <v>48426</v>
      </c>
      <c r="AB174" s="51">
        <v>0.96085190282141031</v>
      </c>
      <c r="AC174" s="50">
        <v>48426</v>
      </c>
      <c r="AD174" s="51">
        <v>0.70999172805075006</v>
      </c>
      <c r="AE174" s="50">
        <v>48426</v>
      </c>
      <c r="AF174" s="51">
        <v>0.71495741788669886</v>
      </c>
    </row>
    <row r="175" spans="1:32" x14ac:dyDescent="0.25">
      <c r="A175" s="50">
        <v>48457</v>
      </c>
      <c r="B175" s="51">
        <v>0.68477158354417611</v>
      </c>
      <c r="C175" s="50">
        <v>48457</v>
      </c>
      <c r="D175" s="51">
        <v>0.68478520417318511</v>
      </c>
      <c r="E175" s="50">
        <v>48457</v>
      </c>
      <c r="F175" s="51">
        <v>0.86572786211934383</v>
      </c>
      <c r="G175" s="50">
        <v>48457</v>
      </c>
      <c r="H175" s="51">
        <v>0.87851035244886133</v>
      </c>
      <c r="I175" s="50">
        <v>48457</v>
      </c>
      <c r="J175" s="51">
        <v>0.40322675205214703</v>
      </c>
      <c r="K175" s="50">
        <v>48457</v>
      </c>
      <c r="L175" s="51">
        <v>0.40323202839703803</v>
      </c>
      <c r="M175" s="50">
        <v>48457</v>
      </c>
      <c r="N175" s="51">
        <v>0.2684402390128745</v>
      </c>
      <c r="O175" s="50">
        <v>48457</v>
      </c>
      <c r="P175" s="51">
        <v>0.30807593103147424</v>
      </c>
      <c r="Q175" s="50">
        <v>48457</v>
      </c>
      <c r="R175" s="51">
        <v>0.95588727286234021</v>
      </c>
      <c r="S175" s="50">
        <v>48457</v>
      </c>
      <c r="T175" s="51">
        <v>1.0199613450774963</v>
      </c>
      <c r="U175" s="50">
        <v>48457</v>
      </c>
      <c r="V175" s="51">
        <v>0.82073561081386892</v>
      </c>
      <c r="W175" s="50">
        <v>48457</v>
      </c>
      <c r="X175" s="51">
        <v>0.79408589007760266</v>
      </c>
      <c r="Y175" s="50">
        <v>48457</v>
      </c>
      <c r="Z175" s="51">
        <v>0.93149335644269093</v>
      </c>
      <c r="AA175" s="50">
        <v>48457</v>
      </c>
      <c r="AB175" s="51">
        <v>0.95995935434275337</v>
      </c>
      <c r="AC175" s="50">
        <v>48457</v>
      </c>
      <c r="AD175" s="51">
        <v>0.70825682927772105</v>
      </c>
      <c r="AE175" s="50">
        <v>48457</v>
      </c>
      <c r="AF175" s="51">
        <v>0.71329167541905159</v>
      </c>
    </row>
    <row r="176" spans="1:32" x14ac:dyDescent="0.25">
      <c r="A176" s="50">
        <v>48487</v>
      </c>
      <c r="B176" s="51">
        <v>0.68303794045845068</v>
      </c>
      <c r="C176" s="50">
        <v>48487</v>
      </c>
      <c r="D176" s="51">
        <v>0.6830515392018992</v>
      </c>
      <c r="E176" s="50">
        <v>48487</v>
      </c>
      <c r="F176" s="51">
        <v>0.86435316678288132</v>
      </c>
      <c r="G176" s="50">
        <v>48487</v>
      </c>
      <c r="H176" s="51">
        <v>0.87711625475587329</v>
      </c>
      <c r="I176" s="50">
        <v>48487</v>
      </c>
      <c r="J176" s="51">
        <v>0.4005698601584094</v>
      </c>
      <c r="K176" s="50">
        <v>48487</v>
      </c>
      <c r="L176" s="51">
        <v>0.40057511349363339</v>
      </c>
      <c r="M176" s="50">
        <v>48487</v>
      </c>
      <c r="N176" s="51">
        <v>0.26608151338700203</v>
      </c>
      <c r="O176" s="50">
        <v>48487</v>
      </c>
      <c r="P176" s="51">
        <v>0.30562876343028278</v>
      </c>
      <c r="Q176" s="50">
        <v>48487</v>
      </c>
      <c r="R176" s="51">
        <v>0.9551879168502786</v>
      </c>
      <c r="S176" s="50">
        <v>48487</v>
      </c>
      <c r="T176" s="51">
        <v>1.0194558613878724</v>
      </c>
      <c r="U176" s="50">
        <v>48487</v>
      </c>
      <c r="V176" s="51">
        <v>0.81963704224688361</v>
      </c>
      <c r="W176" s="50">
        <v>48487</v>
      </c>
      <c r="X176" s="51">
        <v>0.79290676543134275</v>
      </c>
      <c r="Y176" s="50">
        <v>48487</v>
      </c>
      <c r="Z176" s="51">
        <v>0.93059416703008879</v>
      </c>
      <c r="AA176" s="50">
        <v>48487</v>
      </c>
      <c r="AB176" s="51">
        <v>0.95909559775050468</v>
      </c>
      <c r="AC176" s="50">
        <v>48487</v>
      </c>
      <c r="AD176" s="51">
        <v>0.70657789498124146</v>
      </c>
      <c r="AE176" s="50">
        <v>48487</v>
      </c>
      <c r="AF176" s="51">
        <v>0.71167966657939286</v>
      </c>
    </row>
    <row r="177" spans="1:32" x14ac:dyDescent="0.25">
      <c r="A177" s="50">
        <v>48518</v>
      </c>
      <c r="B177" s="51">
        <v>0.68124650926986763</v>
      </c>
      <c r="C177" s="50">
        <v>48518</v>
      </c>
      <c r="D177" s="51">
        <v>0.68126008539823713</v>
      </c>
      <c r="E177" s="50">
        <v>48518</v>
      </c>
      <c r="F177" s="51">
        <v>0.86293264826853677</v>
      </c>
      <c r="G177" s="50">
        <v>48518</v>
      </c>
      <c r="H177" s="51">
        <v>0.87567568713978561</v>
      </c>
      <c r="I177" s="50">
        <v>48518</v>
      </c>
      <c r="J177" s="51">
        <v>0.39790005052207961</v>
      </c>
      <c r="K177" s="50">
        <v>48518</v>
      </c>
      <c r="L177" s="51">
        <v>0.3979052808870891</v>
      </c>
      <c r="M177" s="50">
        <v>48518</v>
      </c>
      <c r="N177" s="51">
        <v>0.26364416357360054</v>
      </c>
      <c r="O177" s="50">
        <v>48518</v>
      </c>
      <c r="P177" s="51">
        <v>0.30310002357571825</v>
      </c>
      <c r="Q177" s="50">
        <v>48518</v>
      </c>
      <c r="R177" s="51">
        <v>0.95446524897114837</v>
      </c>
      <c r="S177" s="50">
        <v>48518</v>
      </c>
      <c r="T177" s="51">
        <v>1.0189335282419276</v>
      </c>
      <c r="U177" s="50">
        <v>48518</v>
      </c>
      <c r="V177" s="51">
        <v>0.81850185472766535</v>
      </c>
      <c r="W177" s="50">
        <v>48518</v>
      </c>
      <c r="X177" s="51">
        <v>0.79168833663020755</v>
      </c>
      <c r="Y177" s="50">
        <v>48518</v>
      </c>
      <c r="Z177" s="51">
        <v>0.92966500463706669</v>
      </c>
      <c r="AA177" s="50">
        <v>48518</v>
      </c>
      <c r="AB177" s="51">
        <v>0.95820304927184785</v>
      </c>
      <c r="AC177" s="50">
        <v>48518</v>
      </c>
      <c r="AD177" s="51">
        <v>0.70484299620821256</v>
      </c>
      <c r="AE177" s="50">
        <v>48518</v>
      </c>
      <c r="AF177" s="51">
        <v>0.71001392411174546</v>
      </c>
    </row>
    <row r="178" spans="1:32" x14ac:dyDescent="0.25">
      <c r="A178" s="50">
        <v>48548</v>
      </c>
      <c r="B178" s="51">
        <v>0.67951286618414219</v>
      </c>
      <c r="C178" s="50">
        <v>48548</v>
      </c>
      <c r="D178" s="51">
        <v>0.67952642042695133</v>
      </c>
      <c r="E178" s="50">
        <v>48548</v>
      </c>
      <c r="F178" s="51">
        <v>0.86155795293207427</v>
      </c>
      <c r="G178" s="50">
        <v>48548</v>
      </c>
      <c r="H178" s="51">
        <v>0.87428158944679746</v>
      </c>
      <c r="I178" s="50">
        <v>48548</v>
      </c>
      <c r="J178" s="51">
        <v>0.39531880394887436</v>
      </c>
      <c r="K178" s="50">
        <v>48548</v>
      </c>
      <c r="L178" s="51">
        <v>0.39532401211065821</v>
      </c>
      <c r="M178" s="50">
        <v>48548</v>
      </c>
      <c r="N178" s="51">
        <v>0.26128543794772807</v>
      </c>
      <c r="O178" s="50">
        <v>48548</v>
      </c>
      <c r="P178" s="51">
        <v>0.30065285597452684</v>
      </c>
      <c r="Q178" s="50">
        <v>48548</v>
      </c>
      <c r="R178" s="51">
        <v>0.95376589295908687</v>
      </c>
      <c r="S178" s="50">
        <v>48548</v>
      </c>
      <c r="T178" s="51">
        <v>1.0184280445523037</v>
      </c>
      <c r="U178" s="50">
        <v>48548</v>
      </c>
      <c r="V178" s="51">
        <v>0.81740328616068003</v>
      </c>
      <c r="W178" s="50">
        <v>48548</v>
      </c>
      <c r="X178" s="51">
        <v>0.79050921198394764</v>
      </c>
      <c r="Y178" s="50">
        <v>48548</v>
      </c>
      <c r="Z178" s="51">
        <v>0.92876581522446466</v>
      </c>
      <c r="AA178" s="50">
        <v>48548</v>
      </c>
      <c r="AB178" s="51">
        <v>0.95733929267959916</v>
      </c>
      <c r="AC178" s="50">
        <v>48548</v>
      </c>
      <c r="AD178" s="51">
        <v>0.70316406191173286</v>
      </c>
      <c r="AE178" s="50">
        <v>48548</v>
      </c>
      <c r="AF178" s="51">
        <v>0.70840191527208674</v>
      </c>
    </row>
    <row r="179" spans="1:32" x14ac:dyDescent="0.25">
      <c r="A179" s="50">
        <v>48579</v>
      </c>
      <c r="B179" s="51">
        <v>0.67772143499555926</v>
      </c>
      <c r="C179" s="50">
        <v>48579</v>
      </c>
      <c r="D179" s="51">
        <v>0.67773496662328925</v>
      </c>
      <c r="E179" s="50">
        <v>48579</v>
      </c>
      <c r="F179" s="51">
        <v>0.86013743441772972</v>
      </c>
      <c r="G179" s="50">
        <v>48579</v>
      </c>
      <c r="H179" s="51">
        <v>0.87284102183070988</v>
      </c>
      <c r="I179" s="50">
        <v>48579</v>
      </c>
      <c r="J179" s="51">
        <v>0.39265151582322899</v>
      </c>
      <c r="K179" s="50">
        <v>48579</v>
      </c>
      <c r="L179" s="51">
        <v>0.39265670104167971</v>
      </c>
      <c r="M179" s="50">
        <v>48579</v>
      </c>
      <c r="N179" s="51">
        <v>0.25884808813432653</v>
      </c>
      <c r="O179" s="50">
        <v>48579</v>
      </c>
      <c r="P179" s="51">
        <v>0.29812411611996231</v>
      </c>
      <c r="Q179" s="50">
        <v>48579</v>
      </c>
      <c r="R179" s="51">
        <v>0.95304322507995665</v>
      </c>
      <c r="S179" s="50">
        <v>48579</v>
      </c>
      <c r="T179" s="51">
        <v>1.0179057114063592</v>
      </c>
      <c r="U179" s="50">
        <v>48579</v>
      </c>
      <c r="V179" s="51">
        <v>0.81626809864146188</v>
      </c>
      <c r="W179" s="50">
        <v>48579</v>
      </c>
      <c r="X179" s="51">
        <v>0.78929078318281232</v>
      </c>
      <c r="Y179" s="50">
        <v>48579</v>
      </c>
      <c r="Z179" s="51">
        <v>0.92783665283144257</v>
      </c>
      <c r="AA179" s="50">
        <v>48579</v>
      </c>
      <c r="AB179" s="51">
        <v>0.95644674420094222</v>
      </c>
      <c r="AC179" s="50">
        <v>48579</v>
      </c>
      <c r="AD179" s="51">
        <v>0.70142916313870396</v>
      </c>
      <c r="AE179" s="50">
        <v>48579</v>
      </c>
      <c r="AF179" s="51">
        <v>0.70673617280443946</v>
      </c>
    </row>
    <row r="180" spans="1:32" x14ac:dyDescent="0.25">
      <c r="A180" s="50">
        <v>48610</v>
      </c>
      <c r="B180" s="51">
        <v>0.67608381651057936</v>
      </c>
      <c r="C180" s="50">
        <v>48610</v>
      </c>
      <c r="D180" s="51">
        <v>0.67609731837068598</v>
      </c>
      <c r="E180" s="50">
        <v>48610</v>
      </c>
      <c r="F180" s="51">
        <v>0.85877279562574971</v>
      </c>
      <c r="G180" s="50">
        <v>48610</v>
      </c>
      <c r="H180" s="51">
        <v>0.87144450011513552</v>
      </c>
      <c r="I180" s="50">
        <v>48610</v>
      </c>
      <c r="J180" s="51">
        <v>0.38994521890247086</v>
      </c>
      <c r="K180" s="50">
        <v>48610</v>
      </c>
      <c r="L180" s="51">
        <v>0.38995038050545106</v>
      </c>
      <c r="M180" s="50">
        <v>48610</v>
      </c>
      <c r="N180" s="51">
        <v>0.25641073832092498</v>
      </c>
      <c r="O180" s="50">
        <v>48610</v>
      </c>
      <c r="P180" s="51">
        <v>0.29559537626539784</v>
      </c>
      <c r="Q180" s="50">
        <v>48610</v>
      </c>
      <c r="R180" s="51">
        <v>0.95229529802615764</v>
      </c>
      <c r="S180" s="50">
        <v>48610</v>
      </c>
      <c r="T180" s="51">
        <v>1.0173551740992872</v>
      </c>
      <c r="U180" s="50">
        <v>48610</v>
      </c>
      <c r="V180" s="51">
        <v>0.81511180786955151</v>
      </c>
      <c r="W180" s="50">
        <v>48610</v>
      </c>
      <c r="X180" s="51">
        <v>0.788051911932934</v>
      </c>
      <c r="Y180" s="50">
        <v>48610</v>
      </c>
      <c r="Z180" s="51">
        <v>0.92689830872241519</v>
      </c>
      <c r="AA180" s="50">
        <v>48610</v>
      </c>
      <c r="AB180" s="51">
        <v>0.95552560206990811</v>
      </c>
      <c r="AC180" s="50">
        <v>48610</v>
      </c>
      <c r="AD180" s="51">
        <v>0.6996532650774997</v>
      </c>
      <c r="AE180" s="50">
        <v>48610</v>
      </c>
      <c r="AF180" s="51">
        <v>0.70503154315365024</v>
      </c>
    </row>
    <row r="181" spans="1:32" x14ac:dyDescent="0.25">
      <c r="A181" s="50">
        <v>48638</v>
      </c>
      <c r="B181" s="51">
        <v>0.67460930815393183</v>
      </c>
      <c r="C181" s="50">
        <v>48638</v>
      </c>
      <c r="D181" s="51">
        <v>0.67462278291180722</v>
      </c>
      <c r="E181" s="50">
        <v>48638</v>
      </c>
      <c r="F181" s="51">
        <v>0.85754190105259154</v>
      </c>
      <c r="G181" s="50">
        <v>48638</v>
      </c>
      <c r="H181" s="51">
        <v>0.87018445177549253</v>
      </c>
      <c r="I181" s="50">
        <v>48638</v>
      </c>
      <c r="J181" s="51">
        <v>0.38749964722537417</v>
      </c>
      <c r="K181" s="50">
        <v>48638</v>
      </c>
      <c r="L181" s="51">
        <v>0.38750478747801553</v>
      </c>
      <c r="M181" s="50">
        <v>48638</v>
      </c>
      <c r="N181" s="51">
        <v>0.25420926107011071</v>
      </c>
      <c r="O181" s="50">
        <v>48638</v>
      </c>
      <c r="P181" s="51">
        <v>0.29331135317095247</v>
      </c>
      <c r="Q181" s="50">
        <v>48638</v>
      </c>
      <c r="R181" s="51">
        <v>0.95161899051854271</v>
      </c>
      <c r="S181" s="50">
        <v>48638</v>
      </c>
      <c r="T181" s="51">
        <v>1.016857065438586</v>
      </c>
      <c r="U181" s="50">
        <v>48638</v>
      </c>
      <c r="V181" s="51">
        <v>0.81406678083785255</v>
      </c>
      <c r="W181" s="50">
        <v>48638</v>
      </c>
      <c r="X181" s="51">
        <v>0.78693231597759772</v>
      </c>
      <c r="Y181" s="50">
        <v>48638</v>
      </c>
      <c r="Z181" s="51">
        <v>0.9260504956690484</v>
      </c>
      <c r="AA181" s="50">
        <v>48638</v>
      </c>
      <c r="AB181" s="51">
        <v>0.9546927418415907</v>
      </c>
      <c r="AC181" s="50">
        <v>48638</v>
      </c>
      <c r="AD181" s="51">
        <v>0.6980479937318218</v>
      </c>
      <c r="AE181" s="50">
        <v>48638</v>
      </c>
      <c r="AF181" s="51">
        <v>0.70349070686570303</v>
      </c>
    </row>
    <row r="182" spans="1:32" x14ac:dyDescent="0.25">
      <c r="A182" s="50">
        <v>48669</v>
      </c>
      <c r="B182" s="51">
        <v>0.67297681675907206</v>
      </c>
      <c r="C182" s="50">
        <v>48669</v>
      </c>
      <c r="D182" s="51">
        <v>0.67299026151090591</v>
      </c>
      <c r="E182" s="50">
        <v>48669</v>
      </c>
      <c r="F182" s="51">
        <v>0.85617912491802362</v>
      </c>
      <c r="G182" s="50">
        <v>48669</v>
      </c>
      <c r="H182" s="51">
        <v>0.86878939825660206</v>
      </c>
      <c r="I182" s="50">
        <v>48669</v>
      </c>
      <c r="J182" s="51">
        <v>0.38479205001144562</v>
      </c>
      <c r="K182" s="50">
        <v>48669</v>
      </c>
      <c r="L182" s="51">
        <v>0.38479716662621194</v>
      </c>
      <c r="M182" s="50">
        <v>48669</v>
      </c>
      <c r="N182" s="51">
        <v>0.25177191125670917</v>
      </c>
      <c r="O182" s="50">
        <v>48669</v>
      </c>
      <c r="P182" s="51">
        <v>0.29078261331638799</v>
      </c>
      <c r="Q182" s="50">
        <v>48669</v>
      </c>
      <c r="R182" s="51">
        <v>0.95087022149225486</v>
      </c>
      <c r="S182" s="50">
        <v>48669</v>
      </c>
      <c r="T182" s="51">
        <v>1.0163055879928098</v>
      </c>
      <c r="U182" s="50">
        <v>48669</v>
      </c>
      <c r="V182" s="51">
        <v>0.81290978662418578</v>
      </c>
      <c r="W182" s="50">
        <v>48669</v>
      </c>
      <c r="X182" s="51">
        <v>0.78569276331276128</v>
      </c>
      <c r="Y182" s="50">
        <v>48669</v>
      </c>
      <c r="Z182" s="51">
        <v>0.92511184550282088</v>
      </c>
      <c r="AA182" s="50">
        <v>48669</v>
      </c>
      <c r="AB182" s="51">
        <v>0.95377064658881061</v>
      </c>
      <c r="AC182" s="50">
        <v>48669</v>
      </c>
      <c r="AD182" s="51">
        <v>0.69627072902767839</v>
      </c>
      <c r="AE182" s="50">
        <v>48669</v>
      </c>
      <c r="AF182" s="51">
        <v>0.7017847809754757</v>
      </c>
    </row>
    <row r="183" spans="1:32" x14ac:dyDescent="0.25">
      <c r="A183" s="50">
        <v>48699</v>
      </c>
      <c r="B183" s="51">
        <v>0.67139698637694967</v>
      </c>
      <c r="C183" s="50">
        <v>48699</v>
      </c>
      <c r="D183" s="51">
        <v>0.6714104020906787</v>
      </c>
      <c r="E183" s="50">
        <v>48699</v>
      </c>
      <c r="F183" s="51">
        <v>0.85486030930392554</v>
      </c>
      <c r="G183" s="50">
        <v>48699</v>
      </c>
      <c r="H183" s="51">
        <v>0.86743934646412735</v>
      </c>
      <c r="I183" s="50">
        <v>48699</v>
      </c>
      <c r="J183" s="51">
        <v>0.38220215306095501</v>
      </c>
      <c r="K183" s="50">
        <v>48699</v>
      </c>
      <c r="L183" s="51">
        <v>0.38220724701759934</v>
      </c>
      <c r="M183" s="50">
        <v>48699</v>
      </c>
      <c r="N183" s="51">
        <v>0.24941318563083673</v>
      </c>
      <c r="O183" s="50">
        <v>48699</v>
      </c>
      <c r="P183" s="51">
        <v>0.28833544571519654</v>
      </c>
      <c r="Q183" s="50">
        <v>48699</v>
      </c>
      <c r="R183" s="51">
        <v>0.95014560630552458</v>
      </c>
      <c r="S183" s="50">
        <v>48699</v>
      </c>
      <c r="T183" s="51">
        <v>1.0157719001420584</v>
      </c>
      <c r="U183" s="50">
        <v>48699</v>
      </c>
      <c r="V183" s="51">
        <v>0.81179011480450824</v>
      </c>
      <c r="W183" s="50">
        <v>48699</v>
      </c>
      <c r="X183" s="51">
        <v>0.78449319621775815</v>
      </c>
      <c r="Y183" s="50">
        <v>48699</v>
      </c>
      <c r="Z183" s="51">
        <v>0.92420347437421357</v>
      </c>
      <c r="AA183" s="50">
        <v>48699</v>
      </c>
      <c r="AB183" s="51">
        <v>0.95287829634418475</v>
      </c>
      <c r="AC183" s="50">
        <v>48699</v>
      </c>
      <c r="AD183" s="51">
        <v>0.69455079544302345</v>
      </c>
      <c r="AE183" s="50">
        <v>48699</v>
      </c>
      <c r="AF183" s="51">
        <v>0.70013388495267515</v>
      </c>
    </row>
    <row r="184" spans="1:32" x14ac:dyDescent="0.25">
      <c r="A184" s="50">
        <v>48730</v>
      </c>
      <c r="B184" s="51">
        <v>0.6697644949820899</v>
      </c>
      <c r="C184" s="50">
        <v>48730</v>
      </c>
      <c r="D184" s="51">
        <v>0.66977788068977739</v>
      </c>
      <c r="E184" s="50">
        <v>48730</v>
      </c>
      <c r="F184" s="51">
        <v>0.85349753316935761</v>
      </c>
      <c r="G184" s="50">
        <v>48730</v>
      </c>
      <c r="H184" s="51">
        <v>0.86604429294523688</v>
      </c>
      <c r="I184" s="50">
        <v>48730</v>
      </c>
      <c r="J184" s="51">
        <v>0.37952700794884192</v>
      </c>
      <c r="K184" s="50">
        <v>48730</v>
      </c>
      <c r="L184" s="51">
        <v>0.37953207849983434</v>
      </c>
      <c r="M184" s="50">
        <v>48730</v>
      </c>
      <c r="N184" s="51">
        <v>0.24697583581743521</v>
      </c>
      <c r="O184" s="50">
        <v>48730</v>
      </c>
      <c r="P184" s="51">
        <v>0.28580670586063206</v>
      </c>
      <c r="Q184" s="50">
        <v>48730</v>
      </c>
      <c r="R184" s="51">
        <v>0.94939683727923663</v>
      </c>
      <c r="S184" s="50">
        <v>48730</v>
      </c>
      <c r="T184" s="51">
        <v>1.0152204226962822</v>
      </c>
      <c r="U184" s="50">
        <v>48730</v>
      </c>
      <c r="V184" s="51">
        <v>0.81063312059084147</v>
      </c>
      <c r="W184" s="50">
        <v>48730</v>
      </c>
      <c r="X184" s="51">
        <v>0.78325364355292171</v>
      </c>
      <c r="Y184" s="50">
        <v>48730</v>
      </c>
      <c r="Z184" s="51">
        <v>0.92326482420798606</v>
      </c>
      <c r="AA184" s="50">
        <v>48730</v>
      </c>
      <c r="AB184" s="51">
        <v>0.95195620109140477</v>
      </c>
      <c r="AC184" s="50">
        <v>48730</v>
      </c>
      <c r="AD184" s="51">
        <v>0.69277353073888004</v>
      </c>
      <c r="AE184" s="50">
        <v>48730</v>
      </c>
      <c r="AF184" s="51">
        <v>0.69842795906244781</v>
      </c>
    </row>
    <row r="185" spans="1:32" x14ac:dyDescent="0.25">
      <c r="A185" s="50">
        <v>48760</v>
      </c>
      <c r="B185" s="51">
        <v>0.6681846645999675</v>
      </c>
      <c r="C185" s="50">
        <v>48760</v>
      </c>
      <c r="D185" s="51">
        <v>0.66819802126955019</v>
      </c>
      <c r="E185" s="50">
        <v>48760</v>
      </c>
      <c r="F185" s="51">
        <v>0.85217871755525965</v>
      </c>
      <c r="G185" s="50">
        <v>48760</v>
      </c>
      <c r="H185" s="51">
        <v>0.86469424115276228</v>
      </c>
      <c r="I185" s="50">
        <v>48760</v>
      </c>
      <c r="J185" s="51">
        <v>0.3769381578403454</v>
      </c>
      <c r="K185" s="50">
        <v>48760</v>
      </c>
      <c r="L185" s="51">
        <v>0.37694320574070683</v>
      </c>
      <c r="M185" s="50">
        <v>48760</v>
      </c>
      <c r="N185" s="51">
        <v>0.24461711019156274</v>
      </c>
      <c r="O185" s="50">
        <v>48760</v>
      </c>
      <c r="P185" s="51">
        <v>0.2833595382594406</v>
      </c>
      <c r="Q185" s="50">
        <v>48760</v>
      </c>
      <c r="R185" s="51">
        <v>0.94867222209250635</v>
      </c>
      <c r="S185" s="50">
        <v>48760</v>
      </c>
      <c r="T185" s="51">
        <v>1.0146867348455311</v>
      </c>
      <c r="U185" s="50">
        <v>48760</v>
      </c>
      <c r="V185" s="51">
        <v>0.80951344877116393</v>
      </c>
      <c r="W185" s="50">
        <v>48760</v>
      </c>
      <c r="X185" s="51">
        <v>0.78205407645791858</v>
      </c>
      <c r="Y185" s="50">
        <v>48760</v>
      </c>
      <c r="Z185" s="51">
        <v>0.92235645307937875</v>
      </c>
      <c r="AA185" s="50">
        <v>48760</v>
      </c>
      <c r="AB185" s="51">
        <v>0.95106385084677891</v>
      </c>
      <c r="AC185" s="50">
        <v>48760</v>
      </c>
      <c r="AD185" s="51">
        <v>0.6910535971542251</v>
      </c>
      <c r="AE185" s="50">
        <v>48760</v>
      </c>
      <c r="AF185" s="51">
        <v>0.69677706303964726</v>
      </c>
    </row>
    <row r="186" spans="1:32" x14ac:dyDescent="0.25">
      <c r="A186" s="50">
        <v>48791</v>
      </c>
      <c r="B186" s="51">
        <v>0.66659625795492394</v>
      </c>
      <c r="C186" s="50">
        <v>48791</v>
      </c>
      <c r="D186" s="51">
        <v>0.66660958546483551</v>
      </c>
      <c r="E186" s="50">
        <v>48791</v>
      </c>
      <c r="F186" s="51">
        <v>0.85081594142069172</v>
      </c>
      <c r="G186" s="50">
        <v>48791</v>
      </c>
      <c r="H186" s="51">
        <v>0.8632991876338717</v>
      </c>
      <c r="I186" s="50">
        <v>48791</v>
      </c>
      <c r="J186" s="51">
        <v>0.37431570846469653</v>
      </c>
      <c r="K186" s="50">
        <v>48791</v>
      </c>
      <c r="L186" s="51">
        <v>0.3743207334708859</v>
      </c>
      <c r="M186" s="50">
        <v>48791</v>
      </c>
      <c r="N186" s="51">
        <v>0.24217976037816119</v>
      </c>
      <c r="O186" s="50">
        <v>48791</v>
      </c>
      <c r="P186" s="51">
        <v>0.28083079840487613</v>
      </c>
      <c r="Q186" s="50">
        <v>48791</v>
      </c>
      <c r="R186" s="51">
        <v>0.94790385933308396</v>
      </c>
      <c r="S186" s="50">
        <v>48791</v>
      </c>
      <c r="T186" s="51">
        <v>1.0140885833963822</v>
      </c>
      <c r="U186" s="50">
        <v>48791</v>
      </c>
      <c r="V186" s="51">
        <v>0.80838727165891855</v>
      </c>
      <c r="W186" s="50">
        <v>48791</v>
      </c>
      <c r="X186" s="51">
        <v>0.78085380782896041</v>
      </c>
      <c r="Y186" s="50">
        <v>48791</v>
      </c>
      <c r="Z186" s="51">
        <v>0.92141780291315123</v>
      </c>
      <c r="AA186" s="50">
        <v>48791</v>
      </c>
      <c r="AB186" s="51">
        <v>0.95014175559399883</v>
      </c>
      <c r="AC186" s="50">
        <v>48791</v>
      </c>
      <c r="AD186" s="51">
        <v>0.68932978486117658</v>
      </c>
      <c r="AE186" s="50">
        <v>48791</v>
      </c>
      <c r="AF186" s="51">
        <v>0.69512527912702415</v>
      </c>
    </row>
    <row r="187" spans="1:32" x14ac:dyDescent="0.25">
      <c r="A187" s="50">
        <v>48822</v>
      </c>
      <c r="B187" s="51">
        <v>0.66500932080154096</v>
      </c>
      <c r="C187" s="50">
        <v>48822</v>
      </c>
      <c r="D187" s="51">
        <v>0.66502261917999361</v>
      </c>
      <c r="E187" s="50">
        <v>48822</v>
      </c>
      <c r="F187" s="51">
        <v>0.8494531652861238</v>
      </c>
      <c r="G187" s="50">
        <v>48822</v>
      </c>
      <c r="H187" s="51">
        <v>0.86190413411498124</v>
      </c>
      <c r="I187" s="50">
        <v>48822</v>
      </c>
      <c r="J187" s="51">
        <v>0.37169501561359652</v>
      </c>
      <c r="K187" s="50">
        <v>48822</v>
      </c>
      <c r="L187" s="51">
        <v>0.37170001774266309</v>
      </c>
      <c r="M187" s="50">
        <v>48822</v>
      </c>
      <c r="N187" s="51">
        <v>0.23974241056475967</v>
      </c>
      <c r="O187" s="50">
        <v>48822</v>
      </c>
      <c r="P187" s="51">
        <v>0.27830205855031165</v>
      </c>
      <c r="Q187" s="50">
        <v>48822</v>
      </c>
      <c r="R187" s="51">
        <v>0.94713484344922372</v>
      </c>
      <c r="S187" s="50">
        <v>48822</v>
      </c>
      <c r="T187" s="51">
        <v>1.0134888761471208</v>
      </c>
      <c r="U187" s="50">
        <v>48822</v>
      </c>
      <c r="V187" s="51">
        <v>0.8072621217833873</v>
      </c>
      <c r="W187" s="50">
        <v>48822</v>
      </c>
      <c r="X187" s="51">
        <v>0.77965484866786472</v>
      </c>
      <c r="Y187" s="50">
        <v>48822</v>
      </c>
      <c r="Z187" s="51">
        <v>0.92047915274692371</v>
      </c>
      <c r="AA187" s="50">
        <v>48822</v>
      </c>
      <c r="AB187" s="51">
        <v>0.94921966034121885</v>
      </c>
      <c r="AC187" s="50">
        <v>48822</v>
      </c>
      <c r="AD187" s="51">
        <v>0.68760775431516452</v>
      </c>
      <c r="AE187" s="50">
        <v>48822</v>
      </c>
      <c r="AF187" s="51">
        <v>0.69347529994698787</v>
      </c>
    </row>
    <row r="188" spans="1:32" x14ac:dyDescent="0.25">
      <c r="A188" s="50">
        <v>48852</v>
      </c>
      <c r="B188" s="51">
        <v>0.66347357516923489</v>
      </c>
      <c r="C188" s="50">
        <v>48852</v>
      </c>
      <c r="D188" s="51">
        <v>0.66348684535595315</v>
      </c>
      <c r="E188" s="50">
        <v>48852</v>
      </c>
      <c r="F188" s="51">
        <v>0.84813434967202572</v>
      </c>
      <c r="G188" s="50">
        <v>48852</v>
      </c>
      <c r="H188" s="51">
        <v>0.86055408232250663</v>
      </c>
      <c r="I188" s="50">
        <v>48852</v>
      </c>
      <c r="J188" s="51">
        <v>0.36915886124156422</v>
      </c>
      <c r="K188" s="50">
        <v>48852</v>
      </c>
      <c r="L188" s="51">
        <v>0.36916384123147972</v>
      </c>
      <c r="M188" s="50">
        <v>48852</v>
      </c>
      <c r="N188" s="51">
        <v>0.23738368493888723</v>
      </c>
      <c r="O188" s="50">
        <v>48852</v>
      </c>
      <c r="P188" s="51">
        <v>0.27585489094912019</v>
      </c>
      <c r="Q188" s="50">
        <v>48852</v>
      </c>
      <c r="R188" s="51">
        <v>0.94639063452935901</v>
      </c>
      <c r="S188" s="50">
        <v>48852</v>
      </c>
      <c r="T188" s="51">
        <v>1.0129085142929968</v>
      </c>
      <c r="U188" s="50">
        <v>48852</v>
      </c>
      <c r="V188" s="51">
        <v>0.80617326706513115</v>
      </c>
      <c r="W188" s="50">
        <v>48852</v>
      </c>
      <c r="X188" s="51">
        <v>0.77849456560873997</v>
      </c>
      <c r="Y188" s="50">
        <v>48852</v>
      </c>
      <c r="Z188" s="51">
        <v>0.9195707816183164</v>
      </c>
      <c r="AA188" s="50">
        <v>48852</v>
      </c>
      <c r="AB188" s="51">
        <v>0.94832731009659299</v>
      </c>
      <c r="AC188" s="50">
        <v>48852</v>
      </c>
      <c r="AD188" s="51">
        <v>0.68594127314160458</v>
      </c>
      <c r="AE188" s="50">
        <v>48852</v>
      </c>
      <c r="AF188" s="51">
        <v>0.69187854590179143</v>
      </c>
    </row>
    <row r="189" spans="1:32" x14ac:dyDescent="0.25">
      <c r="A189" s="50">
        <v>48883</v>
      </c>
      <c r="B189" s="51">
        <v>0.66188663801585179</v>
      </c>
      <c r="C189" s="50">
        <v>48883</v>
      </c>
      <c r="D189" s="51">
        <v>0.66189987907111125</v>
      </c>
      <c r="E189" s="50">
        <v>48883</v>
      </c>
      <c r="F189" s="51">
        <v>0.8467715735374578</v>
      </c>
      <c r="G189" s="50">
        <v>48883</v>
      </c>
      <c r="H189" s="51">
        <v>0.85915902880361605</v>
      </c>
      <c r="I189" s="50">
        <v>48883</v>
      </c>
      <c r="J189" s="51">
        <v>0.36661011194443582</v>
      </c>
      <c r="K189" s="50">
        <v>48883</v>
      </c>
      <c r="L189" s="51">
        <v>0.36661506983633424</v>
      </c>
      <c r="M189" s="50">
        <v>48883</v>
      </c>
      <c r="N189" s="51">
        <v>0.23494633512548568</v>
      </c>
      <c r="O189" s="50">
        <v>48883</v>
      </c>
      <c r="P189" s="51">
        <v>0.27332615109455571</v>
      </c>
      <c r="Q189" s="50">
        <v>48883</v>
      </c>
      <c r="R189" s="51">
        <v>0.94562161864549876</v>
      </c>
      <c r="S189" s="50">
        <v>48883</v>
      </c>
      <c r="T189" s="51">
        <v>1.0123088070437356</v>
      </c>
      <c r="U189" s="50">
        <v>48883</v>
      </c>
      <c r="V189" s="51">
        <v>0.80504811718959979</v>
      </c>
      <c r="W189" s="50">
        <v>48883</v>
      </c>
      <c r="X189" s="51">
        <v>0.77729560644764439</v>
      </c>
      <c r="Y189" s="50">
        <v>48883</v>
      </c>
      <c r="Z189" s="51">
        <v>0.91863213145208888</v>
      </c>
      <c r="AA189" s="50">
        <v>48883</v>
      </c>
      <c r="AB189" s="51">
        <v>0.9474052148438129</v>
      </c>
      <c r="AC189" s="50">
        <v>48883</v>
      </c>
      <c r="AD189" s="51">
        <v>0.68421924259559253</v>
      </c>
      <c r="AE189" s="50">
        <v>48883</v>
      </c>
      <c r="AF189" s="51">
        <v>0.69022856672175514</v>
      </c>
    </row>
    <row r="190" spans="1:32" x14ac:dyDescent="0.25">
      <c r="A190" s="50">
        <v>48913</v>
      </c>
      <c r="B190" s="51">
        <v>0.66035089238354572</v>
      </c>
      <c r="C190" s="50">
        <v>48913</v>
      </c>
      <c r="D190" s="51">
        <v>0.66036410524707079</v>
      </c>
      <c r="E190" s="50">
        <v>48913</v>
      </c>
      <c r="F190" s="51">
        <v>0.84545275792335983</v>
      </c>
      <c r="G190" s="50">
        <v>48913</v>
      </c>
      <c r="H190" s="51">
        <v>0.85780897701114145</v>
      </c>
      <c r="I190" s="50">
        <v>48913</v>
      </c>
      <c r="J190" s="51">
        <v>0.36414590112637518</v>
      </c>
      <c r="K190" s="50">
        <v>48913</v>
      </c>
      <c r="L190" s="51">
        <v>0.36415083765822814</v>
      </c>
      <c r="M190" s="50">
        <v>48913</v>
      </c>
      <c r="N190" s="51">
        <v>0.23258760949961321</v>
      </c>
      <c r="O190" s="50">
        <v>48913</v>
      </c>
      <c r="P190" s="51">
        <v>0.27087898349336426</v>
      </c>
      <c r="Q190" s="50">
        <v>48913</v>
      </c>
      <c r="R190" s="51">
        <v>0.94487740972563405</v>
      </c>
      <c r="S190" s="50">
        <v>48913</v>
      </c>
      <c r="T190" s="51">
        <v>1.0117284451896116</v>
      </c>
      <c r="U190" s="50">
        <v>48913</v>
      </c>
      <c r="V190" s="51">
        <v>0.80395926247134375</v>
      </c>
      <c r="W190" s="50">
        <v>48913</v>
      </c>
      <c r="X190" s="51">
        <v>0.77613532338851954</v>
      </c>
      <c r="Y190" s="50">
        <v>48913</v>
      </c>
      <c r="Z190" s="51">
        <v>0.91772376032348157</v>
      </c>
      <c r="AA190" s="50">
        <v>48913</v>
      </c>
      <c r="AB190" s="51">
        <v>0.94651286459918704</v>
      </c>
      <c r="AC190" s="50">
        <v>48913</v>
      </c>
      <c r="AD190" s="51">
        <v>0.68255276142203247</v>
      </c>
      <c r="AE190" s="50">
        <v>48913</v>
      </c>
      <c r="AF190" s="51">
        <v>0.68863181267655871</v>
      </c>
    </row>
    <row r="191" spans="1:32" x14ac:dyDescent="0.25">
      <c r="A191" s="50">
        <v>48944</v>
      </c>
      <c r="B191" s="51">
        <v>0.65876395523016273</v>
      </c>
      <c r="C191" s="50">
        <v>48944</v>
      </c>
      <c r="D191" s="51">
        <v>0.65877713896222889</v>
      </c>
      <c r="E191" s="50">
        <v>48944</v>
      </c>
      <c r="F191" s="51">
        <v>0.84408998178879191</v>
      </c>
      <c r="G191" s="50">
        <v>48944</v>
      </c>
      <c r="H191" s="51">
        <v>0.85641392349225098</v>
      </c>
      <c r="I191" s="50">
        <v>48944</v>
      </c>
      <c r="J191" s="51">
        <v>0.36159954994771248</v>
      </c>
      <c r="K191" s="50">
        <v>48944</v>
      </c>
      <c r="L191" s="51">
        <v>0.36160446440751853</v>
      </c>
      <c r="M191" s="50">
        <v>48944</v>
      </c>
      <c r="N191" s="51">
        <v>0.23015025968621172</v>
      </c>
      <c r="O191" s="50">
        <v>48944</v>
      </c>
      <c r="P191" s="51">
        <v>0.26835024363879978</v>
      </c>
      <c r="Q191" s="50">
        <v>48944</v>
      </c>
      <c r="R191" s="51">
        <v>0.94410839384177392</v>
      </c>
      <c r="S191" s="50">
        <v>48944</v>
      </c>
      <c r="T191" s="51">
        <v>1.0111287379403502</v>
      </c>
      <c r="U191" s="50">
        <v>48944</v>
      </c>
      <c r="V191" s="51">
        <v>0.80283411259581239</v>
      </c>
      <c r="W191" s="50">
        <v>48944</v>
      </c>
      <c r="X191" s="51">
        <v>0.77493636422742396</v>
      </c>
      <c r="Y191" s="50">
        <v>48944</v>
      </c>
      <c r="Z191" s="51">
        <v>0.91678511015725406</v>
      </c>
      <c r="AA191" s="50">
        <v>48944</v>
      </c>
      <c r="AB191" s="51">
        <v>0.94559076934640707</v>
      </c>
      <c r="AC191" s="50">
        <v>48944</v>
      </c>
      <c r="AD191" s="51">
        <v>0.68083073087602042</v>
      </c>
      <c r="AE191" s="50">
        <v>48944</v>
      </c>
      <c r="AF191" s="51">
        <v>0.68698183349652231</v>
      </c>
    </row>
    <row r="192" spans="1:32" x14ac:dyDescent="0.25">
      <c r="A192" s="50">
        <v>48975</v>
      </c>
      <c r="B192" s="51">
        <v>0.65710093650967838</v>
      </c>
      <c r="C192" s="50">
        <v>48975</v>
      </c>
      <c r="D192" s="51">
        <v>0.6571140935773977</v>
      </c>
      <c r="E192" s="50">
        <v>48975</v>
      </c>
      <c r="F192" s="51">
        <v>0.84273482894371143</v>
      </c>
      <c r="G192" s="50">
        <v>48975</v>
      </c>
      <c r="H192" s="51">
        <v>0.8549686186376898</v>
      </c>
      <c r="I192" s="50">
        <v>48975</v>
      </c>
      <c r="J192" s="51">
        <v>0.35919760613800156</v>
      </c>
      <c r="K192" s="50">
        <v>48975</v>
      </c>
      <c r="L192" s="51">
        <v>0.35920249654153602</v>
      </c>
      <c r="M192" s="50">
        <v>48975</v>
      </c>
      <c r="N192" s="51">
        <v>0.22853121960730277</v>
      </c>
      <c r="O192" s="50">
        <v>48975</v>
      </c>
      <c r="P192" s="51">
        <v>0.26660885195851369</v>
      </c>
      <c r="Q192" s="50">
        <v>48975</v>
      </c>
      <c r="R192" s="51">
        <v>0.94331686504867163</v>
      </c>
      <c r="S192" s="50">
        <v>48975</v>
      </c>
      <c r="T192" s="51">
        <v>1.0105393235729223</v>
      </c>
      <c r="U192" s="50">
        <v>48975</v>
      </c>
      <c r="V192" s="51">
        <v>0.80171618422759638</v>
      </c>
      <c r="W192" s="50">
        <v>48975</v>
      </c>
      <c r="X192" s="51">
        <v>0.77375310084015247</v>
      </c>
      <c r="Y192" s="50">
        <v>48975</v>
      </c>
      <c r="Z192" s="51">
        <v>0.91592267121859117</v>
      </c>
      <c r="AA192" s="50">
        <v>48975</v>
      </c>
      <c r="AB192" s="51">
        <v>0.94478472739727004</v>
      </c>
      <c r="AC192" s="50">
        <v>48975</v>
      </c>
      <c r="AD192" s="51">
        <v>0.67920899648753241</v>
      </c>
      <c r="AE192" s="50">
        <v>48975</v>
      </c>
      <c r="AF192" s="51">
        <v>0.68543477704907718</v>
      </c>
    </row>
    <row r="193" spans="1:32" x14ac:dyDescent="0.25">
      <c r="A193" s="50">
        <v>49003</v>
      </c>
      <c r="B193" s="51">
        <v>0.65559656445689807</v>
      </c>
      <c r="C193" s="50">
        <v>49003</v>
      </c>
      <c r="D193" s="51">
        <v>0.65560969751496978</v>
      </c>
      <c r="E193" s="50">
        <v>49003</v>
      </c>
      <c r="F193" s="51">
        <v>0.84151104944074162</v>
      </c>
      <c r="G193" s="50">
        <v>49003</v>
      </c>
      <c r="H193" s="51">
        <v>0.85366166905142082</v>
      </c>
      <c r="I193" s="50">
        <v>49003</v>
      </c>
      <c r="J193" s="51">
        <v>0.35703245625216656</v>
      </c>
      <c r="K193" s="50">
        <v>49003</v>
      </c>
      <c r="L193" s="51">
        <v>0.35703732486771561</v>
      </c>
      <c r="M193" s="50">
        <v>49003</v>
      </c>
      <c r="N193" s="51">
        <v>0.22709349810868157</v>
      </c>
      <c r="O193" s="50">
        <v>49003</v>
      </c>
      <c r="P193" s="51">
        <v>0.26505968716006162</v>
      </c>
      <c r="Q193" s="50">
        <v>49003</v>
      </c>
      <c r="R193" s="51">
        <v>0.94260125800817196</v>
      </c>
      <c r="S193" s="50">
        <v>49003</v>
      </c>
      <c r="T193" s="51">
        <v>1.0100072591987845</v>
      </c>
      <c r="U193" s="50">
        <v>49003</v>
      </c>
      <c r="V193" s="51">
        <v>0.80070665989738499</v>
      </c>
      <c r="W193" s="50">
        <v>49003</v>
      </c>
      <c r="X193" s="51">
        <v>0.7726848193738719</v>
      </c>
      <c r="Y193" s="50">
        <v>49003</v>
      </c>
      <c r="Z193" s="51">
        <v>0.91514598864428476</v>
      </c>
      <c r="AA193" s="50">
        <v>49003</v>
      </c>
      <c r="AB193" s="51">
        <v>0.94406018358568611</v>
      </c>
      <c r="AC193" s="50">
        <v>49003</v>
      </c>
      <c r="AD193" s="51">
        <v>0.67774722380589891</v>
      </c>
      <c r="AE193" s="50">
        <v>49003</v>
      </c>
      <c r="AF193" s="51">
        <v>0.68404053449064561</v>
      </c>
    </row>
    <row r="194" spans="1:32" x14ac:dyDescent="0.25">
      <c r="A194" s="50">
        <v>49034</v>
      </c>
      <c r="B194" s="51">
        <v>0.65393100968417706</v>
      </c>
      <c r="C194" s="50">
        <v>49034</v>
      </c>
      <c r="D194" s="51">
        <v>0.65394411616013892</v>
      </c>
      <c r="E194" s="50">
        <v>49034</v>
      </c>
      <c r="F194" s="51">
        <v>0.84015615070531069</v>
      </c>
      <c r="G194" s="50">
        <v>49034</v>
      </c>
      <c r="H194" s="51">
        <v>0.85221468915233733</v>
      </c>
      <c r="I194" s="50">
        <v>49034</v>
      </c>
      <c r="J194" s="51">
        <v>0.35463532602142067</v>
      </c>
      <c r="K194" s="50">
        <v>49034</v>
      </c>
      <c r="L194" s="51">
        <v>0.35464017051455726</v>
      </c>
      <c r="M194" s="50">
        <v>49034</v>
      </c>
      <c r="N194" s="51">
        <v>0.22550173502092238</v>
      </c>
      <c r="O194" s="50">
        <v>49034</v>
      </c>
      <c r="P194" s="51">
        <v>0.26334454041891819</v>
      </c>
      <c r="Q194" s="50">
        <v>49034</v>
      </c>
      <c r="R194" s="51">
        <v>0.94180897878476155</v>
      </c>
      <c r="S194" s="50">
        <v>49034</v>
      </c>
      <c r="T194" s="51">
        <v>1.0094181879274178</v>
      </c>
      <c r="U194" s="50">
        <v>49034</v>
      </c>
      <c r="V194" s="51">
        <v>0.79958897224607939</v>
      </c>
      <c r="W194" s="50">
        <v>49034</v>
      </c>
      <c r="X194" s="51">
        <v>0.77150207917906133</v>
      </c>
      <c r="Y194" s="50">
        <v>49034</v>
      </c>
      <c r="Z194" s="51">
        <v>0.91428609007987394</v>
      </c>
      <c r="AA194" s="50">
        <v>49034</v>
      </c>
      <c r="AB194" s="51">
        <v>0.94325801008000387</v>
      </c>
      <c r="AC194" s="50">
        <v>49034</v>
      </c>
      <c r="AD194" s="51">
        <v>0.67612883262266166</v>
      </c>
      <c r="AE194" s="50">
        <v>49034</v>
      </c>
      <c r="AF194" s="51">
        <v>0.68249690880095348</v>
      </c>
    </row>
    <row r="195" spans="1:32" x14ac:dyDescent="0.25">
      <c r="A195" s="50">
        <v>49064</v>
      </c>
      <c r="B195" s="51">
        <v>0.65231918248476961</v>
      </c>
      <c r="C195" s="50">
        <v>49064</v>
      </c>
      <c r="D195" s="51">
        <v>0.65233226323610904</v>
      </c>
      <c r="E195" s="50">
        <v>49064</v>
      </c>
      <c r="F195" s="51">
        <v>0.83884495838070017</v>
      </c>
      <c r="G195" s="50">
        <v>49064</v>
      </c>
      <c r="H195" s="51">
        <v>0.85081438602419202</v>
      </c>
      <c r="I195" s="50">
        <v>49064</v>
      </c>
      <c r="J195" s="51">
        <v>0.35234545067002704</v>
      </c>
      <c r="K195" s="50">
        <v>49064</v>
      </c>
      <c r="L195" s="51">
        <v>0.35235027209652769</v>
      </c>
      <c r="M195" s="50">
        <v>49064</v>
      </c>
      <c r="N195" s="51">
        <v>0.22396131912954254</v>
      </c>
      <c r="O195" s="50">
        <v>49064</v>
      </c>
      <c r="P195" s="51">
        <v>0.26168472099200518</v>
      </c>
      <c r="Q195" s="50">
        <v>49064</v>
      </c>
      <c r="R195" s="51">
        <v>0.9410422569556548</v>
      </c>
      <c r="S195" s="50">
        <v>49064</v>
      </c>
      <c r="T195" s="51">
        <v>1.0088481189551273</v>
      </c>
      <c r="U195" s="50">
        <v>49064</v>
      </c>
      <c r="V195" s="51">
        <v>0.7985073390351386</v>
      </c>
      <c r="W195" s="50">
        <v>49064</v>
      </c>
      <c r="X195" s="51">
        <v>0.77035749189376068</v>
      </c>
      <c r="Y195" s="50">
        <v>49064</v>
      </c>
      <c r="Z195" s="51">
        <v>0.91345393017883136</v>
      </c>
      <c r="AA195" s="50">
        <v>49064</v>
      </c>
      <c r="AB195" s="51">
        <v>0.94248171313902107</v>
      </c>
      <c r="AC195" s="50">
        <v>49064</v>
      </c>
      <c r="AD195" s="51">
        <v>0.67456264760662576</v>
      </c>
      <c r="AE195" s="50">
        <v>49064</v>
      </c>
      <c r="AF195" s="51">
        <v>0.68100307748834821</v>
      </c>
    </row>
    <row r="196" spans="1:32" x14ac:dyDescent="0.25">
      <c r="A196" s="50">
        <v>49095</v>
      </c>
      <c r="B196" s="51">
        <v>0.65065362771204849</v>
      </c>
      <c r="C196" s="50">
        <v>49095</v>
      </c>
      <c r="D196" s="51">
        <v>0.65066668188127808</v>
      </c>
      <c r="E196" s="50">
        <v>49095</v>
      </c>
      <c r="F196" s="51">
        <v>0.83749005964526935</v>
      </c>
      <c r="G196" s="50">
        <v>49095</v>
      </c>
      <c r="H196" s="51">
        <v>0.84936740612510853</v>
      </c>
      <c r="I196" s="50">
        <v>49095</v>
      </c>
      <c r="J196" s="51">
        <v>0.34998031254373546</v>
      </c>
      <c r="K196" s="50">
        <v>49095</v>
      </c>
      <c r="L196" s="51">
        <v>0.34998511014460498</v>
      </c>
      <c r="M196" s="50">
        <v>49095</v>
      </c>
      <c r="N196" s="51">
        <v>0.22236955604178335</v>
      </c>
      <c r="O196" s="50">
        <v>49095</v>
      </c>
      <c r="P196" s="51">
        <v>0.25996957425086176</v>
      </c>
      <c r="Q196" s="50">
        <v>49095</v>
      </c>
      <c r="R196" s="51">
        <v>0.94024997773224439</v>
      </c>
      <c r="S196" s="50">
        <v>49095</v>
      </c>
      <c r="T196" s="51">
        <v>1.0082590476837603</v>
      </c>
      <c r="U196" s="50">
        <v>49095</v>
      </c>
      <c r="V196" s="51">
        <v>0.79738965138383311</v>
      </c>
      <c r="W196" s="50">
        <v>49095</v>
      </c>
      <c r="X196" s="51">
        <v>0.76917475169895011</v>
      </c>
      <c r="Y196" s="50">
        <v>49095</v>
      </c>
      <c r="Z196" s="51">
        <v>0.91259403161442065</v>
      </c>
      <c r="AA196" s="50">
        <v>49095</v>
      </c>
      <c r="AB196" s="51">
        <v>0.94167953963333895</v>
      </c>
      <c r="AC196" s="50">
        <v>49095</v>
      </c>
      <c r="AD196" s="51">
        <v>0.67294425642338851</v>
      </c>
      <c r="AE196" s="50">
        <v>49095</v>
      </c>
      <c r="AF196" s="51">
        <v>0.67945945179865619</v>
      </c>
    </row>
    <row r="197" spans="1:32" x14ac:dyDescent="0.25">
      <c r="A197" s="50">
        <v>49125</v>
      </c>
      <c r="B197" s="51">
        <v>0.64904180051264104</v>
      </c>
      <c r="C197" s="50">
        <v>49125</v>
      </c>
      <c r="D197" s="51">
        <v>0.6490548289572482</v>
      </c>
      <c r="E197" s="50">
        <v>49125</v>
      </c>
      <c r="F197" s="51">
        <v>0.83617886732065883</v>
      </c>
      <c r="G197" s="50">
        <v>49125</v>
      </c>
      <c r="H197" s="51">
        <v>0.84796710299696321</v>
      </c>
      <c r="I197" s="50">
        <v>49125</v>
      </c>
      <c r="J197" s="51">
        <v>0.34769146919571137</v>
      </c>
      <c r="K197" s="50">
        <v>49125</v>
      </c>
      <c r="L197" s="51">
        <v>0.34769624373951846</v>
      </c>
      <c r="M197" s="50">
        <v>49125</v>
      </c>
      <c r="N197" s="51">
        <v>0.2208291401504035</v>
      </c>
      <c r="O197" s="50">
        <v>49125</v>
      </c>
      <c r="P197" s="51">
        <v>0.2583097548239488</v>
      </c>
      <c r="Q197" s="50">
        <v>49125</v>
      </c>
      <c r="R197" s="51">
        <v>0.93948325590313764</v>
      </c>
      <c r="S197" s="50">
        <v>49125</v>
      </c>
      <c r="T197" s="51">
        <v>1.0076889787114698</v>
      </c>
      <c r="U197" s="50">
        <v>49125</v>
      </c>
      <c r="V197" s="51">
        <v>0.79630801817289232</v>
      </c>
      <c r="W197" s="50">
        <v>49125</v>
      </c>
      <c r="X197" s="51">
        <v>0.76803016441364946</v>
      </c>
      <c r="Y197" s="50">
        <v>49125</v>
      </c>
      <c r="Z197" s="51">
        <v>0.91176187171337797</v>
      </c>
      <c r="AA197" s="50">
        <v>49125</v>
      </c>
      <c r="AB197" s="51">
        <v>0.94090324269235615</v>
      </c>
      <c r="AC197" s="50">
        <v>49125</v>
      </c>
      <c r="AD197" s="51">
        <v>0.67137807140735262</v>
      </c>
      <c r="AE197" s="50">
        <v>49125</v>
      </c>
      <c r="AF197" s="51">
        <v>0.67796562048605091</v>
      </c>
    </row>
    <row r="198" spans="1:32" x14ac:dyDescent="0.25">
      <c r="A198" s="50">
        <v>49156</v>
      </c>
      <c r="B198" s="51">
        <v>0.64741665055643438</v>
      </c>
      <c r="C198" s="50">
        <v>49156</v>
      </c>
      <c r="D198" s="51">
        <v>0.64742965313869927</v>
      </c>
      <c r="E198" s="50">
        <v>49156</v>
      </c>
      <c r="F198" s="51">
        <v>0.83482396858522789</v>
      </c>
      <c r="G198" s="50">
        <v>49156</v>
      </c>
      <c r="H198" s="51">
        <v>0.84652012309787972</v>
      </c>
      <c r="I198" s="50">
        <v>49156</v>
      </c>
      <c r="J198" s="51">
        <v>0.34537698329392108</v>
      </c>
      <c r="K198" s="50">
        <v>49156</v>
      </c>
      <c r="L198" s="51">
        <v>0.34538173457124366</v>
      </c>
      <c r="M198" s="50">
        <v>49156</v>
      </c>
      <c r="N198" s="51">
        <v>0.21923737706264432</v>
      </c>
      <c r="O198" s="50">
        <v>49156</v>
      </c>
      <c r="P198" s="51">
        <v>0.25659460808280538</v>
      </c>
      <c r="Q198" s="50">
        <v>49156</v>
      </c>
      <c r="R198" s="51">
        <v>0.93867373850282232</v>
      </c>
      <c r="S198" s="50">
        <v>49156</v>
      </c>
      <c r="T198" s="51">
        <v>1.007058375010103</v>
      </c>
      <c r="U198" s="50">
        <v>49156</v>
      </c>
      <c r="V198" s="51">
        <v>0.79522304593041715</v>
      </c>
      <c r="W198" s="50">
        <v>49156</v>
      </c>
      <c r="X198" s="51">
        <v>0.76688853965016923</v>
      </c>
      <c r="Y198" s="50">
        <v>49156</v>
      </c>
      <c r="Z198" s="51">
        <v>0.91090197314896726</v>
      </c>
      <c r="AA198" s="50">
        <v>49156</v>
      </c>
      <c r="AB198" s="51">
        <v>0.94010106918667391</v>
      </c>
      <c r="AC198" s="50">
        <v>49156</v>
      </c>
      <c r="AD198" s="51">
        <v>0.66981805301486896</v>
      </c>
      <c r="AE198" s="50">
        <v>49156</v>
      </c>
      <c r="AF198" s="51">
        <v>0.67648100205160089</v>
      </c>
    </row>
    <row r="199" spans="1:32" x14ac:dyDescent="0.25">
      <c r="A199" s="50">
        <v>49187</v>
      </c>
      <c r="B199" s="51">
        <v>0.6457928474274448</v>
      </c>
      <c r="C199" s="50">
        <v>49187</v>
      </c>
      <c r="D199" s="51">
        <v>0.64580582417135968</v>
      </c>
      <c r="E199" s="50">
        <v>49187</v>
      </c>
      <c r="F199" s="51">
        <v>0.83346906984979707</v>
      </c>
      <c r="G199" s="50">
        <v>49187</v>
      </c>
      <c r="H199" s="51">
        <v>0.84507314319879612</v>
      </c>
      <c r="I199" s="50">
        <v>49187</v>
      </c>
      <c r="J199" s="51">
        <v>0.34306418579961423</v>
      </c>
      <c r="K199" s="50">
        <v>49187</v>
      </c>
      <c r="L199" s="51">
        <v>0.34306891382909049</v>
      </c>
      <c r="M199" s="50">
        <v>49187</v>
      </c>
      <c r="N199" s="51">
        <v>0.21764561397488513</v>
      </c>
      <c r="O199" s="50">
        <v>49187</v>
      </c>
      <c r="P199" s="51">
        <v>0.25487946134166195</v>
      </c>
      <c r="Q199" s="50">
        <v>49187</v>
      </c>
      <c r="R199" s="51">
        <v>0.93786364649661014</v>
      </c>
      <c r="S199" s="50">
        <v>49187</v>
      </c>
      <c r="T199" s="51">
        <v>1.0064263868944028</v>
      </c>
      <c r="U199" s="50">
        <v>49187</v>
      </c>
      <c r="V199" s="51">
        <v>0.7941391642015696</v>
      </c>
      <c r="W199" s="50">
        <v>49187</v>
      </c>
      <c r="X199" s="51">
        <v>0.76574828540106665</v>
      </c>
      <c r="Y199" s="50">
        <v>49187</v>
      </c>
      <c r="Z199" s="51">
        <v>0.91004207458455644</v>
      </c>
      <c r="AA199" s="50">
        <v>49187</v>
      </c>
      <c r="AB199" s="51">
        <v>0.93929889568099167</v>
      </c>
      <c r="AC199" s="50">
        <v>49187</v>
      </c>
      <c r="AD199" s="51">
        <v>0.66825998038207723</v>
      </c>
      <c r="AE199" s="50">
        <v>49187</v>
      </c>
      <c r="AF199" s="51">
        <v>0.67499835052565893</v>
      </c>
    </row>
    <row r="200" spans="1:32" x14ac:dyDescent="0.25">
      <c r="A200" s="50">
        <v>49217</v>
      </c>
      <c r="B200" s="51">
        <v>0.64422142504455171</v>
      </c>
      <c r="C200" s="50">
        <v>49217</v>
      </c>
      <c r="D200" s="51">
        <v>0.64423437678361162</v>
      </c>
      <c r="E200" s="50">
        <v>49217</v>
      </c>
      <c r="F200" s="51">
        <v>0.83215787752518655</v>
      </c>
      <c r="G200" s="50">
        <v>49217</v>
      </c>
      <c r="H200" s="51">
        <v>0.8436728400706508</v>
      </c>
      <c r="I200" s="50">
        <v>49217</v>
      </c>
      <c r="J200" s="51">
        <v>0.34082599467609143</v>
      </c>
      <c r="K200" s="50">
        <v>49217</v>
      </c>
      <c r="L200" s="51">
        <v>0.34083070020765188</v>
      </c>
      <c r="M200" s="50">
        <v>49217</v>
      </c>
      <c r="N200" s="51">
        <v>0.21610519808350528</v>
      </c>
      <c r="O200" s="50">
        <v>49217</v>
      </c>
      <c r="P200" s="51">
        <v>0.25321964191474899</v>
      </c>
      <c r="Q200" s="50">
        <v>49217</v>
      </c>
      <c r="R200" s="51">
        <v>0.93707968649059825</v>
      </c>
      <c r="S200" s="50">
        <v>49217</v>
      </c>
      <c r="T200" s="51">
        <v>1.0058147854921125</v>
      </c>
      <c r="U200" s="50">
        <v>49217</v>
      </c>
      <c r="V200" s="51">
        <v>0.79309024639945913</v>
      </c>
      <c r="W200" s="50">
        <v>49217</v>
      </c>
      <c r="X200" s="51">
        <v>0.76464481354709646</v>
      </c>
      <c r="Y200" s="50">
        <v>49217</v>
      </c>
      <c r="Z200" s="51">
        <v>0.90920991468351386</v>
      </c>
      <c r="AA200" s="50">
        <v>49217</v>
      </c>
      <c r="AB200" s="51">
        <v>0.93852259874000887</v>
      </c>
      <c r="AC200" s="50">
        <v>49217</v>
      </c>
      <c r="AD200" s="51">
        <v>0.66675216815679483</v>
      </c>
      <c r="AE200" s="50">
        <v>49217</v>
      </c>
      <c r="AF200" s="51">
        <v>0.67356352646829576</v>
      </c>
    </row>
    <row r="201" spans="1:32" x14ac:dyDescent="0.25">
      <c r="A201" s="50">
        <v>49248</v>
      </c>
      <c r="B201" s="51">
        <v>0.64259762191556213</v>
      </c>
      <c r="C201" s="50">
        <v>49248</v>
      </c>
      <c r="D201" s="51">
        <v>0.64261054781627203</v>
      </c>
      <c r="E201" s="50">
        <v>49248</v>
      </c>
      <c r="F201" s="51">
        <v>0.83080297878975562</v>
      </c>
      <c r="G201" s="50">
        <v>49248</v>
      </c>
      <c r="H201" s="51">
        <v>0.84222586017156731</v>
      </c>
      <c r="I201" s="50">
        <v>49248</v>
      </c>
      <c r="J201" s="51">
        <v>0.33858162826922994</v>
      </c>
      <c r="K201" s="50">
        <v>49248</v>
      </c>
      <c r="L201" s="51">
        <v>0.33858631136352318</v>
      </c>
      <c r="M201" s="50">
        <v>49248</v>
      </c>
      <c r="N201" s="51">
        <v>0.2145134349957461</v>
      </c>
      <c r="O201" s="50">
        <v>49248</v>
      </c>
      <c r="P201" s="51">
        <v>0.25150449517360557</v>
      </c>
      <c r="Q201" s="50">
        <v>49248</v>
      </c>
      <c r="R201" s="51">
        <v>0.93626959448438607</v>
      </c>
      <c r="S201" s="50">
        <v>49248</v>
      </c>
      <c r="T201" s="51">
        <v>1.0051827973764123</v>
      </c>
      <c r="U201" s="50">
        <v>49248</v>
      </c>
      <c r="V201" s="51">
        <v>0.79200636467061158</v>
      </c>
      <c r="W201" s="50">
        <v>49248</v>
      </c>
      <c r="X201" s="51">
        <v>0.76350455929799388</v>
      </c>
      <c r="Y201" s="50">
        <v>49248</v>
      </c>
      <c r="Z201" s="51">
        <v>0.90835001611910304</v>
      </c>
      <c r="AA201" s="50">
        <v>49248</v>
      </c>
      <c r="AB201" s="51">
        <v>0.93772042523432675</v>
      </c>
      <c r="AC201" s="50">
        <v>49248</v>
      </c>
      <c r="AD201" s="51">
        <v>0.6651940955240031</v>
      </c>
      <c r="AE201" s="50">
        <v>49248</v>
      </c>
      <c r="AF201" s="51">
        <v>0.67208087494235391</v>
      </c>
    </row>
    <row r="202" spans="1:32" x14ac:dyDescent="0.25">
      <c r="A202" s="50">
        <v>49278</v>
      </c>
      <c r="B202" s="51">
        <v>0.64102619953266904</v>
      </c>
      <c r="C202" s="50">
        <v>49278</v>
      </c>
      <c r="D202" s="51">
        <v>0.64103910042852408</v>
      </c>
      <c r="E202" s="50">
        <v>49278</v>
      </c>
      <c r="F202" s="51">
        <v>0.8294917864651451</v>
      </c>
      <c r="G202" s="50">
        <v>49278</v>
      </c>
      <c r="H202" s="51">
        <v>0.84082555704342199</v>
      </c>
      <c r="I202" s="50">
        <v>49278</v>
      </c>
      <c r="J202" s="51">
        <v>0.33641186823315256</v>
      </c>
      <c r="K202" s="50">
        <v>49278</v>
      </c>
      <c r="L202" s="51">
        <v>0.3364165296401091</v>
      </c>
      <c r="M202" s="50">
        <v>49278</v>
      </c>
      <c r="N202" s="51">
        <v>0.21297301910436625</v>
      </c>
      <c r="O202" s="50">
        <v>49278</v>
      </c>
      <c r="P202" s="51">
        <v>0.24984467574669258</v>
      </c>
      <c r="Q202" s="50">
        <v>49278</v>
      </c>
      <c r="R202" s="51">
        <v>0.93548563447837429</v>
      </c>
      <c r="S202" s="50">
        <v>49278</v>
      </c>
      <c r="T202" s="51">
        <v>1.0045711959741217</v>
      </c>
      <c r="U202" s="50">
        <v>49278</v>
      </c>
      <c r="V202" s="51">
        <v>0.79095744686850111</v>
      </c>
      <c r="W202" s="50">
        <v>49278</v>
      </c>
      <c r="X202" s="51">
        <v>0.76240108744402368</v>
      </c>
      <c r="Y202" s="50">
        <v>49278</v>
      </c>
      <c r="Z202" s="51">
        <v>0.90751785621806047</v>
      </c>
      <c r="AA202" s="50">
        <v>49278</v>
      </c>
      <c r="AB202" s="51">
        <v>0.93694412829334395</v>
      </c>
      <c r="AC202" s="50">
        <v>49278</v>
      </c>
      <c r="AD202" s="51">
        <v>0.6636862832987207</v>
      </c>
      <c r="AE202" s="50">
        <v>49278</v>
      </c>
      <c r="AF202" s="51">
        <v>0.67064605088499074</v>
      </c>
    </row>
    <row r="203" spans="1:32" x14ac:dyDescent="0.25">
      <c r="A203" s="50">
        <v>49309</v>
      </c>
      <c r="B203" s="51">
        <v>0.63940239640367957</v>
      </c>
      <c r="C203" s="50">
        <v>49309</v>
      </c>
      <c r="D203" s="51">
        <v>0.63941527146118449</v>
      </c>
      <c r="E203" s="50">
        <v>49309</v>
      </c>
      <c r="F203" s="51">
        <v>0.82813688772971417</v>
      </c>
      <c r="G203" s="50">
        <v>49309</v>
      </c>
      <c r="H203" s="51">
        <v>0.8393785771443385</v>
      </c>
      <c r="I203" s="50">
        <v>49309</v>
      </c>
      <c r="J203" s="51">
        <v>0.33416978286253929</v>
      </c>
      <c r="K203" s="50">
        <v>49309</v>
      </c>
      <c r="L203" s="51">
        <v>0.33417442185924784</v>
      </c>
      <c r="M203" s="50">
        <v>49309</v>
      </c>
      <c r="N203" s="51">
        <v>0.21138125601660707</v>
      </c>
      <c r="O203" s="50">
        <v>49309</v>
      </c>
      <c r="P203" s="51">
        <v>0.24812952900554916</v>
      </c>
      <c r="Q203" s="50">
        <v>49309</v>
      </c>
      <c r="R203" s="51">
        <v>0.93467554247216211</v>
      </c>
      <c r="S203" s="50">
        <v>49309</v>
      </c>
      <c r="T203" s="51">
        <v>1.0039392078584215</v>
      </c>
      <c r="U203" s="50">
        <v>49309</v>
      </c>
      <c r="V203" s="51">
        <v>0.78987356513965357</v>
      </c>
      <c r="W203" s="50">
        <v>49309</v>
      </c>
      <c r="X203" s="51">
        <v>0.76126083319492122</v>
      </c>
      <c r="Y203" s="50">
        <v>49309</v>
      </c>
      <c r="Z203" s="51">
        <v>0.90665795765364976</v>
      </c>
      <c r="AA203" s="50">
        <v>49309</v>
      </c>
      <c r="AB203" s="51">
        <v>0.93614195478766171</v>
      </c>
      <c r="AC203" s="50">
        <v>49309</v>
      </c>
      <c r="AD203" s="51">
        <v>0.66212821066592897</v>
      </c>
      <c r="AE203" s="50">
        <v>49309</v>
      </c>
      <c r="AF203" s="51">
        <v>0.66916339935904878</v>
      </c>
    </row>
    <row r="204" spans="1:32" x14ac:dyDescent="0.25">
      <c r="A204" s="50">
        <v>49340</v>
      </c>
      <c r="B204" s="51">
        <v>0.63779963369891746</v>
      </c>
      <c r="C204" s="50">
        <v>49340</v>
      </c>
      <c r="D204" s="51">
        <v>0.63781248167205096</v>
      </c>
      <c r="E204" s="50">
        <v>49340</v>
      </c>
      <c r="F204" s="51">
        <v>0.8268439718935221</v>
      </c>
      <c r="G204" s="50">
        <v>49340</v>
      </c>
      <c r="H204" s="51">
        <v>0.83797851097050458</v>
      </c>
      <c r="I204" s="50">
        <v>49340</v>
      </c>
      <c r="J204" s="51">
        <v>0.33189785318918147</v>
      </c>
      <c r="K204" s="50">
        <v>49340</v>
      </c>
      <c r="L204" s="51">
        <v>0.33190246922485561</v>
      </c>
      <c r="M204" s="50">
        <v>49340</v>
      </c>
      <c r="N204" s="51">
        <v>0.20978949292884791</v>
      </c>
      <c r="O204" s="50">
        <v>49340</v>
      </c>
      <c r="P204" s="51">
        <v>0.24641438226440573</v>
      </c>
      <c r="Q204" s="50">
        <v>49340</v>
      </c>
      <c r="R204" s="51">
        <v>0.93382132569912091</v>
      </c>
      <c r="S204" s="50">
        <v>49340</v>
      </c>
      <c r="T204" s="51">
        <v>1.003260961413059</v>
      </c>
      <c r="U204" s="50">
        <v>49340</v>
      </c>
      <c r="V204" s="51">
        <v>0.78875726824283687</v>
      </c>
      <c r="W204" s="50">
        <v>49340</v>
      </c>
      <c r="X204" s="51">
        <v>0.76008937208519656</v>
      </c>
      <c r="Y204" s="50">
        <v>49340</v>
      </c>
      <c r="Z204" s="51">
        <v>0.90575589317659633</v>
      </c>
      <c r="AA204" s="50">
        <v>49340</v>
      </c>
      <c r="AB204" s="51">
        <v>0.93528499204951454</v>
      </c>
      <c r="AC204" s="50">
        <v>49340</v>
      </c>
      <c r="AD204" s="51">
        <v>0.66053722021102057</v>
      </c>
      <c r="AE204" s="50">
        <v>49340</v>
      </c>
      <c r="AF204" s="51">
        <v>0.66764972140409484</v>
      </c>
    </row>
    <row r="205" spans="1:32" x14ac:dyDescent="0.25">
      <c r="A205" s="50">
        <v>49368</v>
      </c>
      <c r="B205" s="51">
        <v>0.63635261053749614</v>
      </c>
      <c r="C205" s="50">
        <v>49368</v>
      </c>
      <c r="D205" s="51">
        <v>0.63636543400981183</v>
      </c>
      <c r="E205" s="50">
        <v>49368</v>
      </c>
      <c r="F205" s="51">
        <v>0.8256780430965085</v>
      </c>
      <c r="G205" s="50">
        <v>49368</v>
      </c>
      <c r="H205" s="51">
        <v>0.83671534752780186</v>
      </c>
      <c r="I205" s="50">
        <v>49368</v>
      </c>
      <c r="J205" s="51">
        <v>0.32984488913961435</v>
      </c>
      <c r="K205" s="50">
        <v>49368</v>
      </c>
      <c r="L205" s="51">
        <v>0.3298494844197068</v>
      </c>
      <c r="M205" s="50">
        <v>49368</v>
      </c>
      <c r="N205" s="51">
        <v>0.20835177143022671</v>
      </c>
      <c r="O205" s="50">
        <v>49368</v>
      </c>
      <c r="P205" s="51">
        <v>0.24486521746595363</v>
      </c>
      <c r="Q205" s="50">
        <v>49368</v>
      </c>
      <c r="R205" s="51">
        <v>0.93304844657780284</v>
      </c>
      <c r="S205" s="50">
        <v>49368</v>
      </c>
      <c r="T205" s="51">
        <v>1.0026469589965696</v>
      </c>
      <c r="U205" s="50">
        <v>49368</v>
      </c>
      <c r="V205" s="51">
        <v>0.78774802413742917</v>
      </c>
      <c r="W205" s="50">
        <v>49368</v>
      </c>
      <c r="X205" s="51">
        <v>0.75903033861824387</v>
      </c>
      <c r="Y205" s="50">
        <v>49368</v>
      </c>
      <c r="Z205" s="51">
        <v>0.90493985575049007</v>
      </c>
      <c r="AA205" s="50">
        <v>49368</v>
      </c>
      <c r="AB205" s="51">
        <v>0.93450931162096329</v>
      </c>
      <c r="AC205" s="50">
        <v>49368</v>
      </c>
      <c r="AD205" s="51">
        <v>0.65909920550011492</v>
      </c>
      <c r="AE205" s="50">
        <v>49368</v>
      </c>
      <c r="AF205" s="51">
        <v>0.66628159428347811</v>
      </c>
    </row>
    <row r="206" spans="1:32" x14ac:dyDescent="0.25">
      <c r="A206" s="50">
        <v>49399</v>
      </c>
      <c r="B206" s="51">
        <v>0.63475054918020835</v>
      </c>
      <c r="C206" s="50">
        <v>49399</v>
      </c>
      <c r="D206" s="51">
        <v>0.63476334552661851</v>
      </c>
      <c r="E206" s="50">
        <v>49399</v>
      </c>
      <c r="F206" s="51">
        <v>0.82438719335695765</v>
      </c>
      <c r="G206" s="50">
        <v>49399</v>
      </c>
      <c r="H206" s="51">
        <v>0.83531684514480964</v>
      </c>
      <c r="I206" s="50">
        <v>49399</v>
      </c>
      <c r="J206" s="51">
        <v>0.32757196465616506</v>
      </c>
      <c r="K206" s="50">
        <v>49399</v>
      </c>
      <c r="L206" s="51">
        <v>0.32757653695686351</v>
      </c>
      <c r="M206" s="50">
        <v>49399</v>
      </c>
      <c r="N206" s="51">
        <v>0.20676000834246752</v>
      </c>
      <c r="O206" s="50">
        <v>49399</v>
      </c>
      <c r="P206" s="51">
        <v>0.24315007072481021</v>
      </c>
      <c r="Q206" s="50">
        <v>49399</v>
      </c>
      <c r="R206" s="51">
        <v>0.93219275897920062</v>
      </c>
      <c r="S206" s="50">
        <v>49399</v>
      </c>
      <c r="T206" s="51">
        <v>1.0019671706068849</v>
      </c>
      <c r="U206" s="50">
        <v>49399</v>
      </c>
      <c r="V206" s="51">
        <v>0.78663064673501337</v>
      </c>
      <c r="W206" s="50">
        <v>49399</v>
      </c>
      <c r="X206" s="51">
        <v>0.75785783727983191</v>
      </c>
      <c r="Y206" s="50">
        <v>49399</v>
      </c>
      <c r="Z206" s="51">
        <v>0.90403638574301526</v>
      </c>
      <c r="AA206" s="50">
        <v>49399</v>
      </c>
      <c r="AB206" s="51">
        <v>0.93365052257506731</v>
      </c>
      <c r="AC206" s="50">
        <v>49399</v>
      </c>
      <c r="AD206" s="51">
        <v>0.65750711778446935</v>
      </c>
      <c r="AE206" s="50">
        <v>49399</v>
      </c>
      <c r="AF206" s="51">
        <v>0.66476688211422374</v>
      </c>
    </row>
    <row r="207" spans="1:32" x14ac:dyDescent="0.25">
      <c r="A207" s="50">
        <v>49429</v>
      </c>
      <c r="B207" s="51">
        <v>0.63320016722154271</v>
      </c>
      <c r="C207" s="50">
        <v>49429</v>
      </c>
      <c r="D207" s="51">
        <v>0.63321293731707662</v>
      </c>
      <c r="E207" s="50">
        <v>49429</v>
      </c>
      <c r="F207" s="51">
        <v>0.82313798393158588</v>
      </c>
      <c r="G207" s="50">
        <v>49429</v>
      </c>
      <c r="H207" s="51">
        <v>0.83396345574191388</v>
      </c>
      <c r="I207" s="50">
        <v>49429</v>
      </c>
      <c r="J207" s="51">
        <v>0.32540115260347774</v>
      </c>
      <c r="K207" s="50">
        <v>49429</v>
      </c>
      <c r="L207" s="51">
        <v>0.32540570293390109</v>
      </c>
      <c r="M207" s="50">
        <v>49429</v>
      </c>
      <c r="N207" s="51">
        <v>0.20521959245108767</v>
      </c>
      <c r="O207" s="50">
        <v>49429</v>
      </c>
      <c r="P207" s="51">
        <v>0.24149025129789722</v>
      </c>
      <c r="Q207" s="50">
        <v>49429</v>
      </c>
      <c r="R207" s="51">
        <v>0.93136467420635982</v>
      </c>
      <c r="S207" s="50">
        <v>49429</v>
      </c>
      <c r="T207" s="51">
        <v>1.001309310874932</v>
      </c>
      <c r="U207" s="50">
        <v>49429</v>
      </c>
      <c r="V207" s="51">
        <v>0.78554931376493364</v>
      </c>
      <c r="W207" s="50">
        <v>49429</v>
      </c>
      <c r="X207" s="51">
        <v>0.75672315856523964</v>
      </c>
      <c r="Y207" s="50">
        <v>49429</v>
      </c>
      <c r="Z207" s="51">
        <v>0.90316205992932996</v>
      </c>
      <c r="AA207" s="50">
        <v>49429</v>
      </c>
      <c r="AB207" s="51">
        <v>0.93281943640161957</v>
      </c>
      <c r="AC207" s="50">
        <v>49429</v>
      </c>
      <c r="AD207" s="51">
        <v>0.65596638773707039</v>
      </c>
      <c r="AE207" s="50">
        <v>49429</v>
      </c>
      <c r="AF207" s="51">
        <v>0.6633010316278487</v>
      </c>
    </row>
    <row r="208" spans="1:32" x14ac:dyDescent="0.25">
      <c r="A208" s="50">
        <v>49460</v>
      </c>
      <c r="B208" s="51">
        <v>0.6315981058642548</v>
      </c>
      <c r="C208" s="50">
        <v>49460</v>
      </c>
      <c r="D208" s="51">
        <v>0.6316108488338833</v>
      </c>
      <c r="E208" s="50">
        <v>49460</v>
      </c>
      <c r="F208" s="51">
        <v>0.82184713419203503</v>
      </c>
      <c r="G208" s="50">
        <v>49460</v>
      </c>
      <c r="H208" s="51">
        <v>0.83256495335892156</v>
      </c>
      <c r="I208" s="50">
        <v>49460</v>
      </c>
      <c r="J208" s="51">
        <v>0.3231590060810689</v>
      </c>
      <c r="K208" s="50">
        <v>49460</v>
      </c>
      <c r="L208" s="51">
        <v>0.32316353371841866</v>
      </c>
      <c r="M208" s="50">
        <v>49460</v>
      </c>
      <c r="N208" s="51">
        <v>0.20362782936332849</v>
      </c>
      <c r="O208" s="50">
        <v>49460</v>
      </c>
      <c r="P208" s="51">
        <v>0.2397751045567538</v>
      </c>
      <c r="Q208" s="50">
        <v>49460</v>
      </c>
      <c r="R208" s="51">
        <v>0.93050898660775772</v>
      </c>
      <c r="S208" s="50">
        <v>49460</v>
      </c>
      <c r="T208" s="51">
        <v>1.0006295224852473</v>
      </c>
      <c r="U208" s="50">
        <v>49460</v>
      </c>
      <c r="V208" s="51">
        <v>0.78443193636251796</v>
      </c>
      <c r="W208" s="50">
        <v>49460</v>
      </c>
      <c r="X208" s="51">
        <v>0.75555065722682768</v>
      </c>
      <c r="Y208" s="50">
        <v>49460</v>
      </c>
      <c r="Z208" s="51">
        <v>0.90225858992185515</v>
      </c>
      <c r="AA208" s="50">
        <v>49460</v>
      </c>
      <c r="AB208" s="51">
        <v>0.93196064735572359</v>
      </c>
      <c r="AC208" s="50">
        <v>49460</v>
      </c>
      <c r="AD208" s="51">
        <v>0.65437430002142483</v>
      </c>
      <c r="AE208" s="50">
        <v>49460</v>
      </c>
      <c r="AF208" s="51">
        <v>0.66178631945859434</v>
      </c>
    </row>
    <row r="209" spans="1:32" x14ac:dyDescent="0.25">
      <c r="A209" s="50">
        <v>49490</v>
      </c>
      <c r="B209" s="51">
        <v>0.63004772390558916</v>
      </c>
      <c r="C209" s="50">
        <v>49490</v>
      </c>
      <c r="D209" s="51">
        <v>0.63006044062434141</v>
      </c>
      <c r="E209" s="50">
        <v>49490</v>
      </c>
      <c r="F209" s="51">
        <v>0.82059792476666327</v>
      </c>
      <c r="G209" s="50">
        <v>49490</v>
      </c>
      <c r="H209" s="51">
        <v>0.8312115639560258</v>
      </c>
      <c r="I209" s="50">
        <v>49490</v>
      </c>
      <c r="J209" s="51">
        <v>0.32098918686583455</v>
      </c>
      <c r="K209" s="50">
        <v>49490</v>
      </c>
      <c r="L209" s="51">
        <v>0.32099369254214533</v>
      </c>
      <c r="M209" s="50">
        <v>49490</v>
      </c>
      <c r="N209" s="51">
        <v>0.20208741347194864</v>
      </c>
      <c r="O209" s="50">
        <v>49490</v>
      </c>
      <c r="P209" s="51">
        <v>0.23811528512984081</v>
      </c>
      <c r="Q209" s="50">
        <v>49490</v>
      </c>
      <c r="R209" s="51">
        <v>0.92968090183491681</v>
      </c>
      <c r="S209" s="50">
        <v>49490</v>
      </c>
      <c r="T209" s="51">
        <v>0.99997166275329441</v>
      </c>
      <c r="U209" s="50">
        <v>49490</v>
      </c>
      <c r="V209" s="51">
        <v>0.78335060339243823</v>
      </c>
      <c r="W209" s="50">
        <v>49490</v>
      </c>
      <c r="X209" s="51">
        <v>0.75441597851223552</v>
      </c>
      <c r="Y209" s="50">
        <v>49490</v>
      </c>
      <c r="Z209" s="51">
        <v>0.90138426410816985</v>
      </c>
      <c r="AA209" s="50">
        <v>49490</v>
      </c>
      <c r="AB209" s="51">
        <v>0.93112956118227586</v>
      </c>
      <c r="AC209" s="50">
        <v>49490</v>
      </c>
      <c r="AD209" s="51">
        <v>0.65283356997402586</v>
      </c>
      <c r="AE209" s="50">
        <v>49490</v>
      </c>
      <c r="AF209" s="51">
        <v>0.6603204689722193</v>
      </c>
    </row>
    <row r="210" spans="1:32" x14ac:dyDescent="0.25">
      <c r="A210" s="50">
        <v>49521</v>
      </c>
      <c r="B210" s="51">
        <v>0.62848621325510901</v>
      </c>
      <c r="C210" s="50">
        <v>49521</v>
      </c>
      <c r="D210" s="51">
        <v>0.62849890359679295</v>
      </c>
      <c r="E210" s="50">
        <v>49521</v>
      </c>
      <c r="F210" s="51">
        <v>0.81930707502711242</v>
      </c>
      <c r="G210" s="50">
        <v>49521</v>
      </c>
      <c r="H210" s="51">
        <v>0.82981306157303358</v>
      </c>
      <c r="I210" s="50">
        <v>49521</v>
      </c>
      <c r="J210" s="51">
        <v>0.31879512195529081</v>
      </c>
      <c r="K210" s="50">
        <v>49521</v>
      </c>
      <c r="L210" s="51">
        <v>0.31879960547401798</v>
      </c>
      <c r="M210" s="50">
        <v>49521</v>
      </c>
      <c r="N210" s="51">
        <v>0.20049565038418946</v>
      </c>
      <c r="O210" s="50">
        <v>49521</v>
      </c>
      <c r="P210" s="51">
        <v>0.23640013838869739</v>
      </c>
      <c r="Q210" s="50">
        <v>49521</v>
      </c>
      <c r="R210" s="51">
        <v>0.92880715179157836</v>
      </c>
      <c r="S210" s="50">
        <v>49521</v>
      </c>
      <c r="T210" s="51">
        <v>0.99925161341911406</v>
      </c>
      <c r="U210" s="50">
        <v>49521</v>
      </c>
      <c r="V210" s="51">
        <v>0.78226055648607573</v>
      </c>
      <c r="W210" s="50">
        <v>49521</v>
      </c>
      <c r="X210" s="51">
        <v>0.7532783106422849</v>
      </c>
      <c r="Y210" s="50">
        <v>49521</v>
      </c>
      <c r="Z210" s="51">
        <v>0.90048079410069504</v>
      </c>
      <c r="AA210" s="50">
        <v>49521</v>
      </c>
      <c r="AB210" s="51">
        <v>0.93027077213637988</v>
      </c>
      <c r="AC210" s="50">
        <v>49521</v>
      </c>
      <c r="AD210" s="51">
        <v>0.65129147664277776</v>
      </c>
      <c r="AE210" s="50">
        <v>49521</v>
      </c>
      <c r="AF210" s="51">
        <v>0.65885635590966796</v>
      </c>
    </row>
    <row r="211" spans="1:32" x14ac:dyDescent="0.25">
      <c r="A211" s="50">
        <v>49552</v>
      </c>
      <c r="B211" s="51">
        <v>0.62692605429485582</v>
      </c>
      <c r="C211" s="50">
        <v>49552</v>
      </c>
      <c r="D211" s="51">
        <v>0.62693871828443259</v>
      </c>
      <c r="E211" s="50">
        <v>49552</v>
      </c>
      <c r="F211" s="51">
        <v>0.81801622528756157</v>
      </c>
      <c r="G211" s="50">
        <v>49552</v>
      </c>
      <c r="H211" s="51">
        <v>0.82841455919004126</v>
      </c>
      <c r="I211" s="50">
        <v>49552</v>
      </c>
      <c r="J211" s="51">
        <v>0.31660265976514262</v>
      </c>
      <c r="K211" s="50">
        <v>49552</v>
      </c>
      <c r="L211" s="51">
        <v>0.31660712114413575</v>
      </c>
      <c r="M211" s="50">
        <v>49552</v>
      </c>
      <c r="N211" s="51">
        <v>0.19890388729643027</v>
      </c>
      <c r="O211" s="50">
        <v>49552</v>
      </c>
      <c r="P211" s="51">
        <v>0.23468499164755396</v>
      </c>
      <c r="Q211" s="50">
        <v>49552</v>
      </c>
      <c r="R211" s="51">
        <v>0.92793279966674858</v>
      </c>
      <c r="S211" s="50">
        <v>49552</v>
      </c>
      <c r="T211" s="51">
        <v>0.99853022205345043</v>
      </c>
      <c r="U211" s="50">
        <v>49552</v>
      </c>
      <c r="V211" s="51">
        <v>0.78117142059624833</v>
      </c>
      <c r="W211" s="50">
        <v>49552</v>
      </c>
      <c r="X211" s="51">
        <v>0.75214180388794971</v>
      </c>
      <c r="Y211" s="50">
        <v>49552</v>
      </c>
      <c r="Z211" s="51">
        <v>0.89957732409322033</v>
      </c>
      <c r="AA211" s="50">
        <v>49552</v>
      </c>
      <c r="AB211" s="51">
        <v>0.9294119830904839</v>
      </c>
      <c r="AC211" s="50">
        <v>49552</v>
      </c>
      <c r="AD211" s="51">
        <v>0.64975104979100951</v>
      </c>
      <c r="AE211" s="50">
        <v>49552</v>
      </c>
      <c r="AF211" s="51">
        <v>0.65739392948400677</v>
      </c>
    </row>
    <row r="212" spans="1:32" x14ac:dyDescent="0.25">
      <c r="A212" s="50">
        <v>49582</v>
      </c>
      <c r="B212" s="51">
        <v>0.62541622304299793</v>
      </c>
      <c r="C212" s="50">
        <v>49582</v>
      </c>
      <c r="D212" s="51">
        <v>0.62542886153053556</v>
      </c>
      <c r="E212" s="50">
        <v>49582</v>
      </c>
      <c r="F212" s="51">
        <v>0.8167670158621898</v>
      </c>
      <c r="G212" s="50">
        <v>49582</v>
      </c>
      <c r="H212" s="51">
        <v>0.8270611697871455</v>
      </c>
      <c r="I212" s="50">
        <v>49582</v>
      </c>
      <c r="J212" s="51">
        <v>0.31448092216177337</v>
      </c>
      <c r="K212" s="50">
        <v>49582</v>
      </c>
      <c r="L212" s="51">
        <v>0.31448536211521749</v>
      </c>
      <c r="M212" s="50">
        <v>49582</v>
      </c>
      <c r="N212" s="51">
        <v>0.19736347140505042</v>
      </c>
      <c r="O212" s="50">
        <v>49582</v>
      </c>
      <c r="P212" s="51">
        <v>0.23302517222064101</v>
      </c>
      <c r="Q212" s="50">
        <v>49582</v>
      </c>
      <c r="R212" s="51">
        <v>0.92708665244917143</v>
      </c>
      <c r="S212" s="50">
        <v>49582</v>
      </c>
      <c r="T212" s="51">
        <v>0.99783210137700185</v>
      </c>
      <c r="U212" s="50">
        <v>49582</v>
      </c>
      <c r="V212" s="51">
        <v>0.7801174181222218</v>
      </c>
      <c r="W212" s="50">
        <v>49582</v>
      </c>
      <c r="X212" s="51">
        <v>0.75104195864181889</v>
      </c>
      <c r="Y212" s="50">
        <v>49582</v>
      </c>
      <c r="Z212" s="51">
        <v>0.89870299827953504</v>
      </c>
      <c r="AA212" s="50">
        <v>49582</v>
      </c>
      <c r="AB212" s="51">
        <v>0.92858089691703605</v>
      </c>
      <c r="AC212" s="50">
        <v>49582</v>
      </c>
      <c r="AD212" s="51">
        <v>0.648260314128008</v>
      </c>
      <c r="AE212" s="50">
        <v>49582</v>
      </c>
      <c r="AF212" s="51">
        <v>0.65597867810433474</v>
      </c>
    </row>
    <row r="213" spans="1:32" x14ac:dyDescent="0.25">
      <c r="A213" s="50">
        <v>49613</v>
      </c>
      <c r="B213" s="51">
        <v>0.62385606408274463</v>
      </c>
      <c r="C213" s="50">
        <v>49613</v>
      </c>
      <c r="D213" s="51">
        <v>0.62386867621817532</v>
      </c>
      <c r="E213" s="50">
        <v>49613</v>
      </c>
      <c r="F213" s="51">
        <v>0.81547616612263907</v>
      </c>
      <c r="G213" s="50">
        <v>49613</v>
      </c>
      <c r="H213" s="51">
        <v>0.82566266740415328</v>
      </c>
      <c r="I213" s="50">
        <v>49613</v>
      </c>
      <c r="J213" s="51">
        <v>0.31233505906209963</v>
      </c>
      <c r="K213" s="50">
        <v>49613</v>
      </c>
      <c r="L213" s="51">
        <v>0.31233947739498213</v>
      </c>
      <c r="M213" s="50">
        <v>49613</v>
      </c>
      <c r="N213" s="51">
        <v>0.19577170831729124</v>
      </c>
      <c r="O213" s="50">
        <v>49613</v>
      </c>
      <c r="P213" s="51">
        <v>0.23131002547949758</v>
      </c>
      <c r="Q213" s="50">
        <v>49613</v>
      </c>
      <c r="R213" s="51">
        <v>0.92621230032434165</v>
      </c>
      <c r="S213" s="50">
        <v>49613</v>
      </c>
      <c r="T213" s="51">
        <v>0.99711071001133833</v>
      </c>
      <c r="U213" s="50">
        <v>49613</v>
      </c>
      <c r="V213" s="51">
        <v>0.7790282822323944</v>
      </c>
      <c r="W213" s="50">
        <v>49613</v>
      </c>
      <c r="X213" s="51">
        <v>0.74990545188748381</v>
      </c>
      <c r="Y213" s="50">
        <v>49613</v>
      </c>
      <c r="Z213" s="51">
        <v>0.89779952827206022</v>
      </c>
      <c r="AA213" s="50">
        <v>49613</v>
      </c>
      <c r="AB213" s="51">
        <v>0.92772210787114007</v>
      </c>
      <c r="AC213" s="50">
        <v>49613</v>
      </c>
      <c r="AD213" s="51">
        <v>0.64671988727623975</v>
      </c>
      <c r="AE213" s="50">
        <v>49613</v>
      </c>
      <c r="AF213" s="51">
        <v>0.65451625167867356</v>
      </c>
    </row>
    <row r="214" spans="1:32" x14ac:dyDescent="0.25">
      <c r="A214" s="50">
        <v>49643</v>
      </c>
      <c r="B214" s="51">
        <v>0.62234623283088675</v>
      </c>
      <c r="C214" s="50">
        <v>49643</v>
      </c>
      <c r="D214" s="51">
        <v>0.62235881946427829</v>
      </c>
      <c r="E214" s="50">
        <v>49643</v>
      </c>
      <c r="F214" s="51">
        <v>0.8142269566972673</v>
      </c>
      <c r="G214" s="50">
        <v>49643</v>
      </c>
      <c r="H214" s="51">
        <v>0.82430927800125753</v>
      </c>
      <c r="I214" s="50">
        <v>49643</v>
      </c>
      <c r="J214" s="51">
        <v>0.31025992054920482</v>
      </c>
      <c r="K214" s="50">
        <v>49643</v>
      </c>
      <c r="L214" s="51">
        <v>0.31026431797571075</v>
      </c>
      <c r="M214" s="50">
        <v>49643</v>
      </c>
      <c r="N214" s="51">
        <v>0.19423129242591139</v>
      </c>
      <c r="O214" s="50">
        <v>49643</v>
      </c>
      <c r="P214" s="51">
        <v>0.2296502060525846</v>
      </c>
      <c r="Q214" s="50">
        <v>49643</v>
      </c>
      <c r="R214" s="51">
        <v>0.92536615310676451</v>
      </c>
      <c r="S214" s="50">
        <v>49643</v>
      </c>
      <c r="T214" s="51">
        <v>0.99641258933488974</v>
      </c>
      <c r="U214" s="50">
        <v>49643</v>
      </c>
      <c r="V214" s="51">
        <v>0.77797427975836786</v>
      </c>
      <c r="W214" s="50">
        <v>49643</v>
      </c>
      <c r="X214" s="51">
        <v>0.74880560664135298</v>
      </c>
      <c r="Y214" s="50">
        <v>49643</v>
      </c>
      <c r="Z214" s="51">
        <v>0.89692520245837493</v>
      </c>
      <c r="AA214" s="50">
        <v>49643</v>
      </c>
      <c r="AB214" s="51">
        <v>0.92689102169769233</v>
      </c>
      <c r="AC214" s="50">
        <v>49643</v>
      </c>
      <c r="AD214" s="51">
        <v>0.64522915161323824</v>
      </c>
      <c r="AE214" s="50">
        <v>49643</v>
      </c>
      <c r="AF214" s="51">
        <v>0.65310100029900142</v>
      </c>
    </row>
    <row r="215" spans="1:32" x14ac:dyDescent="0.25">
      <c r="A215" s="50">
        <v>49674</v>
      </c>
      <c r="B215" s="51">
        <v>0.62078607387063356</v>
      </c>
      <c r="C215" s="50">
        <v>49674</v>
      </c>
      <c r="D215" s="51">
        <v>0.62079863415191794</v>
      </c>
      <c r="E215" s="50">
        <v>49674</v>
      </c>
      <c r="F215" s="51">
        <v>0.81293610695771645</v>
      </c>
      <c r="G215" s="50">
        <v>49674</v>
      </c>
      <c r="H215" s="51">
        <v>0.82291077561826531</v>
      </c>
      <c r="I215" s="50">
        <v>49674</v>
      </c>
      <c r="J215" s="51">
        <v>0.3081156107525469</v>
      </c>
      <c r="K215" s="50">
        <v>49674</v>
      </c>
      <c r="L215" s="51">
        <v>0.30811998657579698</v>
      </c>
      <c r="M215" s="50">
        <v>49674</v>
      </c>
      <c r="N215" s="51">
        <v>0.1926395293381522</v>
      </c>
      <c r="O215" s="50">
        <v>49674</v>
      </c>
      <c r="P215" s="51">
        <v>0.22793505931144117</v>
      </c>
      <c r="Q215" s="50">
        <v>49674</v>
      </c>
      <c r="R215" s="51">
        <v>0.92449180098193473</v>
      </c>
      <c r="S215" s="50">
        <v>49674</v>
      </c>
      <c r="T215" s="51">
        <v>0.99569119796922612</v>
      </c>
      <c r="U215" s="50">
        <v>49674</v>
      </c>
      <c r="V215" s="51">
        <v>0.77688514386854046</v>
      </c>
      <c r="W215" s="50">
        <v>49674</v>
      </c>
      <c r="X215" s="51">
        <v>0.7476690998870178</v>
      </c>
      <c r="Y215" s="50">
        <v>49674</v>
      </c>
      <c r="Z215" s="51">
        <v>0.89602173245090011</v>
      </c>
      <c r="AA215" s="50">
        <v>49674</v>
      </c>
      <c r="AB215" s="51">
        <v>0.92603223265179635</v>
      </c>
      <c r="AC215" s="50">
        <v>49674</v>
      </c>
      <c r="AD215" s="51">
        <v>0.64368872476146999</v>
      </c>
      <c r="AE215" s="50">
        <v>49674</v>
      </c>
      <c r="AF215" s="51">
        <v>0.65163857387334023</v>
      </c>
    </row>
    <row r="216" spans="1:32" x14ac:dyDescent="0.25">
      <c r="A216" s="50">
        <v>49705</v>
      </c>
      <c r="B216" s="51">
        <v>0.61928331336511844</v>
      </c>
      <c r="C216" s="50">
        <v>49705</v>
      </c>
      <c r="D216" s="51">
        <v>0.61929584545648042</v>
      </c>
      <c r="E216" s="50">
        <v>49705</v>
      </c>
      <c r="F216" s="51">
        <v>0.81177506953962464</v>
      </c>
      <c r="G216" s="50">
        <v>49705</v>
      </c>
      <c r="H216" s="51">
        <v>0.82162853964057092</v>
      </c>
      <c r="I216" s="50">
        <v>49705</v>
      </c>
      <c r="J216" s="51">
        <v>0.30598149393050006</v>
      </c>
      <c r="K216" s="50">
        <v>49705</v>
      </c>
      <c r="L216" s="51">
        <v>0.30598584814798879</v>
      </c>
      <c r="M216" s="50">
        <v>49705</v>
      </c>
      <c r="N216" s="51">
        <v>0.19104776625039302</v>
      </c>
      <c r="O216" s="50">
        <v>49705</v>
      </c>
      <c r="P216" s="51">
        <v>0.22621991257029775</v>
      </c>
      <c r="Q216" s="50">
        <v>49705</v>
      </c>
      <c r="R216" s="51">
        <v>0.92367457518351037</v>
      </c>
      <c r="S216" s="50">
        <v>49705</v>
      </c>
      <c r="T216" s="51">
        <v>0.99502515113060042</v>
      </c>
      <c r="U216" s="50">
        <v>49705</v>
      </c>
      <c r="V216" s="51">
        <v>0.77583188663346236</v>
      </c>
      <c r="W216" s="50">
        <v>49705</v>
      </c>
      <c r="X216" s="51">
        <v>0.74656967633962268</v>
      </c>
      <c r="Y216" s="50">
        <v>49705</v>
      </c>
      <c r="Z216" s="51">
        <v>0.89507846481296927</v>
      </c>
      <c r="AA216" s="50">
        <v>49705</v>
      </c>
      <c r="AB216" s="51">
        <v>0.92512076808321431</v>
      </c>
      <c r="AC216" s="50">
        <v>49705</v>
      </c>
      <c r="AD216" s="51">
        <v>0.64213128898414817</v>
      </c>
      <c r="AE216" s="50">
        <v>49705</v>
      </c>
      <c r="AF216" s="51">
        <v>0.65016066229036151</v>
      </c>
    </row>
    <row r="217" spans="1:32" x14ac:dyDescent="0.25">
      <c r="A217" s="50">
        <v>49734</v>
      </c>
      <c r="B217" s="51">
        <v>0.61787929499456928</v>
      </c>
      <c r="C217" s="50">
        <v>49734</v>
      </c>
      <c r="D217" s="51">
        <v>0.61789180065740523</v>
      </c>
      <c r="E217" s="50">
        <v>49734</v>
      </c>
      <c r="F217" s="51">
        <v>0.81069298567250903</v>
      </c>
      <c r="G217" s="50">
        <v>49734</v>
      </c>
      <c r="H217" s="51">
        <v>0.82043265407622634</v>
      </c>
      <c r="I217" s="50">
        <v>49734</v>
      </c>
      <c r="J217" s="51">
        <v>0.30398537991015911</v>
      </c>
      <c r="K217" s="50">
        <v>49734</v>
      </c>
      <c r="L217" s="51">
        <v>0.30398971391572849</v>
      </c>
      <c r="M217" s="50">
        <v>49734</v>
      </c>
      <c r="N217" s="51">
        <v>0.18955869755539251</v>
      </c>
      <c r="O217" s="50">
        <v>49734</v>
      </c>
      <c r="P217" s="51">
        <v>0.22461542045761521</v>
      </c>
      <c r="Q217" s="50">
        <v>49734</v>
      </c>
      <c r="R217" s="51">
        <v>0.92291185498871098</v>
      </c>
      <c r="S217" s="50">
        <v>49734</v>
      </c>
      <c r="T217" s="51">
        <v>0.99440380085283664</v>
      </c>
      <c r="U217" s="50">
        <v>49734</v>
      </c>
      <c r="V217" s="51">
        <v>0.77484770027482774</v>
      </c>
      <c r="W217" s="50">
        <v>49734</v>
      </c>
      <c r="X217" s="51">
        <v>0.74554233970173833</v>
      </c>
      <c r="Y217" s="50">
        <v>49734</v>
      </c>
      <c r="Z217" s="51">
        <v>0.89419481215029928</v>
      </c>
      <c r="AA217" s="50">
        <v>49734</v>
      </c>
      <c r="AB217" s="51">
        <v>0.92426646511028487</v>
      </c>
      <c r="AC217" s="50">
        <v>49734</v>
      </c>
      <c r="AD217" s="51">
        <v>0.640673802548545</v>
      </c>
      <c r="AE217" s="50">
        <v>49734</v>
      </c>
      <c r="AF217" s="51">
        <v>0.64877761697127156</v>
      </c>
    </row>
    <row r="218" spans="1:32" x14ac:dyDescent="0.25">
      <c r="A218" s="50">
        <v>49765</v>
      </c>
      <c r="B218" s="51">
        <v>0.61637844777087869</v>
      </c>
      <c r="C218" s="50">
        <v>49765</v>
      </c>
      <c r="D218" s="51">
        <v>0.6163909251825318</v>
      </c>
      <c r="E218" s="50">
        <v>49765</v>
      </c>
      <c r="F218" s="51">
        <v>0.80953627533179917</v>
      </c>
      <c r="G218" s="50">
        <v>49765</v>
      </c>
      <c r="H218" s="51">
        <v>0.81915429364537518</v>
      </c>
      <c r="I218" s="50">
        <v>49765</v>
      </c>
      <c r="J218" s="51">
        <v>0.30185160285393264</v>
      </c>
      <c r="K218" s="50">
        <v>49765</v>
      </c>
      <c r="L218" s="51">
        <v>0.30185591525365713</v>
      </c>
      <c r="M218" s="50">
        <v>49765</v>
      </c>
      <c r="N218" s="51">
        <v>0.18796693446763332</v>
      </c>
      <c r="O218" s="50">
        <v>49765</v>
      </c>
      <c r="P218" s="51">
        <v>0.22290027371647178</v>
      </c>
      <c r="Q218" s="50">
        <v>49765</v>
      </c>
      <c r="R218" s="51">
        <v>0.92209653340116671</v>
      </c>
      <c r="S218" s="50">
        <v>49765</v>
      </c>
      <c r="T218" s="51">
        <v>0.99373959883177887</v>
      </c>
      <c r="U218" s="50">
        <v>49765</v>
      </c>
      <c r="V218" s="51">
        <v>0.773795638994908</v>
      </c>
      <c r="W218" s="50">
        <v>49765</v>
      </c>
      <c r="X218" s="51">
        <v>0.74444415226124128</v>
      </c>
      <c r="Y218" s="50">
        <v>49765</v>
      </c>
      <c r="Z218" s="51">
        <v>0.89325021792468662</v>
      </c>
      <c r="AA218" s="50">
        <v>49765</v>
      </c>
      <c r="AB218" s="51">
        <v>0.9233532446909466</v>
      </c>
      <c r="AC218" s="50">
        <v>49765</v>
      </c>
      <c r="AD218" s="51">
        <v>0.63911579980703803</v>
      </c>
      <c r="AE218" s="50">
        <v>49765</v>
      </c>
      <c r="AF218" s="51">
        <v>0.64729918921638219</v>
      </c>
    </row>
    <row r="219" spans="1:32" x14ac:dyDescent="0.25">
      <c r="A219" s="50">
        <v>49795</v>
      </c>
      <c r="B219" s="51">
        <v>0.61492601497375887</v>
      </c>
      <c r="C219" s="50">
        <v>49795</v>
      </c>
      <c r="D219" s="51">
        <v>0.61493846504555749</v>
      </c>
      <c r="E219" s="50">
        <v>49795</v>
      </c>
      <c r="F219" s="51">
        <v>0.80841687822788644</v>
      </c>
      <c r="G219" s="50">
        <v>49795</v>
      </c>
      <c r="H219" s="51">
        <v>0.81791717064777736</v>
      </c>
      <c r="I219" s="50">
        <v>49795</v>
      </c>
      <c r="J219" s="51">
        <v>0.29979662777401817</v>
      </c>
      <c r="K219" s="50">
        <v>49795</v>
      </c>
      <c r="L219" s="51">
        <v>0.29980091927023861</v>
      </c>
      <c r="M219" s="50">
        <v>49795</v>
      </c>
      <c r="N219" s="51">
        <v>0.18642651857625347</v>
      </c>
      <c r="O219" s="50">
        <v>49795</v>
      </c>
      <c r="P219" s="51">
        <v>0.2212404542895588</v>
      </c>
      <c r="Q219" s="50">
        <v>49795</v>
      </c>
      <c r="R219" s="51">
        <v>0.92130751250999487</v>
      </c>
      <c r="S219" s="50">
        <v>49795</v>
      </c>
      <c r="T219" s="51">
        <v>0.9930968226823681</v>
      </c>
      <c r="U219" s="50">
        <v>49795</v>
      </c>
      <c r="V219" s="51">
        <v>0.77277751517563076</v>
      </c>
      <c r="W219" s="50">
        <v>49795</v>
      </c>
      <c r="X219" s="51">
        <v>0.74338139022205052</v>
      </c>
      <c r="Y219" s="50">
        <v>49795</v>
      </c>
      <c r="Z219" s="51">
        <v>0.89233609448054529</v>
      </c>
      <c r="AA219" s="50">
        <v>49795</v>
      </c>
      <c r="AB219" s="51">
        <v>0.92246948299481279</v>
      </c>
      <c r="AC219" s="50">
        <v>49795</v>
      </c>
      <c r="AD219" s="51">
        <v>0.63760805521848307</v>
      </c>
      <c r="AE219" s="50">
        <v>49795</v>
      </c>
      <c r="AF219" s="51">
        <v>0.64586845267939264</v>
      </c>
    </row>
    <row r="220" spans="1:32" x14ac:dyDescent="0.25">
      <c r="A220" s="50">
        <v>49826</v>
      </c>
      <c r="B220" s="51">
        <v>0.61342516775006839</v>
      </c>
      <c r="C220" s="50">
        <v>49826</v>
      </c>
      <c r="D220" s="51">
        <v>0.61343758957068395</v>
      </c>
      <c r="E220" s="50">
        <v>49826</v>
      </c>
      <c r="F220" s="51">
        <v>0.80726016788717658</v>
      </c>
      <c r="G220" s="50">
        <v>49826</v>
      </c>
      <c r="H220" s="51">
        <v>0.81663881021692619</v>
      </c>
      <c r="I220" s="50">
        <v>49826</v>
      </c>
      <c r="J220" s="51">
        <v>0.29767350879397941</v>
      </c>
      <c r="K220" s="50">
        <v>49826</v>
      </c>
      <c r="L220" s="51">
        <v>0.29767777869010403</v>
      </c>
      <c r="M220" s="50">
        <v>49826</v>
      </c>
      <c r="N220" s="51">
        <v>0.18483475548849429</v>
      </c>
      <c r="O220" s="50">
        <v>49826</v>
      </c>
      <c r="P220" s="51">
        <v>0.21952530754841537</v>
      </c>
      <c r="Q220" s="50">
        <v>49826</v>
      </c>
      <c r="R220" s="51">
        <v>0.92049219092245071</v>
      </c>
      <c r="S220" s="50">
        <v>49826</v>
      </c>
      <c r="T220" s="51">
        <v>0.99243262066131022</v>
      </c>
      <c r="U220" s="50">
        <v>49826</v>
      </c>
      <c r="V220" s="51">
        <v>0.77172545389571101</v>
      </c>
      <c r="W220" s="50">
        <v>49826</v>
      </c>
      <c r="X220" s="51">
        <v>0.74228320278155346</v>
      </c>
      <c r="Y220" s="50">
        <v>49826</v>
      </c>
      <c r="Z220" s="51">
        <v>0.89139150025493252</v>
      </c>
      <c r="AA220" s="50">
        <v>49826</v>
      </c>
      <c r="AB220" s="51">
        <v>0.92155626257547452</v>
      </c>
      <c r="AC220" s="50">
        <v>49826</v>
      </c>
      <c r="AD220" s="51">
        <v>0.6360500524769761</v>
      </c>
      <c r="AE220" s="50">
        <v>49826</v>
      </c>
      <c r="AF220" s="51">
        <v>0.64439002492450326</v>
      </c>
    </row>
    <row r="221" spans="1:32" x14ac:dyDescent="0.25">
      <c r="A221" s="50">
        <v>49856</v>
      </c>
      <c r="B221" s="51">
        <v>0.61197273495294857</v>
      </c>
      <c r="C221" s="50">
        <v>49856</v>
      </c>
      <c r="D221" s="51">
        <v>0.61198512943370964</v>
      </c>
      <c r="E221" s="50">
        <v>49856</v>
      </c>
      <c r="F221" s="51">
        <v>0.80614077078326385</v>
      </c>
      <c r="G221" s="50">
        <v>49856</v>
      </c>
      <c r="H221" s="51">
        <v>0.81540168721932837</v>
      </c>
      <c r="I221" s="50">
        <v>49856</v>
      </c>
      <c r="J221" s="51">
        <v>0.29561887752297422</v>
      </c>
      <c r="K221" s="50">
        <v>49856</v>
      </c>
      <c r="L221" s="51">
        <v>0.29562312651578021</v>
      </c>
      <c r="M221" s="50">
        <v>49856</v>
      </c>
      <c r="N221" s="51">
        <v>0.18329433959711444</v>
      </c>
      <c r="O221" s="50">
        <v>49856</v>
      </c>
      <c r="P221" s="51">
        <v>0.21786548812150239</v>
      </c>
      <c r="Q221" s="50">
        <v>49856</v>
      </c>
      <c r="R221" s="51">
        <v>0.91970317003127888</v>
      </c>
      <c r="S221" s="50">
        <v>49856</v>
      </c>
      <c r="T221" s="51">
        <v>0.99178984451189944</v>
      </c>
      <c r="U221" s="50">
        <v>49856</v>
      </c>
      <c r="V221" s="51">
        <v>0.77070733007643388</v>
      </c>
      <c r="W221" s="50">
        <v>49856</v>
      </c>
      <c r="X221" s="51">
        <v>0.74122044074236282</v>
      </c>
      <c r="Y221" s="50">
        <v>49856</v>
      </c>
      <c r="Z221" s="51">
        <v>0.8904773768107912</v>
      </c>
      <c r="AA221" s="50">
        <v>49856</v>
      </c>
      <c r="AB221" s="51">
        <v>0.92067250087934072</v>
      </c>
      <c r="AC221" s="50">
        <v>49856</v>
      </c>
      <c r="AD221" s="51">
        <v>0.63454230788842103</v>
      </c>
      <c r="AE221" s="50">
        <v>49856</v>
      </c>
      <c r="AF221" s="51">
        <v>0.64295928838751359</v>
      </c>
    </row>
    <row r="222" spans="1:32" x14ac:dyDescent="0.25">
      <c r="A222" s="50">
        <v>49887</v>
      </c>
      <c r="B222" s="51">
        <v>0.61050539031182782</v>
      </c>
      <c r="C222" s="50">
        <v>49887</v>
      </c>
      <c r="D222" s="51">
        <v>0.61051775719122769</v>
      </c>
      <c r="E222" s="50">
        <v>49887</v>
      </c>
      <c r="F222" s="51">
        <v>0.80498406044255399</v>
      </c>
      <c r="G222" s="50">
        <v>49887</v>
      </c>
      <c r="H222" s="51">
        <v>0.81412332678847721</v>
      </c>
      <c r="I222" s="50">
        <v>49887</v>
      </c>
      <c r="J222" s="51">
        <v>0.29354134024196782</v>
      </c>
      <c r="K222" s="50">
        <v>49887</v>
      </c>
      <c r="L222" s="51">
        <v>0.29354556814721788</v>
      </c>
      <c r="M222" s="50">
        <v>49887</v>
      </c>
      <c r="N222" s="51">
        <v>0.18170257650935526</v>
      </c>
      <c r="O222" s="50">
        <v>49887</v>
      </c>
      <c r="P222" s="51">
        <v>0.21615034138035899</v>
      </c>
      <c r="Q222" s="50">
        <v>49887</v>
      </c>
      <c r="R222" s="51">
        <v>0.91887569316613815</v>
      </c>
      <c r="S222" s="50">
        <v>49887</v>
      </c>
      <c r="T222" s="51">
        <v>0.99109230679553117</v>
      </c>
      <c r="U222" s="50">
        <v>49887</v>
      </c>
      <c r="V222" s="51">
        <v>0.76968455420727899</v>
      </c>
      <c r="W222" s="50">
        <v>49887</v>
      </c>
      <c r="X222" s="51">
        <v>0.74015852774969937</v>
      </c>
      <c r="Y222" s="50">
        <v>49887</v>
      </c>
      <c r="Z222" s="51">
        <v>0.88953278258517854</v>
      </c>
      <c r="AA222" s="50">
        <v>49887</v>
      </c>
      <c r="AB222" s="51">
        <v>0.91975928046000244</v>
      </c>
      <c r="AC222" s="50">
        <v>49887</v>
      </c>
      <c r="AD222" s="51">
        <v>0.63303301977123694</v>
      </c>
      <c r="AE222" s="50">
        <v>49887</v>
      </c>
      <c r="AF222" s="51">
        <v>0.64153005964705334</v>
      </c>
    </row>
    <row r="223" spans="1:32" x14ac:dyDescent="0.25">
      <c r="A223" s="50">
        <v>49918</v>
      </c>
      <c r="B223" s="51">
        <v>0.60903916242345946</v>
      </c>
      <c r="C223" s="50">
        <v>49918</v>
      </c>
      <c r="D223" s="51">
        <v>0.60905150172315881</v>
      </c>
      <c r="E223" s="50">
        <v>49918</v>
      </c>
      <c r="F223" s="51">
        <v>0.80382735010184414</v>
      </c>
      <c r="G223" s="50">
        <v>49918</v>
      </c>
      <c r="H223" s="51">
        <v>0.81284496635762615</v>
      </c>
      <c r="I223" s="50">
        <v>49918</v>
      </c>
      <c r="J223" s="51">
        <v>0.29146532235092909</v>
      </c>
      <c r="K223" s="50">
        <v>49918</v>
      </c>
      <c r="L223" s="51">
        <v>0.29146952918570801</v>
      </c>
      <c r="M223" s="50">
        <v>49918</v>
      </c>
      <c r="N223" s="51">
        <v>0.18011081342159607</v>
      </c>
      <c r="O223" s="50">
        <v>49918</v>
      </c>
      <c r="P223" s="51">
        <v>0.21443519463921557</v>
      </c>
      <c r="Q223" s="50">
        <v>49918</v>
      </c>
      <c r="R223" s="51">
        <v>0.91804781112507772</v>
      </c>
      <c r="S223" s="50">
        <v>49918</v>
      </c>
      <c r="T223" s="51">
        <v>0.9903936578893191</v>
      </c>
      <c r="U223" s="50">
        <v>49918</v>
      </c>
      <c r="V223" s="51">
        <v>0.76866275451848287</v>
      </c>
      <c r="W223" s="50">
        <v>49918</v>
      </c>
      <c r="X223" s="51">
        <v>0.7390978239052971</v>
      </c>
      <c r="Y223" s="50">
        <v>49918</v>
      </c>
      <c r="Z223" s="51">
        <v>0.88858818835956577</v>
      </c>
      <c r="AA223" s="50">
        <v>49918</v>
      </c>
      <c r="AB223" s="51">
        <v>0.91884606004066416</v>
      </c>
      <c r="AC223" s="50">
        <v>49918</v>
      </c>
      <c r="AD223" s="51">
        <v>0.63152535547486366</v>
      </c>
      <c r="AE223" s="50">
        <v>49918</v>
      </c>
      <c r="AF223" s="51">
        <v>0.64010247087374073</v>
      </c>
    </row>
    <row r="224" spans="1:32" x14ac:dyDescent="0.25">
      <c r="A224" s="50">
        <v>49948</v>
      </c>
      <c r="B224" s="51">
        <v>0.60762023220890948</v>
      </c>
      <c r="C224" s="50">
        <v>49948</v>
      </c>
      <c r="D224" s="51">
        <v>0.60763254481857598</v>
      </c>
      <c r="E224" s="50">
        <v>49948</v>
      </c>
      <c r="F224" s="51">
        <v>0.80270795299793141</v>
      </c>
      <c r="G224" s="50">
        <v>49948</v>
      </c>
      <c r="H224" s="51">
        <v>0.81160784336002834</v>
      </c>
      <c r="I224" s="50">
        <v>49948</v>
      </c>
      <c r="J224" s="51">
        <v>0.28945627277895619</v>
      </c>
      <c r="K224" s="50">
        <v>49948</v>
      </c>
      <c r="L224" s="51">
        <v>0.28946045922295649</v>
      </c>
      <c r="M224" s="50">
        <v>49948</v>
      </c>
      <c r="N224" s="51">
        <v>0.17857039753021622</v>
      </c>
      <c r="O224" s="50">
        <v>49948</v>
      </c>
      <c r="P224" s="51">
        <v>0.21277537521230258</v>
      </c>
      <c r="Q224" s="50">
        <v>49948</v>
      </c>
      <c r="R224" s="51">
        <v>0.91724663495630943</v>
      </c>
      <c r="S224" s="50">
        <v>49948</v>
      </c>
      <c r="T224" s="51">
        <v>0.98971754604459783</v>
      </c>
      <c r="U224" s="50">
        <v>49948</v>
      </c>
      <c r="V224" s="51">
        <v>0.7676739161099706</v>
      </c>
      <c r="W224" s="50">
        <v>49948</v>
      </c>
      <c r="X224" s="51">
        <v>0.73807133631394006</v>
      </c>
      <c r="Y224" s="50">
        <v>49948</v>
      </c>
      <c r="Z224" s="51">
        <v>0.88767406491542444</v>
      </c>
      <c r="AA224" s="50">
        <v>49948</v>
      </c>
      <c r="AB224" s="51">
        <v>0.91796229834453025</v>
      </c>
      <c r="AC224" s="50">
        <v>49948</v>
      </c>
      <c r="AD224" s="51">
        <v>0.63006632551063135</v>
      </c>
      <c r="AE224" s="50">
        <v>49948</v>
      </c>
      <c r="AF224" s="51">
        <v>0.63872093335118008</v>
      </c>
    </row>
    <row r="225" spans="1:32" x14ac:dyDescent="0.25">
      <c r="A225" s="50">
        <v>49979</v>
      </c>
      <c r="B225" s="51">
        <v>0.60615400432054112</v>
      </c>
      <c r="C225" s="50">
        <v>49979</v>
      </c>
      <c r="D225" s="51">
        <v>0.60616628935050709</v>
      </c>
      <c r="E225" s="50">
        <v>49979</v>
      </c>
      <c r="F225" s="51">
        <v>0.80155124265722166</v>
      </c>
      <c r="G225" s="50">
        <v>49979</v>
      </c>
      <c r="H225" s="51">
        <v>0.81032948292917717</v>
      </c>
      <c r="I225" s="50">
        <v>49979</v>
      </c>
      <c r="J225" s="51">
        <v>0.28744106140175446</v>
      </c>
      <c r="K225" s="50">
        <v>49979</v>
      </c>
      <c r="L225" s="51">
        <v>0.28744522751431917</v>
      </c>
      <c r="M225" s="50">
        <v>49979</v>
      </c>
      <c r="N225" s="51">
        <v>0.17697863444245704</v>
      </c>
      <c r="O225" s="50">
        <v>49979</v>
      </c>
      <c r="P225" s="51">
        <v>0.21106022847115916</v>
      </c>
      <c r="Q225" s="50">
        <v>49979</v>
      </c>
      <c r="R225" s="51">
        <v>0.91641875291524888</v>
      </c>
      <c r="S225" s="50">
        <v>49979</v>
      </c>
      <c r="T225" s="51">
        <v>0.98901889713838576</v>
      </c>
      <c r="U225" s="50">
        <v>49979</v>
      </c>
      <c r="V225" s="51">
        <v>0.76665211642117459</v>
      </c>
      <c r="W225" s="50">
        <v>49979</v>
      </c>
      <c r="X225" s="51">
        <v>0.7370106324695378</v>
      </c>
      <c r="Y225" s="50">
        <v>49979</v>
      </c>
      <c r="Z225" s="51">
        <v>0.88672947068981178</v>
      </c>
      <c r="AA225" s="50">
        <v>49979</v>
      </c>
      <c r="AB225" s="51">
        <v>0.91704907792519197</v>
      </c>
      <c r="AC225" s="50">
        <v>49979</v>
      </c>
      <c r="AD225" s="51">
        <v>0.62855866121425796</v>
      </c>
      <c r="AE225" s="50">
        <v>49979</v>
      </c>
      <c r="AF225" s="51">
        <v>0.63729334457786746</v>
      </c>
    </row>
    <row r="226" spans="1:32" x14ac:dyDescent="0.25">
      <c r="A226" s="50">
        <v>50009</v>
      </c>
      <c r="B226" s="51">
        <v>0.60473507410599103</v>
      </c>
      <c r="C226" s="50">
        <v>50009</v>
      </c>
      <c r="D226" s="51">
        <v>0.60474733244592427</v>
      </c>
      <c r="E226" s="50">
        <v>50009</v>
      </c>
      <c r="F226" s="51">
        <v>0.80043184555330893</v>
      </c>
      <c r="G226" s="50">
        <v>50009</v>
      </c>
      <c r="H226" s="51">
        <v>0.80909235993157935</v>
      </c>
      <c r="I226" s="50">
        <v>50009</v>
      </c>
      <c r="J226" s="51">
        <v>0.2854928183436185</v>
      </c>
      <c r="K226" s="50">
        <v>50009</v>
      </c>
      <c r="L226" s="51">
        <v>0.28549696480444031</v>
      </c>
      <c r="M226" s="50">
        <v>50009</v>
      </c>
      <c r="N226" s="51">
        <v>0.17543821855107719</v>
      </c>
      <c r="O226" s="50">
        <v>50009</v>
      </c>
      <c r="P226" s="51">
        <v>0.20940040904424617</v>
      </c>
      <c r="Q226" s="50">
        <v>50009</v>
      </c>
      <c r="R226" s="51">
        <v>0.9156175767464807</v>
      </c>
      <c r="S226" s="50">
        <v>50009</v>
      </c>
      <c r="T226" s="51">
        <v>0.98834278529366448</v>
      </c>
      <c r="U226" s="50">
        <v>50009</v>
      </c>
      <c r="V226" s="51">
        <v>0.76566327801266221</v>
      </c>
      <c r="W226" s="50">
        <v>50009</v>
      </c>
      <c r="X226" s="51">
        <v>0.73598414487818076</v>
      </c>
      <c r="Y226" s="50">
        <v>50009</v>
      </c>
      <c r="Z226" s="51">
        <v>0.88581534724567046</v>
      </c>
      <c r="AA226" s="50">
        <v>50009</v>
      </c>
      <c r="AB226" s="51">
        <v>0.91616531622905817</v>
      </c>
      <c r="AC226" s="50">
        <v>50009</v>
      </c>
      <c r="AD226" s="51">
        <v>0.62709963125002577</v>
      </c>
      <c r="AE226" s="50">
        <v>50009</v>
      </c>
      <c r="AF226" s="51">
        <v>0.63591180705530692</v>
      </c>
    </row>
    <row r="227" spans="1:32" x14ac:dyDescent="0.25">
      <c r="A227" s="50">
        <v>50040</v>
      </c>
      <c r="B227" s="51">
        <v>0.60326884621762267</v>
      </c>
      <c r="C227" s="50">
        <v>50040</v>
      </c>
      <c r="D227" s="51">
        <v>0.60328107697785538</v>
      </c>
      <c r="E227" s="50">
        <v>50040</v>
      </c>
      <c r="F227" s="51">
        <v>0.79927513521259907</v>
      </c>
      <c r="G227" s="50">
        <v>50040</v>
      </c>
      <c r="H227" s="51">
        <v>0.80781399950072819</v>
      </c>
      <c r="I227" s="50">
        <v>50040</v>
      </c>
      <c r="J227" s="51">
        <v>0.28347963385021135</v>
      </c>
      <c r="K227" s="50">
        <v>50040</v>
      </c>
      <c r="L227" s="51">
        <v>0.28348376000423214</v>
      </c>
      <c r="M227" s="50">
        <v>50040</v>
      </c>
      <c r="N227" s="51">
        <v>0.17384645546331801</v>
      </c>
      <c r="O227" s="50">
        <v>50040</v>
      </c>
      <c r="P227" s="51">
        <v>0.20768526230310275</v>
      </c>
      <c r="Q227" s="50">
        <v>50040</v>
      </c>
      <c r="R227" s="51">
        <v>0.91478969470542015</v>
      </c>
      <c r="S227" s="50">
        <v>50040</v>
      </c>
      <c r="T227" s="51">
        <v>0.98764413638745241</v>
      </c>
      <c r="U227" s="50">
        <v>50040</v>
      </c>
      <c r="V227" s="51">
        <v>0.7646414783238662</v>
      </c>
      <c r="W227" s="50">
        <v>50040</v>
      </c>
      <c r="X227" s="51">
        <v>0.73492344103377849</v>
      </c>
      <c r="Y227" s="50">
        <v>50040</v>
      </c>
      <c r="Z227" s="51">
        <v>0.88487075302005769</v>
      </c>
      <c r="AA227" s="50">
        <v>50040</v>
      </c>
      <c r="AB227" s="51">
        <v>0.91525209580971989</v>
      </c>
      <c r="AC227" s="50">
        <v>50040</v>
      </c>
      <c r="AD227" s="51">
        <v>0.62559196695365238</v>
      </c>
      <c r="AE227" s="50">
        <v>50040</v>
      </c>
      <c r="AF227" s="51">
        <v>0.63448421828199419</v>
      </c>
    </row>
    <row r="228" spans="1:32" x14ac:dyDescent="0.25">
      <c r="A228" s="50">
        <v>50071</v>
      </c>
      <c r="B228" s="51">
        <v>0.6017980001254295</v>
      </c>
      <c r="C228" s="50">
        <v>50071</v>
      </c>
      <c r="D228" s="51">
        <v>0.60181020318358147</v>
      </c>
      <c r="E228" s="50">
        <v>50071</v>
      </c>
      <c r="F228" s="51">
        <v>0.79809720677130203</v>
      </c>
      <c r="G228" s="50">
        <v>50071</v>
      </c>
      <c r="H228" s="51">
        <v>0.80650020859483451</v>
      </c>
      <c r="I228" s="50">
        <v>50071</v>
      </c>
      <c r="J228" s="51">
        <v>0.28144261646790653</v>
      </c>
      <c r="K228" s="50">
        <v>50071</v>
      </c>
      <c r="L228" s="51">
        <v>0.28144672182529645</v>
      </c>
      <c r="M228" s="50">
        <v>50071</v>
      </c>
      <c r="N228" s="51">
        <v>0.17225469237555882</v>
      </c>
      <c r="O228" s="50">
        <v>50071</v>
      </c>
      <c r="P228" s="51">
        <v>0.20597011556195932</v>
      </c>
      <c r="Q228" s="50">
        <v>50071</v>
      </c>
      <c r="R228" s="51">
        <v>0.9139282742093171</v>
      </c>
      <c r="S228" s="50">
        <v>50071</v>
      </c>
      <c r="T228" s="51">
        <v>0.98690955900814359</v>
      </c>
      <c r="U228" s="50">
        <v>50071</v>
      </c>
      <c r="V228" s="51">
        <v>0.7635930878931142</v>
      </c>
      <c r="W228" s="50">
        <v>50071</v>
      </c>
      <c r="X228" s="51">
        <v>0.73383724762403379</v>
      </c>
      <c r="Y228" s="50">
        <v>50071</v>
      </c>
      <c r="Z228" s="51">
        <v>0.88388494638644577</v>
      </c>
      <c r="AA228" s="50">
        <v>50071</v>
      </c>
      <c r="AB228" s="51">
        <v>0.91428558728880527</v>
      </c>
      <c r="AC228" s="50">
        <v>50071</v>
      </c>
      <c r="AD228" s="51">
        <v>0.62405340115442376</v>
      </c>
      <c r="AE228" s="50">
        <v>50071</v>
      </c>
      <c r="AF228" s="51">
        <v>0.63302731602535633</v>
      </c>
    </row>
    <row r="229" spans="1:32" x14ac:dyDescent="0.25">
      <c r="A229" s="50">
        <v>50099</v>
      </c>
      <c r="B229" s="51">
        <v>0.60046935493494635</v>
      </c>
      <c r="C229" s="50">
        <v>50099</v>
      </c>
      <c r="D229" s="51">
        <v>0.60048153296817941</v>
      </c>
      <c r="E229" s="50">
        <v>50099</v>
      </c>
      <c r="F229" s="51">
        <v>0.79703263258043533</v>
      </c>
      <c r="G229" s="50">
        <v>50099</v>
      </c>
      <c r="H229" s="51">
        <v>0.80531249202037014</v>
      </c>
      <c r="I229" s="50">
        <v>50099</v>
      </c>
      <c r="J229" s="51">
        <v>0.27960201225067516</v>
      </c>
      <c r="K229" s="50">
        <v>50099</v>
      </c>
      <c r="L229" s="51">
        <v>0.27960609880926385</v>
      </c>
      <c r="M229" s="50">
        <v>50099</v>
      </c>
      <c r="N229" s="51">
        <v>0.17081697087693765</v>
      </c>
      <c r="O229" s="50">
        <v>50099</v>
      </c>
      <c r="P229" s="51">
        <v>0.20442095076350722</v>
      </c>
      <c r="Q229" s="50">
        <v>50099</v>
      </c>
      <c r="R229" s="51">
        <v>0.91314920722709358</v>
      </c>
      <c r="S229" s="50">
        <v>50099</v>
      </c>
      <c r="T229" s="51">
        <v>0.98624498804484662</v>
      </c>
      <c r="U229" s="50">
        <v>50099</v>
      </c>
      <c r="V229" s="51">
        <v>0.76264535401934375</v>
      </c>
      <c r="W229" s="50">
        <v>50099</v>
      </c>
      <c r="X229" s="51">
        <v>0.7328554022777809</v>
      </c>
      <c r="Y229" s="50">
        <v>50099</v>
      </c>
      <c r="Z229" s="51">
        <v>0.8829932995911145</v>
      </c>
      <c r="AA229" s="50">
        <v>50099</v>
      </c>
      <c r="AB229" s="51">
        <v>0.91341100747760928</v>
      </c>
      <c r="AC229" s="50">
        <v>50099</v>
      </c>
      <c r="AD229" s="51">
        <v>0.62266279845180861</v>
      </c>
      <c r="AE229" s="50">
        <v>50099</v>
      </c>
      <c r="AF229" s="51">
        <v>0.63171052175319609</v>
      </c>
    </row>
    <row r="230" spans="1:32" x14ac:dyDescent="0.25">
      <c r="A230" s="50">
        <v>50130</v>
      </c>
      <c r="B230" s="51">
        <v>0.59899835490262565</v>
      </c>
      <c r="C230" s="50">
        <v>50130</v>
      </c>
      <c r="D230" s="51">
        <v>0.59901050522969856</v>
      </c>
      <c r="E230" s="50">
        <v>50130</v>
      </c>
      <c r="F230" s="51">
        <v>0.79585399686911873</v>
      </c>
      <c r="G230" s="50">
        <v>50130</v>
      </c>
      <c r="H230" s="51">
        <v>0.80399752009864178</v>
      </c>
      <c r="I230" s="50">
        <v>50130</v>
      </c>
      <c r="J230" s="51">
        <v>0.27756420043874036</v>
      </c>
      <c r="K230" s="50">
        <v>50130</v>
      </c>
      <c r="L230" s="51">
        <v>0.27756826618437058</v>
      </c>
      <c r="M230" s="50">
        <v>50130</v>
      </c>
      <c r="N230" s="51">
        <v>0.16922520778917846</v>
      </c>
      <c r="O230" s="50">
        <v>50130</v>
      </c>
      <c r="P230" s="51">
        <v>0.20270580402236379</v>
      </c>
      <c r="Q230" s="50">
        <v>50130</v>
      </c>
      <c r="R230" s="51">
        <v>0.9122866687824891</v>
      </c>
      <c r="S230" s="50">
        <v>50130</v>
      </c>
      <c r="T230" s="51">
        <v>0.9855092130497678</v>
      </c>
      <c r="U230" s="50">
        <v>50130</v>
      </c>
      <c r="V230" s="51">
        <v>0.76159607723052658</v>
      </c>
      <c r="W230" s="50">
        <v>50130</v>
      </c>
      <c r="X230" s="51">
        <v>0.73176835921585803</v>
      </c>
      <c r="Y230" s="50">
        <v>50130</v>
      </c>
      <c r="Z230" s="51">
        <v>0.88200611921056926</v>
      </c>
      <c r="AA230" s="50">
        <v>50130</v>
      </c>
      <c r="AB230" s="51">
        <v>0.91244272268664217</v>
      </c>
      <c r="AC230" s="50">
        <v>50130</v>
      </c>
      <c r="AD230" s="51">
        <v>0.62112320260248477</v>
      </c>
      <c r="AE230" s="50">
        <v>50130</v>
      </c>
      <c r="AF230" s="51">
        <v>0.63025264238044731</v>
      </c>
    </row>
    <row r="231" spans="1:32" x14ac:dyDescent="0.25">
      <c r="A231" s="50">
        <v>50160</v>
      </c>
      <c r="B231" s="51">
        <v>0.59757480648425076</v>
      </c>
      <c r="C231" s="50">
        <v>50160</v>
      </c>
      <c r="D231" s="51">
        <v>0.59758692999891072</v>
      </c>
      <c r="E231" s="50">
        <v>50160</v>
      </c>
      <c r="F231" s="51">
        <v>0.7947133816646188</v>
      </c>
      <c r="G231" s="50">
        <v>50160</v>
      </c>
      <c r="H231" s="51">
        <v>0.80272496662600135</v>
      </c>
      <c r="I231" s="50">
        <v>50160</v>
      </c>
      <c r="J231" s="51">
        <v>0.27561869712847514</v>
      </c>
      <c r="K231" s="50">
        <v>50160</v>
      </c>
      <c r="L231" s="51">
        <v>0.27562274298127099</v>
      </c>
      <c r="M231" s="50">
        <v>50160</v>
      </c>
      <c r="N231" s="51">
        <v>0.16768479189779861</v>
      </c>
      <c r="O231" s="50">
        <v>50160</v>
      </c>
      <c r="P231" s="51">
        <v>0.20104598459545081</v>
      </c>
      <c r="Q231" s="50">
        <v>50160</v>
      </c>
      <c r="R231" s="51">
        <v>0.9114519541586783</v>
      </c>
      <c r="S231" s="50">
        <v>50160</v>
      </c>
      <c r="T231" s="51">
        <v>0.98479717273194955</v>
      </c>
      <c r="U231" s="50">
        <v>50160</v>
      </c>
      <c r="V231" s="51">
        <v>0.76058064808005832</v>
      </c>
      <c r="W231" s="50">
        <v>50160</v>
      </c>
      <c r="X231" s="51">
        <v>0.73071638205915856</v>
      </c>
      <c r="Y231" s="50">
        <v>50160</v>
      </c>
      <c r="Z231" s="51">
        <v>0.88105078335842857</v>
      </c>
      <c r="AA231" s="50">
        <v>50160</v>
      </c>
      <c r="AB231" s="51">
        <v>0.91150567288893203</v>
      </c>
      <c r="AC231" s="50">
        <v>50160</v>
      </c>
      <c r="AD231" s="51">
        <v>0.61963327113539723</v>
      </c>
      <c r="AE231" s="50">
        <v>50160</v>
      </c>
      <c r="AF231" s="51">
        <v>0.62884179137456131</v>
      </c>
    </row>
    <row r="232" spans="1:32" x14ac:dyDescent="0.25">
      <c r="A232" s="50">
        <v>50191</v>
      </c>
      <c r="B232" s="51">
        <v>0.59610380645193006</v>
      </c>
      <c r="C232" s="50">
        <v>50191</v>
      </c>
      <c r="D232" s="51">
        <v>0.59611590226042988</v>
      </c>
      <c r="E232" s="50">
        <v>50191</v>
      </c>
      <c r="F232" s="51">
        <v>0.79353474595330209</v>
      </c>
      <c r="G232" s="50">
        <v>50191</v>
      </c>
      <c r="H232" s="51">
        <v>0.80140999470427299</v>
      </c>
      <c r="I232" s="50">
        <v>50191</v>
      </c>
      <c r="J232" s="51">
        <v>0.27360929054894795</v>
      </c>
      <c r="K232" s="50">
        <v>50191</v>
      </c>
      <c r="L232" s="51">
        <v>0.27361331585467807</v>
      </c>
      <c r="M232" s="50">
        <v>50191</v>
      </c>
      <c r="N232" s="51">
        <v>0.16609302881003943</v>
      </c>
      <c r="O232" s="50">
        <v>50191</v>
      </c>
      <c r="P232" s="51">
        <v>0.19933083785430739</v>
      </c>
      <c r="Q232" s="50">
        <v>50191</v>
      </c>
      <c r="R232" s="51">
        <v>0.9105894157140737</v>
      </c>
      <c r="S232" s="50">
        <v>50191</v>
      </c>
      <c r="T232" s="51">
        <v>0.98406139773687085</v>
      </c>
      <c r="U232" s="50">
        <v>50191</v>
      </c>
      <c r="V232" s="51">
        <v>0.75953137129124104</v>
      </c>
      <c r="W232" s="50">
        <v>50191</v>
      </c>
      <c r="X232" s="51">
        <v>0.72962933899723581</v>
      </c>
      <c r="Y232" s="50">
        <v>50191</v>
      </c>
      <c r="Z232" s="51">
        <v>0.88006360297788333</v>
      </c>
      <c r="AA232" s="50">
        <v>50191</v>
      </c>
      <c r="AB232" s="51">
        <v>0.91053738809796492</v>
      </c>
      <c r="AC232" s="50">
        <v>50191</v>
      </c>
      <c r="AD232" s="51">
        <v>0.6180936752860734</v>
      </c>
      <c r="AE232" s="50">
        <v>50191</v>
      </c>
      <c r="AF232" s="51">
        <v>0.62738391200181254</v>
      </c>
    </row>
    <row r="233" spans="1:32" x14ac:dyDescent="0.25">
      <c r="A233" s="50">
        <v>50221</v>
      </c>
      <c r="B233" s="51">
        <v>0.59468025803355518</v>
      </c>
      <c r="C233" s="50">
        <v>50221</v>
      </c>
      <c r="D233" s="51">
        <v>0.59469232702964192</v>
      </c>
      <c r="E233" s="50">
        <v>50221</v>
      </c>
      <c r="F233" s="51">
        <v>0.79239413074880216</v>
      </c>
      <c r="G233" s="50">
        <v>50221</v>
      </c>
      <c r="H233" s="51">
        <v>0.80013744123163255</v>
      </c>
      <c r="I233" s="50">
        <v>50221</v>
      </c>
      <c r="J233" s="51">
        <v>0.27166470353650235</v>
      </c>
      <c r="K233" s="50">
        <v>50221</v>
      </c>
      <c r="L233" s="51">
        <v>0.27166870895797524</v>
      </c>
      <c r="M233" s="50">
        <v>50221</v>
      </c>
      <c r="N233" s="51">
        <v>0.16455261291865958</v>
      </c>
      <c r="O233" s="50">
        <v>50221</v>
      </c>
      <c r="P233" s="51">
        <v>0.19767101842739443</v>
      </c>
      <c r="Q233" s="50">
        <v>50221</v>
      </c>
      <c r="R233" s="51">
        <v>0.90975470109026291</v>
      </c>
      <c r="S233" s="50">
        <v>50221</v>
      </c>
      <c r="T233" s="51">
        <v>0.98334935741905261</v>
      </c>
      <c r="U233" s="50">
        <v>50221</v>
      </c>
      <c r="V233" s="51">
        <v>0.75851594214077278</v>
      </c>
      <c r="W233" s="50">
        <v>50221</v>
      </c>
      <c r="X233" s="51">
        <v>0.72857736184053623</v>
      </c>
      <c r="Y233" s="50">
        <v>50221</v>
      </c>
      <c r="Z233" s="51">
        <v>0.87910826712574275</v>
      </c>
      <c r="AA233" s="50">
        <v>50221</v>
      </c>
      <c r="AB233" s="51">
        <v>0.90960033830025488</v>
      </c>
      <c r="AC233" s="50">
        <v>50221</v>
      </c>
      <c r="AD233" s="51">
        <v>0.61660374381898586</v>
      </c>
      <c r="AE233" s="50">
        <v>50221</v>
      </c>
      <c r="AF233" s="51">
        <v>0.62597306099592664</v>
      </c>
    </row>
    <row r="234" spans="1:32" x14ac:dyDescent="0.25">
      <c r="A234" s="50">
        <v>50252</v>
      </c>
      <c r="B234" s="51">
        <v>0.59324951743068532</v>
      </c>
      <c r="C234" s="50">
        <v>50252</v>
      </c>
      <c r="D234" s="51">
        <v>0.59326155950889992</v>
      </c>
      <c r="E234" s="50">
        <v>50252</v>
      </c>
      <c r="F234" s="51">
        <v>0.79121549503748556</v>
      </c>
      <c r="G234" s="50">
        <v>50252</v>
      </c>
      <c r="H234" s="51">
        <v>0.79882246930990419</v>
      </c>
      <c r="I234" s="50">
        <v>50252</v>
      </c>
      <c r="J234" s="51">
        <v>0.26969846456781948</v>
      </c>
      <c r="K234" s="50">
        <v>50252</v>
      </c>
      <c r="L234" s="51">
        <v>0.26970244993241477</v>
      </c>
      <c r="M234" s="50">
        <v>50252</v>
      </c>
      <c r="N234" s="51">
        <v>0.16296084983090039</v>
      </c>
      <c r="O234" s="50">
        <v>50252</v>
      </c>
      <c r="P234" s="51">
        <v>0.195955871686251</v>
      </c>
      <c r="Q234" s="50">
        <v>50252</v>
      </c>
      <c r="R234" s="51">
        <v>0.90888312833804741</v>
      </c>
      <c r="S234" s="50">
        <v>50252</v>
      </c>
      <c r="T234" s="51">
        <v>0.98258204734414767</v>
      </c>
      <c r="U234" s="50">
        <v>50252</v>
      </c>
      <c r="V234" s="51">
        <v>0.75750084463340528</v>
      </c>
      <c r="W234" s="50">
        <v>50252</v>
      </c>
      <c r="X234" s="51">
        <v>0.72753171146038265</v>
      </c>
      <c r="Y234" s="50">
        <v>50252</v>
      </c>
      <c r="Z234" s="51">
        <v>0.8781210867451974</v>
      </c>
      <c r="AA234" s="50">
        <v>50252</v>
      </c>
      <c r="AB234" s="51">
        <v>0.90863205350928777</v>
      </c>
      <c r="AC234" s="50">
        <v>50252</v>
      </c>
      <c r="AD234" s="51">
        <v>0.61511931570596112</v>
      </c>
      <c r="AE234" s="50">
        <v>50252</v>
      </c>
      <c r="AF234" s="51">
        <v>0.62457060574094592</v>
      </c>
    </row>
    <row r="235" spans="1:32" x14ac:dyDescent="0.25">
      <c r="A235" s="50">
        <v>50283</v>
      </c>
      <c r="B235" s="51">
        <v>0.59182011880879715</v>
      </c>
      <c r="C235" s="50">
        <v>50283</v>
      </c>
      <c r="D235" s="51">
        <v>0.59183213399541579</v>
      </c>
      <c r="E235" s="50">
        <v>50283</v>
      </c>
      <c r="F235" s="51">
        <v>0.79003685932616885</v>
      </c>
      <c r="G235" s="50">
        <v>50283</v>
      </c>
      <c r="H235" s="51">
        <v>0.79750749738817572</v>
      </c>
      <c r="I235" s="50">
        <v>50283</v>
      </c>
      <c r="J235" s="51">
        <v>0.26773366451949815</v>
      </c>
      <c r="K235" s="50">
        <v>50283</v>
      </c>
      <c r="L235" s="51">
        <v>0.26773762984355537</v>
      </c>
      <c r="M235" s="50">
        <v>50283</v>
      </c>
      <c r="N235" s="51">
        <v>0.16136908674314121</v>
      </c>
      <c r="O235" s="50">
        <v>50283</v>
      </c>
      <c r="P235" s="51">
        <v>0.19424072494510758</v>
      </c>
      <c r="Q235" s="50">
        <v>50283</v>
      </c>
      <c r="R235" s="51">
        <v>0.90801125444224495</v>
      </c>
      <c r="S235" s="50">
        <v>50283</v>
      </c>
      <c r="T235" s="51">
        <v>0.98181368609991504</v>
      </c>
      <c r="U235" s="50">
        <v>50283</v>
      </c>
      <c r="V235" s="51">
        <v>0.7564868864354195</v>
      </c>
      <c r="W235" s="50">
        <v>50283</v>
      </c>
      <c r="X235" s="51">
        <v>0.72648744083628802</v>
      </c>
      <c r="Y235" s="50">
        <v>50283</v>
      </c>
      <c r="Z235" s="51">
        <v>0.87713390636465216</v>
      </c>
      <c r="AA235" s="50">
        <v>50283</v>
      </c>
      <c r="AB235" s="51">
        <v>0.90766376871832066</v>
      </c>
      <c r="AC235" s="50">
        <v>50283</v>
      </c>
      <c r="AD235" s="51">
        <v>0.6136367265174798</v>
      </c>
      <c r="AE235" s="50">
        <v>50283</v>
      </c>
      <c r="AF235" s="51">
        <v>0.62316999795655748</v>
      </c>
    </row>
    <row r="236" spans="1:32" x14ac:dyDescent="0.25">
      <c r="A236" s="50">
        <v>50313</v>
      </c>
      <c r="B236" s="51">
        <v>0.59043682981987311</v>
      </c>
      <c r="C236" s="50">
        <v>50313</v>
      </c>
      <c r="D236" s="51">
        <v>0.59044881898236667</v>
      </c>
      <c r="E236" s="50">
        <v>50313</v>
      </c>
      <c r="F236" s="51">
        <v>0.78889624412166892</v>
      </c>
      <c r="G236" s="50">
        <v>50313</v>
      </c>
      <c r="H236" s="51">
        <v>0.79623494391553529</v>
      </c>
      <c r="I236" s="50">
        <v>50313</v>
      </c>
      <c r="J236" s="51">
        <v>0.26583224511789688</v>
      </c>
      <c r="K236" s="50">
        <v>50313</v>
      </c>
      <c r="L236" s="51">
        <v>0.26583619104788497</v>
      </c>
      <c r="M236" s="50">
        <v>50313</v>
      </c>
      <c r="N236" s="51">
        <v>0.15982867085176133</v>
      </c>
      <c r="O236" s="50">
        <v>50313</v>
      </c>
      <c r="P236" s="51">
        <v>0.1925809055181946</v>
      </c>
      <c r="Q236" s="50">
        <v>50313</v>
      </c>
      <c r="R236" s="51">
        <v>0.90716750551082315</v>
      </c>
      <c r="S236" s="50">
        <v>50313</v>
      </c>
      <c r="T236" s="51">
        <v>0.98107011070227068</v>
      </c>
      <c r="U236" s="50">
        <v>50313</v>
      </c>
      <c r="V236" s="51">
        <v>0.75550563656640091</v>
      </c>
      <c r="W236" s="50">
        <v>50313</v>
      </c>
      <c r="X236" s="51">
        <v>0.72547685636135784</v>
      </c>
      <c r="Y236" s="50">
        <v>50313</v>
      </c>
      <c r="Z236" s="51">
        <v>0.87617857051251147</v>
      </c>
      <c r="AA236" s="50">
        <v>50313</v>
      </c>
      <c r="AB236" s="51">
        <v>0.90672671892061063</v>
      </c>
      <c r="AC236" s="50">
        <v>50313</v>
      </c>
      <c r="AD236" s="51">
        <v>0.61220196278669148</v>
      </c>
      <c r="AE236" s="50">
        <v>50313</v>
      </c>
      <c r="AF236" s="51">
        <v>0.62181457106843963</v>
      </c>
    </row>
    <row r="237" spans="1:32" x14ac:dyDescent="0.25">
      <c r="A237" s="50">
        <v>50344</v>
      </c>
      <c r="B237" s="51">
        <v>0.58900743119798493</v>
      </c>
      <c r="C237" s="50">
        <v>50344</v>
      </c>
      <c r="D237" s="51">
        <v>0.58901939346888255</v>
      </c>
      <c r="E237" s="50">
        <v>50344</v>
      </c>
      <c r="F237" s="51">
        <v>0.78771760841035232</v>
      </c>
      <c r="G237" s="50">
        <v>50344</v>
      </c>
      <c r="H237" s="51">
        <v>0.79491997199380693</v>
      </c>
      <c r="I237" s="50">
        <v>50344</v>
      </c>
      <c r="J237" s="51">
        <v>0.2639246463500981</v>
      </c>
      <c r="K237" s="50">
        <v>50344</v>
      </c>
      <c r="L237" s="51">
        <v>0.26392857294453353</v>
      </c>
      <c r="M237" s="50">
        <v>50344</v>
      </c>
      <c r="N237" s="51">
        <v>0.15823690776400218</v>
      </c>
      <c r="O237" s="50">
        <v>50344</v>
      </c>
      <c r="P237" s="51">
        <v>0.1908657587770512</v>
      </c>
      <c r="Q237" s="50">
        <v>50344</v>
      </c>
      <c r="R237" s="51">
        <v>0.90629563161502069</v>
      </c>
      <c r="S237" s="50">
        <v>50344</v>
      </c>
      <c r="T237" s="51">
        <v>0.98030174945803816</v>
      </c>
      <c r="U237" s="50">
        <v>50344</v>
      </c>
      <c r="V237" s="51">
        <v>0.75449167836841502</v>
      </c>
      <c r="W237" s="50">
        <v>50344</v>
      </c>
      <c r="X237" s="51">
        <v>0.72443258573726321</v>
      </c>
      <c r="Y237" s="50">
        <v>50344</v>
      </c>
      <c r="Z237" s="51">
        <v>0.87519139013196623</v>
      </c>
      <c r="AA237" s="50">
        <v>50344</v>
      </c>
      <c r="AB237" s="51">
        <v>0.90575843412964352</v>
      </c>
      <c r="AC237" s="50">
        <v>50344</v>
      </c>
      <c r="AD237" s="51">
        <v>0.61071937359821005</v>
      </c>
      <c r="AE237" s="50">
        <v>50344</v>
      </c>
      <c r="AF237" s="51">
        <v>0.62041396328405118</v>
      </c>
    </row>
    <row r="238" spans="1:32" x14ac:dyDescent="0.25">
      <c r="A238" s="50">
        <v>50374</v>
      </c>
      <c r="B238" s="51">
        <v>0.5876241422090609</v>
      </c>
      <c r="C238" s="50">
        <v>50374</v>
      </c>
      <c r="D238" s="51">
        <v>0.58763607845583343</v>
      </c>
      <c r="E238" s="50">
        <v>50374</v>
      </c>
      <c r="F238" s="51">
        <v>0.78657699320585228</v>
      </c>
      <c r="G238" s="50">
        <v>50374</v>
      </c>
      <c r="H238" s="51">
        <v>0.79364741852116649</v>
      </c>
      <c r="I238" s="50">
        <v>50374</v>
      </c>
      <c r="J238" s="51">
        <v>0.26208042822901939</v>
      </c>
      <c r="K238" s="50">
        <v>50374</v>
      </c>
      <c r="L238" s="51">
        <v>0.2620843361343711</v>
      </c>
      <c r="M238" s="50">
        <v>50374</v>
      </c>
      <c r="N238" s="51">
        <v>0.15669649187262233</v>
      </c>
      <c r="O238" s="50">
        <v>50374</v>
      </c>
      <c r="P238" s="51">
        <v>0.18920593935013819</v>
      </c>
      <c r="Q238" s="50">
        <v>50374</v>
      </c>
      <c r="R238" s="51">
        <v>0.90545188268359889</v>
      </c>
      <c r="S238" s="50">
        <v>50374</v>
      </c>
      <c r="T238" s="51">
        <v>0.97955817406039369</v>
      </c>
      <c r="U238" s="50">
        <v>50374</v>
      </c>
      <c r="V238" s="51">
        <v>0.75351042849939653</v>
      </c>
      <c r="W238" s="50">
        <v>50374</v>
      </c>
      <c r="X238" s="51">
        <v>0.72342200126233291</v>
      </c>
      <c r="Y238" s="50">
        <v>50374</v>
      </c>
      <c r="Z238" s="51">
        <v>0.87423605427982565</v>
      </c>
      <c r="AA238" s="50">
        <v>50374</v>
      </c>
      <c r="AB238" s="51">
        <v>0.90482138433193338</v>
      </c>
      <c r="AC238" s="50">
        <v>50374</v>
      </c>
      <c r="AD238" s="51">
        <v>0.60928460986742172</v>
      </c>
      <c r="AE238" s="50">
        <v>50374</v>
      </c>
      <c r="AF238" s="51">
        <v>0.61905853639593333</v>
      </c>
    </row>
    <row r="239" spans="1:32" x14ac:dyDescent="0.25">
      <c r="A239" s="50">
        <v>50405</v>
      </c>
      <c r="B239" s="51">
        <v>0.58619474358717272</v>
      </c>
      <c r="C239" s="50">
        <v>50405</v>
      </c>
      <c r="D239" s="51">
        <v>0.58620665294234942</v>
      </c>
      <c r="E239" s="50">
        <v>50405</v>
      </c>
      <c r="F239" s="51">
        <v>0.78539835749453568</v>
      </c>
      <c r="G239" s="50">
        <v>50405</v>
      </c>
      <c r="H239" s="51">
        <v>0.79233244659943813</v>
      </c>
      <c r="I239" s="50">
        <v>50405</v>
      </c>
      <c r="J239" s="51">
        <v>0.26017473617057135</v>
      </c>
      <c r="K239" s="50">
        <v>50405</v>
      </c>
      <c r="L239" s="51">
        <v>0.26017862476386988</v>
      </c>
      <c r="M239" s="50">
        <v>50405</v>
      </c>
      <c r="N239" s="51">
        <v>0.15510472878486314</v>
      </c>
      <c r="O239" s="50">
        <v>50405</v>
      </c>
      <c r="P239" s="51">
        <v>0.18749079260899476</v>
      </c>
      <c r="Q239" s="50">
        <v>50405</v>
      </c>
      <c r="R239" s="51">
        <v>0.90458000878779643</v>
      </c>
      <c r="S239" s="50">
        <v>50405</v>
      </c>
      <c r="T239" s="51">
        <v>0.97878981281616118</v>
      </c>
      <c r="U239" s="50">
        <v>50405</v>
      </c>
      <c r="V239" s="51">
        <v>0.75249647030141065</v>
      </c>
      <c r="W239" s="50">
        <v>50405</v>
      </c>
      <c r="X239" s="51">
        <v>0.72237773063823829</v>
      </c>
      <c r="Y239" s="50">
        <v>50405</v>
      </c>
      <c r="Z239" s="51">
        <v>0.8732488738992803</v>
      </c>
      <c r="AA239" s="50">
        <v>50405</v>
      </c>
      <c r="AB239" s="51">
        <v>0.90385309954096626</v>
      </c>
      <c r="AC239" s="50">
        <v>50405</v>
      </c>
      <c r="AD239" s="51">
        <v>0.6078020206789404</v>
      </c>
      <c r="AE239" s="50">
        <v>50405</v>
      </c>
      <c r="AF239" s="51">
        <v>0.61765792861154489</v>
      </c>
    </row>
    <row r="240" spans="1:32" x14ac:dyDescent="0.25">
      <c r="A240" s="50">
        <v>50436</v>
      </c>
      <c r="B240" s="51">
        <v>0.58476091660989271</v>
      </c>
      <c r="C240" s="50">
        <v>50436</v>
      </c>
      <c r="D240" s="51">
        <v>0.58477279895469592</v>
      </c>
      <c r="E240" s="50">
        <v>50436</v>
      </c>
      <c r="F240" s="51">
        <v>0.78420176165315381</v>
      </c>
      <c r="G240" s="50">
        <v>50436</v>
      </c>
      <c r="H240" s="51">
        <v>0.79098589966259891</v>
      </c>
      <c r="I240" s="50">
        <v>50436</v>
      </c>
      <c r="J240" s="51">
        <v>0.25824797878961464</v>
      </c>
      <c r="K240" s="50">
        <v>50436</v>
      </c>
      <c r="L240" s="51">
        <v>0.25825184760926595</v>
      </c>
      <c r="M240" s="50">
        <v>50436</v>
      </c>
      <c r="N240" s="51">
        <v>0.15351296569710396</v>
      </c>
      <c r="O240" s="50">
        <v>50436</v>
      </c>
      <c r="P240" s="51">
        <v>0.18577564586785136</v>
      </c>
      <c r="Q240" s="50">
        <v>50436</v>
      </c>
      <c r="R240" s="51">
        <v>0.90367447253317179</v>
      </c>
      <c r="S240" s="50">
        <v>50436</v>
      </c>
      <c r="T240" s="51">
        <v>0.97798492307203377</v>
      </c>
      <c r="U240" s="50">
        <v>50436</v>
      </c>
      <c r="V240" s="51">
        <v>0.75145631850694639</v>
      </c>
      <c r="W240" s="50">
        <v>50436</v>
      </c>
      <c r="X240" s="51">
        <v>0.72130840295207044</v>
      </c>
      <c r="Y240" s="50">
        <v>50436</v>
      </c>
      <c r="Z240" s="51">
        <v>0.8722229918380443</v>
      </c>
      <c r="AA240" s="50">
        <v>50436</v>
      </c>
      <c r="AB240" s="51">
        <v>0.90283385834551144</v>
      </c>
      <c r="AC240" s="50">
        <v>50436</v>
      </c>
      <c r="AD240" s="51">
        <v>0.60628951575720502</v>
      </c>
      <c r="AE240" s="50">
        <v>50436</v>
      </c>
      <c r="AF240" s="51">
        <v>0.61622884055109961</v>
      </c>
    </row>
    <row r="241" spans="1:32" x14ac:dyDescent="0.25">
      <c r="A241" s="50">
        <v>50464</v>
      </c>
      <c r="B241" s="51">
        <v>0.58346571375519796</v>
      </c>
      <c r="C241" s="50">
        <v>50464</v>
      </c>
      <c r="D241" s="51">
        <v>0.58347757169995862</v>
      </c>
      <c r="E241" s="50">
        <v>50464</v>
      </c>
      <c r="F241" s="51">
        <v>0.78312042467422638</v>
      </c>
      <c r="G241" s="50">
        <v>50464</v>
      </c>
      <c r="H241" s="51">
        <v>0.78976871307403118</v>
      </c>
      <c r="I241" s="50">
        <v>50464</v>
      </c>
      <c r="J241" s="51">
        <v>0.25650704757559967</v>
      </c>
      <c r="K241" s="50">
        <v>50464</v>
      </c>
      <c r="L241" s="51">
        <v>0.25651089852128511</v>
      </c>
      <c r="M241" s="50">
        <v>50464</v>
      </c>
      <c r="N241" s="51">
        <v>0.15207524419848278</v>
      </c>
      <c r="O241" s="50">
        <v>50464</v>
      </c>
      <c r="P241" s="51">
        <v>0.18422648106939923</v>
      </c>
      <c r="Q241" s="50">
        <v>50464</v>
      </c>
      <c r="R241" s="51">
        <v>0.90285555532894413</v>
      </c>
      <c r="S241" s="50">
        <v>50464</v>
      </c>
      <c r="T241" s="51">
        <v>0.97725682610099707</v>
      </c>
      <c r="U241" s="50">
        <v>50464</v>
      </c>
      <c r="V241" s="51">
        <v>0.75051603793914923</v>
      </c>
      <c r="W241" s="50">
        <v>50464</v>
      </c>
      <c r="X241" s="51">
        <v>0.72034180418420046</v>
      </c>
      <c r="Y241" s="50">
        <v>50464</v>
      </c>
      <c r="Z241" s="51">
        <v>0.87129522347406851</v>
      </c>
      <c r="AA241" s="50">
        <v>50464</v>
      </c>
      <c r="AB241" s="51">
        <v>0.90191171922346003</v>
      </c>
      <c r="AC241" s="50">
        <v>50464</v>
      </c>
      <c r="AD241" s="51">
        <v>0.60492248159076556</v>
      </c>
      <c r="AE241" s="50">
        <v>50464</v>
      </c>
      <c r="AF241" s="51">
        <v>0.61493719386453649</v>
      </c>
    </row>
    <row r="242" spans="1:32" x14ac:dyDescent="0.25">
      <c r="A242" s="50">
        <v>50495</v>
      </c>
      <c r="B242" s="51">
        <v>0.58203173916607165</v>
      </c>
      <c r="C242" s="50">
        <v>50495</v>
      </c>
      <c r="D242" s="51">
        <v>0.58204357009649943</v>
      </c>
      <c r="E242" s="50">
        <v>50495</v>
      </c>
      <c r="F242" s="51">
        <v>0.7819232301618424</v>
      </c>
      <c r="G242" s="50">
        <v>50495</v>
      </c>
      <c r="H242" s="51">
        <v>0.78842111363668821</v>
      </c>
      <c r="I242" s="50">
        <v>50495</v>
      </c>
      <c r="J242" s="51">
        <v>0.25457958801722597</v>
      </c>
      <c r="K242" s="50">
        <v>50495</v>
      </c>
      <c r="L242" s="51">
        <v>0.25458341917387772</v>
      </c>
      <c r="M242" s="50">
        <v>50495</v>
      </c>
      <c r="N242" s="51">
        <v>0.15048348111072357</v>
      </c>
      <c r="O242" s="50">
        <v>50495</v>
      </c>
      <c r="P242" s="51">
        <v>0.18251133432825584</v>
      </c>
      <c r="Q242" s="50">
        <v>50495</v>
      </c>
      <c r="R242" s="51">
        <v>0.90194889699569214</v>
      </c>
      <c r="S242" s="50">
        <v>50495</v>
      </c>
      <c r="T242" s="51">
        <v>0.9764507187402065</v>
      </c>
      <c r="U242" s="50">
        <v>50495</v>
      </c>
      <c r="V242" s="51">
        <v>0.74947501302480235</v>
      </c>
      <c r="W242" s="50">
        <v>50495</v>
      </c>
      <c r="X242" s="51">
        <v>0.7192716412626301</v>
      </c>
      <c r="Y242" s="50">
        <v>50495</v>
      </c>
      <c r="Z242" s="51">
        <v>0.87026805135680951</v>
      </c>
      <c r="AA242" s="50">
        <v>50495</v>
      </c>
      <c r="AB242" s="51">
        <v>0.9008907794811889</v>
      </c>
      <c r="AC242" s="50">
        <v>50495</v>
      </c>
      <c r="AD242" s="51">
        <v>0.60340897947792171</v>
      </c>
      <c r="AE242" s="50">
        <v>50495</v>
      </c>
      <c r="AF242" s="51">
        <v>0.61350715646155596</v>
      </c>
    </row>
    <row r="243" spans="1:32" x14ac:dyDescent="0.25">
      <c r="A243" s="50">
        <v>50525</v>
      </c>
      <c r="B243" s="51">
        <v>0.5806440218217559</v>
      </c>
      <c r="C243" s="50">
        <v>50525</v>
      </c>
      <c r="D243" s="51">
        <v>0.58065582660928095</v>
      </c>
      <c r="E243" s="50">
        <v>50525</v>
      </c>
      <c r="F243" s="51">
        <v>0.78076465482727719</v>
      </c>
      <c r="G243" s="50">
        <v>50525</v>
      </c>
      <c r="H243" s="51">
        <v>0.78711698514893702</v>
      </c>
      <c r="I243" s="50">
        <v>50525</v>
      </c>
      <c r="J243" s="51">
        <v>0.25273980007200819</v>
      </c>
      <c r="K243" s="50">
        <v>50525</v>
      </c>
      <c r="L243" s="51">
        <v>0.25274361231733977</v>
      </c>
      <c r="M243" s="50">
        <v>50525</v>
      </c>
      <c r="N243" s="51">
        <v>0.14894306521934375</v>
      </c>
      <c r="O243" s="50">
        <v>50525</v>
      </c>
      <c r="P243" s="51">
        <v>0.18085151490134282</v>
      </c>
      <c r="Q243" s="50">
        <v>50525</v>
      </c>
      <c r="R243" s="51">
        <v>0.90107148570544826</v>
      </c>
      <c r="S243" s="50">
        <v>50525</v>
      </c>
      <c r="T243" s="51">
        <v>0.97567061484266715</v>
      </c>
      <c r="U243" s="50">
        <v>50525</v>
      </c>
      <c r="V243" s="51">
        <v>0.74846756955930538</v>
      </c>
      <c r="W243" s="50">
        <v>50525</v>
      </c>
      <c r="X243" s="51">
        <v>0.71823599972562657</v>
      </c>
      <c r="Y243" s="50">
        <v>50525</v>
      </c>
      <c r="Z243" s="51">
        <v>0.86927401382397818</v>
      </c>
      <c r="AA243" s="50">
        <v>50525</v>
      </c>
      <c r="AB243" s="51">
        <v>0.89990277327899093</v>
      </c>
      <c r="AC243" s="50">
        <v>50525</v>
      </c>
      <c r="AD243" s="51">
        <v>0.60194430001387944</v>
      </c>
      <c r="AE243" s="50">
        <v>50525</v>
      </c>
      <c r="AF243" s="51">
        <v>0.61212324929738116</v>
      </c>
    </row>
    <row r="244" spans="1:32" x14ac:dyDescent="0.25">
      <c r="A244" s="50">
        <v>50556</v>
      </c>
      <c r="B244" s="51">
        <v>0.57921004723262948</v>
      </c>
      <c r="C244" s="50">
        <v>50556</v>
      </c>
      <c r="D244" s="51">
        <v>0.57922182500582187</v>
      </c>
      <c r="E244" s="50">
        <v>50556</v>
      </c>
      <c r="F244" s="51">
        <v>0.77956746031489321</v>
      </c>
      <c r="G244" s="50">
        <v>50556</v>
      </c>
      <c r="H244" s="51">
        <v>0.78576938571159416</v>
      </c>
      <c r="I244" s="50">
        <v>50556</v>
      </c>
      <c r="J244" s="51">
        <v>0.25083959432223651</v>
      </c>
      <c r="K244" s="50">
        <v>50556</v>
      </c>
      <c r="L244" s="51">
        <v>0.2508433870343994</v>
      </c>
      <c r="M244" s="50">
        <v>50556</v>
      </c>
      <c r="N244" s="51">
        <v>0.14735130213158454</v>
      </c>
      <c r="O244" s="50">
        <v>50556</v>
      </c>
      <c r="P244" s="51">
        <v>0.1791363681601994</v>
      </c>
      <c r="Q244" s="50">
        <v>50556</v>
      </c>
      <c r="R244" s="51">
        <v>0.90016482737219616</v>
      </c>
      <c r="S244" s="50">
        <v>50556</v>
      </c>
      <c r="T244" s="51">
        <v>0.97486450748187659</v>
      </c>
      <c r="U244" s="50">
        <v>50556</v>
      </c>
      <c r="V244" s="51">
        <v>0.7474265446449585</v>
      </c>
      <c r="W244" s="50">
        <v>50556</v>
      </c>
      <c r="X244" s="51">
        <v>0.71716583680405632</v>
      </c>
      <c r="Y244" s="50">
        <v>50556</v>
      </c>
      <c r="Z244" s="51">
        <v>0.86824684170671917</v>
      </c>
      <c r="AA244" s="50">
        <v>50556</v>
      </c>
      <c r="AB244" s="51">
        <v>0.8988818335367198</v>
      </c>
      <c r="AC244" s="50">
        <v>50556</v>
      </c>
      <c r="AD244" s="51">
        <v>0.6004307979010356</v>
      </c>
      <c r="AE244" s="50">
        <v>50556</v>
      </c>
      <c r="AF244" s="51">
        <v>0.61069321189440062</v>
      </c>
    </row>
    <row r="245" spans="1:32" x14ac:dyDescent="0.25">
      <c r="A245" s="50">
        <v>50586</v>
      </c>
      <c r="B245" s="51">
        <v>0.57782232988831372</v>
      </c>
      <c r="C245" s="50">
        <v>50586</v>
      </c>
      <c r="D245" s="51">
        <v>0.57783408151860327</v>
      </c>
      <c r="E245" s="50">
        <v>50586</v>
      </c>
      <c r="F245" s="51">
        <v>0.77840888498032801</v>
      </c>
      <c r="G245" s="50">
        <v>50586</v>
      </c>
      <c r="H245" s="51">
        <v>0.78446525722384297</v>
      </c>
      <c r="I245" s="50">
        <v>50586</v>
      </c>
      <c r="J245" s="51">
        <v>0.24900068553213495</v>
      </c>
      <c r="K245" s="50">
        <v>50586</v>
      </c>
      <c r="L245" s="51">
        <v>0.24900445934123136</v>
      </c>
      <c r="M245" s="50">
        <v>50586</v>
      </c>
      <c r="N245" s="51">
        <v>0.14581088624020472</v>
      </c>
      <c r="O245" s="50">
        <v>50586</v>
      </c>
      <c r="P245" s="51">
        <v>0.17747654873328644</v>
      </c>
      <c r="Q245" s="50">
        <v>50586</v>
      </c>
      <c r="R245" s="51">
        <v>0.89928741608195228</v>
      </c>
      <c r="S245" s="50">
        <v>50586</v>
      </c>
      <c r="T245" s="51">
        <v>0.97408440358433734</v>
      </c>
      <c r="U245" s="50">
        <v>50586</v>
      </c>
      <c r="V245" s="51">
        <v>0.74641910117946153</v>
      </c>
      <c r="W245" s="50">
        <v>50586</v>
      </c>
      <c r="X245" s="51">
        <v>0.71613019526705279</v>
      </c>
      <c r="Y245" s="50">
        <v>50586</v>
      </c>
      <c r="Z245" s="51">
        <v>0.86725280417388795</v>
      </c>
      <c r="AA245" s="50">
        <v>50586</v>
      </c>
      <c r="AB245" s="51">
        <v>0.89789382733452194</v>
      </c>
      <c r="AC245" s="50">
        <v>50586</v>
      </c>
      <c r="AD245" s="51">
        <v>0.59896611843699332</v>
      </c>
      <c r="AE245" s="50">
        <v>50586</v>
      </c>
      <c r="AF245" s="51">
        <v>0.60930930473022593</v>
      </c>
    </row>
    <row r="246" spans="1:32" x14ac:dyDescent="0.25">
      <c r="A246" s="50">
        <v>50617</v>
      </c>
      <c r="B246" s="51">
        <v>0.57642758625618895</v>
      </c>
      <c r="C246" s="50">
        <v>50617</v>
      </c>
      <c r="D246" s="51">
        <v>0.57643931164118201</v>
      </c>
      <c r="E246" s="50">
        <v>50617</v>
      </c>
      <c r="F246" s="51">
        <v>0.77721169046794403</v>
      </c>
      <c r="G246" s="50">
        <v>50617</v>
      </c>
      <c r="H246" s="51">
        <v>0.78311765778650011</v>
      </c>
      <c r="I246" s="50">
        <v>50617</v>
      </c>
      <c r="J246" s="51">
        <v>0.24714131170243586</v>
      </c>
      <c r="K246" s="50">
        <v>50617</v>
      </c>
      <c r="L246" s="51">
        <v>0.24714506644686479</v>
      </c>
      <c r="M246" s="50">
        <v>50617</v>
      </c>
      <c r="N246" s="51">
        <v>0.14421912315244551</v>
      </c>
      <c r="O246" s="50">
        <v>50617</v>
      </c>
      <c r="P246" s="51">
        <v>0.17576140199214302</v>
      </c>
      <c r="Q246" s="50">
        <v>50617</v>
      </c>
      <c r="R246" s="51">
        <v>0.89837286116404125</v>
      </c>
      <c r="S246" s="50">
        <v>50617</v>
      </c>
      <c r="T246" s="51">
        <v>0.97324838576380723</v>
      </c>
      <c r="U246" s="50">
        <v>50617</v>
      </c>
      <c r="V246" s="51">
        <v>0.7454119108304017</v>
      </c>
      <c r="W246" s="50">
        <v>50617</v>
      </c>
      <c r="X246" s="51">
        <v>0.71510075947028018</v>
      </c>
      <c r="Y246" s="50">
        <v>50617</v>
      </c>
      <c r="Z246" s="51">
        <v>0.86622563205662895</v>
      </c>
      <c r="AA246" s="50">
        <v>50617</v>
      </c>
      <c r="AB246" s="51">
        <v>0.8968728875922507</v>
      </c>
      <c r="AC246" s="50">
        <v>50617</v>
      </c>
      <c r="AD246" s="51">
        <v>0.59750672283252226</v>
      </c>
      <c r="AE246" s="50">
        <v>50617</v>
      </c>
      <c r="AF246" s="51">
        <v>0.60793352761671882</v>
      </c>
    </row>
    <row r="247" spans="1:32" x14ac:dyDescent="0.25">
      <c r="A247" s="50">
        <v>50648</v>
      </c>
      <c r="B247" s="51">
        <v>0.57503415032263083</v>
      </c>
      <c r="C247" s="50">
        <v>50648</v>
      </c>
      <c r="D247" s="51">
        <v>0.575045849487962</v>
      </c>
      <c r="E247" s="50">
        <v>50648</v>
      </c>
      <c r="F247" s="51">
        <v>0.77601449595555994</v>
      </c>
      <c r="G247" s="50">
        <v>50648</v>
      </c>
      <c r="H247" s="51">
        <v>0.78177005834915725</v>
      </c>
      <c r="I247" s="50">
        <v>50648</v>
      </c>
      <c r="J247" s="51">
        <v>0.24528329893673922</v>
      </c>
      <c r="K247" s="50">
        <v>50648</v>
      </c>
      <c r="L247" s="51">
        <v>0.24528703463211737</v>
      </c>
      <c r="M247" s="50">
        <v>50648</v>
      </c>
      <c r="N247" s="51">
        <v>0.14262736006468635</v>
      </c>
      <c r="O247" s="50">
        <v>50648</v>
      </c>
      <c r="P247" s="51">
        <v>0.17404625525099959</v>
      </c>
      <c r="Q247" s="50">
        <v>50648</v>
      </c>
      <c r="R247" s="51">
        <v>0.89745804302664156</v>
      </c>
      <c r="S247" s="50">
        <v>50648</v>
      </c>
      <c r="T247" s="51">
        <v>0.97241137092795249</v>
      </c>
      <c r="U247" s="50">
        <v>50648</v>
      </c>
      <c r="V247" s="51">
        <v>0.74440584830018475</v>
      </c>
      <c r="W247" s="50">
        <v>50648</v>
      </c>
      <c r="X247" s="51">
        <v>0.71407268124433421</v>
      </c>
      <c r="Y247" s="50">
        <v>50648</v>
      </c>
      <c r="Z247" s="51">
        <v>0.86519845993936995</v>
      </c>
      <c r="AA247" s="50">
        <v>50648</v>
      </c>
      <c r="AB247" s="51">
        <v>0.89585194784997957</v>
      </c>
      <c r="AC247" s="50">
        <v>50648</v>
      </c>
      <c r="AD247" s="51">
        <v>0.59604913077833044</v>
      </c>
      <c r="AE247" s="50">
        <v>50648</v>
      </c>
      <c r="AF247" s="51">
        <v>0.60655955917952753</v>
      </c>
    </row>
    <row r="248" spans="1:32" x14ac:dyDescent="0.25">
      <c r="A248" s="50">
        <v>50678</v>
      </c>
      <c r="B248" s="51">
        <v>0.57368566393531661</v>
      </c>
      <c r="C248" s="50">
        <v>50678</v>
      </c>
      <c r="D248" s="51">
        <v>0.57369733772678133</v>
      </c>
      <c r="E248" s="50">
        <v>50678</v>
      </c>
      <c r="F248" s="51">
        <v>0.77485592062099484</v>
      </c>
      <c r="G248" s="50">
        <v>50678</v>
      </c>
      <c r="H248" s="51">
        <v>0.78046592986140606</v>
      </c>
      <c r="I248" s="50">
        <v>50678</v>
      </c>
      <c r="J248" s="51">
        <v>0.24348522206671019</v>
      </c>
      <c r="K248" s="50">
        <v>50678</v>
      </c>
      <c r="L248" s="51">
        <v>0.24348893932752311</v>
      </c>
      <c r="M248" s="50">
        <v>50678</v>
      </c>
      <c r="N248" s="51">
        <v>0.14108694417330647</v>
      </c>
      <c r="O248" s="50">
        <v>50678</v>
      </c>
      <c r="P248" s="51">
        <v>0.17238643582408664</v>
      </c>
      <c r="Q248" s="50">
        <v>50678</v>
      </c>
      <c r="R248" s="51">
        <v>0.89657273515173874</v>
      </c>
      <c r="S248" s="50">
        <v>50678</v>
      </c>
      <c r="T248" s="51">
        <v>0.97160135657067381</v>
      </c>
      <c r="U248" s="50">
        <v>50678</v>
      </c>
      <c r="V248" s="51">
        <v>0.74343223939997471</v>
      </c>
      <c r="W248" s="50">
        <v>50678</v>
      </c>
      <c r="X248" s="51">
        <v>0.71307776683212853</v>
      </c>
      <c r="Y248" s="50">
        <v>50678</v>
      </c>
      <c r="Z248" s="51">
        <v>0.86420442240653861</v>
      </c>
      <c r="AA248" s="50">
        <v>50678</v>
      </c>
      <c r="AB248" s="51">
        <v>0.89486394164778171</v>
      </c>
      <c r="AC248" s="50">
        <v>50678</v>
      </c>
      <c r="AD248" s="51">
        <v>0.59463855782266084</v>
      </c>
      <c r="AE248" s="50">
        <v>50678</v>
      </c>
      <c r="AF248" s="51">
        <v>0.60522991230482637</v>
      </c>
    </row>
    <row r="249" spans="1:32" x14ac:dyDescent="0.25">
      <c r="A249" s="50">
        <v>50709</v>
      </c>
      <c r="B249" s="51">
        <v>0.5722922280017585</v>
      </c>
      <c r="C249" s="50">
        <v>50709</v>
      </c>
      <c r="D249" s="51">
        <v>0.57230387557356133</v>
      </c>
      <c r="E249" s="50">
        <v>50709</v>
      </c>
      <c r="F249" s="51">
        <v>0.77365872610861075</v>
      </c>
      <c r="G249" s="50">
        <v>50709</v>
      </c>
      <c r="H249" s="51">
        <v>0.7791183304240632</v>
      </c>
      <c r="I249" s="50">
        <v>50709</v>
      </c>
      <c r="J249" s="51">
        <v>0.24168093771917512</v>
      </c>
      <c r="K249" s="50">
        <v>50709</v>
      </c>
      <c r="L249" s="51">
        <v>0.24168463660302189</v>
      </c>
      <c r="M249" s="50">
        <v>50709</v>
      </c>
      <c r="N249" s="51">
        <v>0.13949518108554732</v>
      </c>
      <c r="O249" s="50">
        <v>50709</v>
      </c>
      <c r="P249" s="51">
        <v>0.17067128908294321</v>
      </c>
      <c r="Q249" s="50">
        <v>50709</v>
      </c>
      <c r="R249" s="51">
        <v>0.89565791701433906</v>
      </c>
      <c r="S249" s="50">
        <v>50709</v>
      </c>
      <c r="T249" s="51">
        <v>0.97076434173481907</v>
      </c>
      <c r="U249" s="50">
        <v>50709</v>
      </c>
      <c r="V249" s="51">
        <v>0.74242617686975776</v>
      </c>
      <c r="W249" s="50">
        <v>50709</v>
      </c>
      <c r="X249" s="51">
        <v>0.71204968860618256</v>
      </c>
      <c r="Y249" s="50">
        <v>50709</v>
      </c>
      <c r="Z249" s="51">
        <v>0.86317725028927961</v>
      </c>
      <c r="AA249" s="50">
        <v>50709</v>
      </c>
      <c r="AB249" s="51">
        <v>0.89384300190551058</v>
      </c>
      <c r="AC249" s="50">
        <v>50709</v>
      </c>
      <c r="AD249" s="51">
        <v>0.5931809657684689</v>
      </c>
      <c r="AE249" s="50">
        <v>50709</v>
      </c>
      <c r="AF249" s="51">
        <v>0.60385594386763508</v>
      </c>
    </row>
    <row r="250" spans="1:32" x14ac:dyDescent="0.25">
      <c r="A250" s="50">
        <v>50739</v>
      </c>
      <c r="B250" s="51">
        <v>0.57094374161444428</v>
      </c>
      <c r="C250" s="50">
        <v>50739</v>
      </c>
      <c r="D250" s="51">
        <v>0.57095536381238066</v>
      </c>
      <c r="E250" s="50">
        <v>50739</v>
      </c>
      <c r="F250" s="51">
        <v>0.77250015077404566</v>
      </c>
      <c r="G250" s="50">
        <v>50739</v>
      </c>
      <c r="H250" s="51">
        <v>0.77781420193631201</v>
      </c>
      <c r="I250" s="50">
        <v>50739</v>
      </c>
      <c r="J250" s="51">
        <v>0.23993658926730765</v>
      </c>
      <c r="K250" s="50">
        <v>50739</v>
      </c>
      <c r="L250" s="51">
        <v>0.2399402703886738</v>
      </c>
      <c r="M250" s="50">
        <v>50739</v>
      </c>
      <c r="N250" s="51">
        <v>0.13795476519416744</v>
      </c>
      <c r="O250" s="50">
        <v>50739</v>
      </c>
      <c r="P250" s="51">
        <v>0.1690114696560302</v>
      </c>
      <c r="Q250" s="50">
        <v>50739</v>
      </c>
      <c r="R250" s="51">
        <v>0.89477260913943613</v>
      </c>
      <c r="S250" s="50">
        <v>50739</v>
      </c>
      <c r="T250" s="51">
        <v>0.96995432737754028</v>
      </c>
      <c r="U250" s="50">
        <v>50739</v>
      </c>
      <c r="V250" s="51">
        <v>0.74145256796954784</v>
      </c>
      <c r="W250" s="50">
        <v>50739</v>
      </c>
      <c r="X250" s="51">
        <v>0.71105477419397678</v>
      </c>
      <c r="Y250" s="50">
        <v>50739</v>
      </c>
      <c r="Z250" s="51">
        <v>0.86218321275644827</v>
      </c>
      <c r="AA250" s="50">
        <v>50739</v>
      </c>
      <c r="AB250" s="51">
        <v>0.89285499570331261</v>
      </c>
      <c r="AC250" s="50">
        <v>50739</v>
      </c>
      <c r="AD250" s="51">
        <v>0.59177039281279931</v>
      </c>
      <c r="AE250" s="50">
        <v>50739</v>
      </c>
      <c r="AF250" s="51">
        <v>0.60252629699293381</v>
      </c>
    </row>
    <row r="251" spans="1:32" x14ac:dyDescent="0.25">
      <c r="A251" s="50">
        <v>50770</v>
      </c>
      <c r="B251" s="51">
        <v>0.56955030568088616</v>
      </c>
      <c r="C251" s="50">
        <v>50770</v>
      </c>
      <c r="D251" s="51">
        <v>0.56956190165916065</v>
      </c>
      <c r="E251" s="50">
        <v>50770</v>
      </c>
      <c r="F251" s="51">
        <v>0.77130295626166168</v>
      </c>
      <c r="G251" s="50">
        <v>50770</v>
      </c>
      <c r="H251" s="51">
        <v>0.77646660249896904</v>
      </c>
      <c r="I251" s="50">
        <v>50770</v>
      </c>
      <c r="J251" s="51">
        <v>0.23813409586704465</v>
      </c>
      <c r="K251" s="50">
        <v>50770</v>
      </c>
      <c r="L251" s="51">
        <v>0.23813775863384748</v>
      </c>
      <c r="M251" s="50">
        <v>50770</v>
      </c>
      <c r="N251" s="51">
        <v>0.13636300210640828</v>
      </c>
      <c r="O251" s="50">
        <v>50770</v>
      </c>
      <c r="P251" s="51">
        <v>0.1672963229148868</v>
      </c>
      <c r="Q251" s="50">
        <v>50770</v>
      </c>
      <c r="R251" s="51">
        <v>0.89385779100203644</v>
      </c>
      <c r="S251" s="50">
        <v>50770</v>
      </c>
      <c r="T251" s="51">
        <v>0.96911731254168554</v>
      </c>
      <c r="U251" s="50">
        <v>50770</v>
      </c>
      <c r="V251" s="51">
        <v>0.74044650543933088</v>
      </c>
      <c r="W251" s="50">
        <v>50770</v>
      </c>
      <c r="X251" s="51">
        <v>0.71002669596803081</v>
      </c>
      <c r="Y251" s="50">
        <v>50770</v>
      </c>
      <c r="Z251" s="51">
        <v>0.86115604063918927</v>
      </c>
      <c r="AA251" s="50">
        <v>50770</v>
      </c>
      <c r="AB251" s="51">
        <v>0.89183405596104148</v>
      </c>
      <c r="AC251" s="50">
        <v>50770</v>
      </c>
      <c r="AD251" s="51">
        <v>0.59031280075860748</v>
      </c>
      <c r="AE251" s="50">
        <v>50770</v>
      </c>
      <c r="AF251" s="51">
        <v>0.60115232855574252</v>
      </c>
    </row>
    <row r="252" spans="1:32" x14ac:dyDescent="0.25">
      <c r="A252" s="50">
        <v>50801</v>
      </c>
      <c r="B252" s="51">
        <v>0.56818772458609934</v>
      </c>
      <c r="C252" s="50">
        <v>50801</v>
      </c>
      <c r="D252" s="51">
        <v>0.56819929331396823</v>
      </c>
      <c r="E252" s="50">
        <v>50801</v>
      </c>
      <c r="F252" s="51">
        <v>0.77032966995362395</v>
      </c>
      <c r="G252" s="50">
        <v>50801</v>
      </c>
      <c r="H252" s="51">
        <v>0.7753438764829661</v>
      </c>
      <c r="I252" s="50">
        <v>50801</v>
      </c>
      <c r="J252" s="51">
        <v>0.23675721723316379</v>
      </c>
      <c r="K252" s="50">
        <v>50801</v>
      </c>
      <c r="L252" s="51">
        <v>0.23676085912262138</v>
      </c>
      <c r="M252" s="50">
        <v>50801</v>
      </c>
      <c r="N252" s="51">
        <v>0.13540509030854292</v>
      </c>
      <c r="O252" s="50">
        <v>50801</v>
      </c>
      <c r="P252" s="51">
        <v>0.16621412056923923</v>
      </c>
      <c r="Q252" s="50">
        <v>50801</v>
      </c>
      <c r="R252" s="51">
        <v>0.89307120480269375</v>
      </c>
      <c r="S252" s="50">
        <v>50801</v>
      </c>
      <c r="T252" s="51">
        <v>0.96844740022978115</v>
      </c>
      <c r="U252" s="50">
        <v>50801</v>
      </c>
      <c r="V252" s="51">
        <v>0.73947110148964168</v>
      </c>
      <c r="W252" s="50">
        <v>50801</v>
      </c>
      <c r="X252" s="51">
        <v>0.70898151097689022</v>
      </c>
      <c r="Y252" s="50">
        <v>50801</v>
      </c>
      <c r="Z252" s="51">
        <v>0.86046660162056121</v>
      </c>
      <c r="AA252" s="50">
        <v>50801</v>
      </c>
      <c r="AB252" s="51">
        <v>0.891172237700668</v>
      </c>
      <c r="AC252" s="50">
        <v>50801</v>
      </c>
      <c r="AD252" s="51">
        <v>0.58896525503554964</v>
      </c>
      <c r="AE252" s="50">
        <v>50801</v>
      </c>
      <c r="AF252" s="51">
        <v>0.59993313437670304</v>
      </c>
    </row>
    <row r="253" spans="1:32" x14ac:dyDescent="0.25">
      <c r="A253" s="50">
        <v>50829</v>
      </c>
      <c r="B253" s="51">
        <v>0.5669579351407924</v>
      </c>
      <c r="C253" s="50">
        <v>50829</v>
      </c>
      <c r="D253" s="51">
        <v>0.56696947922435859</v>
      </c>
      <c r="E253" s="50">
        <v>50829</v>
      </c>
      <c r="F253" s="51">
        <v>0.76945731396541961</v>
      </c>
      <c r="G253" s="50">
        <v>50829</v>
      </c>
      <c r="H253" s="51">
        <v>0.77433657175431558</v>
      </c>
      <c r="I253" s="50">
        <v>50829</v>
      </c>
      <c r="J253" s="51">
        <v>0.23552639912671086</v>
      </c>
      <c r="K253" s="50">
        <v>50829</v>
      </c>
      <c r="L253" s="51">
        <v>0.23553002208325671</v>
      </c>
      <c r="M253" s="50">
        <v>50829</v>
      </c>
      <c r="N253" s="51">
        <v>0.13455896334715597</v>
      </c>
      <c r="O253" s="50">
        <v>50829</v>
      </c>
      <c r="P253" s="51">
        <v>0.16525570387324992</v>
      </c>
      <c r="Q253" s="50">
        <v>50829</v>
      </c>
      <c r="R253" s="51">
        <v>0.89236460059497091</v>
      </c>
      <c r="S253" s="50">
        <v>50829</v>
      </c>
      <c r="T253" s="51">
        <v>0.96784734918534132</v>
      </c>
      <c r="U253" s="50">
        <v>50829</v>
      </c>
      <c r="V253" s="51">
        <v>0.73859101452460496</v>
      </c>
      <c r="W253" s="50">
        <v>50829</v>
      </c>
      <c r="X253" s="51">
        <v>0.70803695787798315</v>
      </c>
      <c r="Y253" s="50">
        <v>50829</v>
      </c>
      <c r="Z253" s="51">
        <v>0.85985405081530764</v>
      </c>
      <c r="AA253" s="50">
        <v>50829</v>
      </c>
      <c r="AB253" s="51">
        <v>0.89058527862838766</v>
      </c>
      <c r="AC253" s="50">
        <v>50829</v>
      </c>
      <c r="AD253" s="51">
        <v>0.58775143018598319</v>
      </c>
      <c r="AE253" s="50">
        <v>50829</v>
      </c>
      <c r="AF253" s="51">
        <v>0.59883658660125694</v>
      </c>
    </row>
    <row r="254" spans="1:32" x14ac:dyDescent="0.25">
      <c r="A254" s="50">
        <v>50860</v>
      </c>
      <c r="B254" s="51">
        <v>0.56559638254063127</v>
      </c>
      <c r="C254" s="50">
        <v>50860</v>
      </c>
      <c r="D254" s="51">
        <v>0.56560789933943367</v>
      </c>
      <c r="E254" s="50">
        <v>50860</v>
      </c>
      <c r="F254" s="51">
        <v>0.76849149126419347</v>
      </c>
      <c r="G254" s="50">
        <v>50860</v>
      </c>
      <c r="H254" s="51">
        <v>0.77322134151902389</v>
      </c>
      <c r="I254" s="50">
        <v>50860</v>
      </c>
      <c r="J254" s="51">
        <v>0.23416370765170941</v>
      </c>
      <c r="K254" s="50">
        <v>50860</v>
      </c>
      <c r="L254" s="51">
        <v>0.23416730964681731</v>
      </c>
      <c r="M254" s="50">
        <v>50860</v>
      </c>
      <c r="N254" s="51">
        <v>0.13362217992562042</v>
      </c>
      <c r="O254" s="50">
        <v>50860</v>
      </c>
      <c r="P254" s="51">
        <v>0.16419459967411892</v>
      </c>
      <c r="Q254" s="50">
        <v>50860</v>
      </c>
      <c r="R254" s="51">
        <v>0.89158228879356338</v>
      </c>
      <c r="S254" s="50">
        <v>50860</v>
      </c>
      <c r="T254" s="51">
        <v>0.96718300695756865</v>
      </c>
      <c r="U254" s="50">
        <v>50860</v>
      </c>
      <c r="V254" s="51">
        <v>0.73761663252760001</v>
      </c>
      <c r="W254" s="50">
        <v>50860</v>
      </c>
      <c r="X254" s="51">
        <v>0.70699120266133597</v>
      </c>
      <c r="Y254" s="50">
        <v>50860</v>
      </c>
      <c r="Z254" s="51">
        <v>0.85917586956663394</v>
      </c>
      <c r="AA254" s="50">
        <v>50860</v>
      </c>
      <c r="AB254" s="51">
        <v>0.88993543108407747</v>
      </c>
      <c r="AC254" s="50">
        <v>50860</v>
      </c>
      <c r="AD254" s="51">
        <v>0.58640755267396316</v>
      </c>
      <c r="AE254" s="50">
        <v>50860</v>
      </c>
      <c r="AF254" s="51">
        <v>0.59762255156415578</v>
      </c>
    </row>
    <row r="255" spans="1:32" x14ac:dyDescent="0.25">
      <c r="A255" s="50">
        <v>50890</v>
      </c>
      <c r="B255" s="51">
        <v>0.56427875099208813</v>
      </c>
      <c r="C255" s="50">
        <v>50890</v>
      </c>
      <c r="D255" s="51">
        <v>0.56429024138628059</v>
      </c>
      <c r="E255" s="50">
        <v>50890</v>
      </c>
      <c r="F255" s="51">
        <v>0.76755682413397464</v>
      </c>
      <c r="G255" s="50">
        <v>50890</v>
      </c>
      <c r="H255" s="51">
        <v>0.77214208645261262</v>
      </c>
      <c r="I255" s="50">
        <v>50890</v>
      </c>
      <c r="J255" s="51">
        <v>0.23286653764435752</v>
      </c>
      <c r="K255" s="50">
        <v>50890</v>
      </c>
      <c r="L255" s="51">
        <v>0.23287011968590363</v>
      </c>
      <c r="M255" s="50">
        <v>50890</v>
      </c>
      <c r="N255" s="51">
        <v>0.13271561532413439</v>
      </c>
      <c r="O255" s="50">
        <v>50890</v>
      </c>
      <c r="P255" s="51">
        <v>0.16316772464270179</v>
      </c>
      <c r="Q255" s="50">
        <v>50890</v>
      </c>
      <c r="R255" s="51">
        <v>0.89082521285671745</v>
      </c>
      <c r="S255" s="50">
        <v>50890</v>
      </c>
      <c r="T255" s="51">
        <v>0.96654009512424022</v>
      </c>
      <c r="U255" s="50">
        <v>50890</v>
      </c>
      <c r="V255" s="51">
        <v>0.73667368220791785</v>
      </c>
      <c r="W255" s="50">
        <v>50890</v>
      </c>
      <c r="X255" s="51">
        <v>0.70597918148393557</v>
      </c>
      <c r="Y255" s="50">
        <v>50890</v>
      </c>
      <c r="Z255" s="51">
        <v>0.85851956513243355</v>
      </c>
      <c r="AA255" s="50">
        <v>50890</v>
      </c>
      <c r="AB255" s="51">
        <v>0.88930654636377715</v>
      </c>
      <c r="AC255" s="50">
        <v>50890</v>
      </c>
      <c r="AD255" s="51">
        <v>0.58510702604942766</v>
      </c>
      <c r="AE255" s="50">
        <v>50890</v>
      </c>
      <c r="AF255" s="51">
        <v>0.59644767894760631</v>
      </c>
    </row>
    <row r="256" spans="1:32" x14ac:dyDescent="0.25">
      <c r="A256" s="50">
        <v>50921</v>
      </c>
      <c r="B256" s="51">
        <v>0.562917198391927</v>
      </c>
      <c r="C256" s="50">
        <v>50921</v>
      </c>
      <c r="D256" s="51">
        <v>0.56292866150135568</v>
      </c>
      <c r="E256" s="50">
        <v>50921</v>
      </c>
      <c r="F256" s="51">
        <v>0.7665910014327485</v>
      </c>
      <c r="G256" s="50">
        <v>50921</v>
      </c>
      <c r="H256" s="51">
        <v>0.77102685621732092</v>
      </c>
      <c r="I256" s="50">
        <v>50921</v>
      </c>
      <c r="J256" s="51">
        <v>0.23152689699770557</v>
      </c>
      <c r="K256" s="50">
        <v>50921</v>
      </c>
      <c r="L256" s="51">
        <v>0.23153045843239037</v>
      </c>
      <c r="M256" s="50">
        <v>50921</v>
      </c>
      <c r="N256" s="51">
        <v>0.13177883190259884</v>
      </c>
      <c r="O256" s="50">
        <v>50921</v>
      </c>
      <c r="P256" s="51">
        <v>0.16210662044357077</v>
      </c>
      <c r="Q256" s="50">
        <v>50921</v>
      </c>
      <c r="R256" s="51">
        <v>0.89004290105530992</v>
      </c>
      <c r="S256" s="50">
        <v>50921</v>
      </c>
      <c r="T256" s="51">
        <v>0.96587575289646754</v>
      </c>
      <c r="U256" s="50">
        <v>50921</v>
      </c>
      <c r="V256" s="51">
        <v>0.7356993002109129</v>
      </c>
      <c r="W256" s="50">
        <v>50921</v>
      </c>
      <c r="X256" s="51">
        <v>0.70493342626728839</v>
      </c>
      <c r="Y256" s="50">
        <v>50921</v>
      </c>
      <c r="Z256" s="51">
        <v>0.85784138388375986</v>
      </c>
      <c r="AA256" s="50">
        <v>50921</v>
      </c>
      <c r="AB256" s="51">
        <v>0.88865669881946696</v>
      </c>
      <c r="AC256" s="50">
        <v>50921</v>
      </c>
      <c r="AD256" s="51">
        <v>0.58376314853740774</v>
      </c>
      <c r="AE256" s="50">
        <v>50921</v>
      </c>
      <c r="AF256" s="51">
        <v>0.59523364391050526</v>
      </c>
    </row>
    <row r="257" spans="1:32" x14ac:dyDescent="0.25">
      <c r="A257" s="50">
        <v>50951</v>
      </c>
      <c r="B257" s="51">
        <v>0.56159956684338386</v>
      </c>
      <c r="C257" s="50">
        <v>50951</v>
      </c>
      <c r="D257" s="51">
        <v>0.56161100354820248</v>
      </c>
      <c r="E257" s="50">
        <v>50951</v>
      </c>
      <c r="F257" s="51">
        <v>0.76565633430252955</v>
      </c>
      <c r="G257" s="50">
        <v>50951</v>
      </c>
      <c r="H257" s="51">
        <v>0.76994760115090966</v>
      </c>
      <c r="I257" s="50">
        <v>50951</v>
      </c>
      <c r="J257" s="51">
        <v>0.23023047056546173</v>
      </c>
      <c r="K257" s="50">
        <v>50951</v>
      </c>
      <c r="L257" s="51">
        <v>0.23023401205802269</v>
      </c>
      <c r="M257" s="50">
        <v>50951</v>
      </c>
      <c r="N257" s="51">
        <v>0.13087226730111282</v>
      </c>
      <c r="O257" s="50">
        <v>50951</v>
      </c>
      <c r="P257" s="51">
        <v>0.16107974541215367</v>
      </c>
      <c r="Q257" s="50">
        <v>50951</v>
      </c>
      <c r="R257" s="51">
        <v>0.88928582511846399</v>
      </c>
      <c r="S257" s="50">
        <v>50951</v>
      </c>
      <c r="T257" s="51">
        <v>0.96523284106313911</v>
      </c>
      <c r="U257" s="50">
        <v>50951</v>
      </c>
      <c r="V257" s="51">
        <v>0.73475634989123073</v>
      </c>
      <c r="W257" s="50">
        <v>50951</v>
      </c>
      <c r="X257" s="51">
        <v>0.70392140508988799</v>
      </c>
      <c r="Y257" s="50">
        <v>50951</v>
      </c>
      <c r="Z257" s="51">
        <v>0.85718507944955957</v>
      </c>
      <c r="AA257" s="50">
        <v>50951</v>
      </c>
      <c r="AB257" s="51">
        <v>0.88802781409916665</v>
      </c>
      <c r="AC257" s="50">
        <v>50951</v>
      </c>
      <c r="AD257" s="51">
        <v>0.58246262191287224</v>
      </c>
      <c r="AE257" s="50">
        <v>50951</v>
      </c>
      <c r="AF257" s="51">
        <v>0.59405877129395579</v>
      </c>
    </row>
    <row r="258" spans="1:32" x14ac:dyDescent="0.25">
      <c r="A258" s="50">
        <v>50982</v>
      </c>
      <c r="B258" s="51">
        <v>0.56027699678180753</v>
      </c>
      <c r="C258" s="50">
        <v>50982</v>
      </c>
      <c r="D258" s="51">
        <v>0.56028840698978444</v>
      </c>
      <c r="E258" s="50">
        <v>50982</v>
      </c>
      <c r="F258" s="51">
        <v>0.76469051160130341</v>
      </c>
      <c r="G258" s="50">
        <v>50982</v>
      </c>
      <c r="H258" s="51">
        <v>0.76883237091561807</v>
      </c>
      <c r="I258" s="50">
        <v>50982</v>
      </c>
      <c r="J258" s="51">
        <v>0.22892646080154402</v>
      </c>
      <c r="K258" s="50">
        <v>50982</v>
      </c>
      <c r="L258" s="51">
        <v>0.22892998223533143</v>
      </c>
      <c r="M258" s="50">
        <v>50982</v>
      </c>
      <c r="N258" s="51">
        <v>0.12993548387957726</v>
      </c>
      <c r="O258" s="50">
        <v>50982</v>
      </c>
      <c r="P258" s="51">
        <v>0.16001864121302264</v>
      </c>
      <c r="Q258" s="50">
        <v>50982</v>
      </c>
      <c r="R258" s="51">
        <v>0.88850114663549706</v>
      </c>
      <c r="S258" s="50">
        <v>50982</v>
      </c>
      <c r="T258" s="51">
        <v>0.96454851731510161</v>
      </c>
      <c r="U258" s="50">
        <v>50982</v>
      </c>
      <c r="V258" s="51">
        <v>0.73381249755596845</v>
      </c>
      <c r="W258" s="50">
        <v>50982</v>
      </c>
      <c r="X258" s="51">
        <v>0.70291068332582707</v>
      </c>
      <c r="Y258" s="50">
        <v>50982</v>
      </c>
      <c r="Z258" s="51">
        <v>0.85650689820088588</v>
      </c>
      <c r="AA258" s="50">
        <v>50982</v>
      </c>
      <c r="AB258" s="51">
        <v>0.88737796655485635</v>
      </c>
      <c r="AC258" s="50">
        <v>50982</v>
      </c>
      <c r="AD258" s="51">
        <v>0.58116834867262612</v>
      </c>
      <c r="AE258" s="50">
        <v>50982</v>
      </c>
      <c r="AF258" s="51">
        <v>0.59289567121213771</v>
      </c>
    </row>
    <row r="259" spans="1:32" x14ac:dyDescent="0.25">
      <c r="A259" s="50">
        <v>51013</v>
      </c>
      <c r="B259" s="51">
        <v>0.55895572613818401</v>
      </c>
      <c r="C259" s="50">
        <v>51013</v>
      </c>
      <c r="D259" s="51">
        <v>0.55896710987558329</v>
      </c>
      <c r="E259" s="50">
        <v>51013</v>
      </c>
      <c r="F259" s="51">
        <v>0.76372468890007728</v>
      </c>
      <c r="G259" s="50">
        <v>51013</v>
      </c>
      <c r="H259" s="51">
        <v>0.76771714068032637</v>
      </c>
      <c r="I259" s="50">
        <v>51013</v>
      </c>
      <c r="J259" s="51">
        <v>0.22762363873371744</v>
      </c>
      <c r="K259" s="50">
        <v>51013</v>
      </c>
      <c r="L259" s="51">
        <v>0.22762714012700086</v>
      </c>
      <c r="M259" s="50">
        <v>51013</v>
      </c>
      <c r="N259" s="51">
        <v>0.12899870045804171</v>
      </c>
      <c r="O259" s="50">
        <v>51013</v>
      </c>
      <c r="P259" s="51">
        <v>0.15895753701389162</v>
      </c>
      <c r="Q259" s="50">
        <v>51013</v>
      </c>
      <c r="R259" s="51">
        <v>0.88771638926314467</v>
      </c>
      <c r="S259" s="50">
        <v>51013</v>
      </c>
      <c r="T259" s="51">
        <v>0.9638635275163886</v>
      </c>
      <c r="U259" s="50">
        <v>51013</v>
      </c>
      <c r="V259" s="51">
        <v>0.73286966287609767</v>
      </c>
      <c r="W259" s="50">
        <v>51013</v>
      </c>
      <c r="X259" s="51">
        <v>0.701901129343519</v>
      </c>
      <c r="Y259" s="50">
        <v>51013</v>
      </c>
      <c r="Z259" s="51">
        <v>0.85582871695221219</v>
      </c>
      <c r="AA259" s="50">
        <v>51013</v>
      </c>
      <c r="AB259" s="51">
        <v>0.88672811901054616</v>
      </c>
      <c r="AC259" s="50">
        <v>51013</v>
      </c>
      <c r="AD259" s="51">
        <v>0.5798757289081059</v>
      </c>
      <c r="AE259" s="50">
        <v>51013</v>
      </c>
      <c r="AF259" s="51">
        <v>0.5917342689621623</v>
      </c>
    </row>
    <row r="260" spans="1:32" x14ac:dyDescent="0.25">
      <c r="A260" s="50">
        <v>51043</v>
      </c>
      <c r="B260" s="51">
        <v>0.55767707712822567</v>
      </c>
      <c r="C260" s="50">
        <v>51043</v>
      </c>
      <c r="D260" s="51">
        <v>0.55768843524893685</v>
      </c>
      <c r="E260" s="50">
        <v>51043</v>
      </c>
      <c r="F260" s="51">
        <v>0.76279002176985844</v>
      </c>
      <c r="G260" s="50">
        <v>51043</v>
      </c>
      <c r="H260" s="51">
        <v>0.7666378856139151</v>
      </c>
      <c r="I260" s="50">
        <v>51043</v>
      </c>
      <c r="J260" s="51">
        <v>0.22636284318420785</v>
      </c>
      <c r="K260" s="50">
        <v>51043</v>
      </c>
      <c r="L260" s="51">
        <v>0.22636632518345517</v>
      </c>
      <c r="M260" s="50">
        <v>51043</v>
      </c>
      <c r="N260" s="51">
        <v>0.12809213585655568</v>
      </c>
      <c r="O260" s="50">
        <v>51043</v>
      </c>
      <c r="P260" s="51">
        <v>0.15793066198247449</v>
      </c>
      <c r="Q260" s="50">
        <v>51043</v>
      </c>
      <c r="R260" s="51">
        <v>0.88695694664473923</v>
      </c>
      <c r="S260" s="50">
        <v>51043</v>
      </c>
      <c r="T260" s="51">
        <v>0.96320063416279544</v>
      </c>
      <c r="U260" s="50">
        <v>51043</v>
      </c>
      <c r="V260" s="51">
        <v>0.73195724221815817</v>
      </c>
      <c r="W260" s="50">
        <v>51043</v>
      </c>
      <c r="X260" s="51">
        <v>0.70092414161870475</v>
      </c>
      <c r="Y260" s="50">
        <v>51043</v>
      </c>
      <c r="Z260" s="51">
        <v>0.85517241251801179</v>
      </c>
      <c r="AA260" s="50">
        <v>51043</v>
      </c>
      <c r="AB260" s="51">
        <v>0.88609923429024584</v>
      </c>
      <c r="AC260" s="50">
        <v>51043</v>
      </c>
      <c r="AD260" s="51">
        <v>0.57862480655534432</v>
      </c>
      <c r="AE260" s="50">
        <v>51043</v>
      </c>
      <c r="AF260" s="51">
        <v>0.59061033130089591</v>
      </c>
    </row>
    <row r="261" spans="1:32" x14ac:dyDescent="0.25">
      <c r="A261" s="50">
        <v>51074</v>
      </c>
      <c r="B261" s="51">
        <v>0.55635580648460214</v>
      </c>
      <c r="C261" s="50">
        <v>51074</v>
      </c>
      <c r="D261" s="51">
        <v>0.55636713813473571</v>
      </c>
      <c r="E261" s="50">
        <v>51074</v>
      </c>
      <c r="F261" s="51">
        <v>0.76182419906863219</v>
      </c>
      <c r="G261" s="50">
        <v>51074</v>
      </c>
      <c r="H261" s="51">
        <v>0.76552265537862341</v>
      </c>
      <c r="I261" s="50">
        <v>51074</v>
      </c>
      <c r="J261" s="51">
        <v>0.22509444881818347</v>
      </c>
      <c r="K261" s="50">
        <v>51074</v>
      </c>
      <c r="L261" s="51">
        <v>0.2250979113065068</v>
      </c>
      <c r="M261" s="50">
        <v>51074</v>
      </c>
      <c r="N261" s="51">
        <v>0.12715535243502013</v>
      </c>
      <c r="O261" s="50">
        <v>51074</v>
      </c>
      <c r="P261" s="51">
        <v>0.15686955778334347</v>
      </c>
      <c r="Q261" s="50">
        <v>51074</v>
      </c>
      <c r="R261" s="51">
        <v>0.88617218927238683</v>
      </c>
      <c r="S261" s="50">
        <v>51074</v>
      </c>
      <c r="T261" s="51">
        <v>0.96251564436408243</v>
      </c>
      <c r="U261" s="50">
        <v>51074</v>
      </c>
      <c r="V261" s="51">
        <v>0.73101440753828739</v>
      </c>
      <c r="W261" s="50">
        <v>51074</v>
      </c>
      <c r="X261" s="51">
        <v>0.6999145876363968</v>
      </c>
      <c r="Y261" s="50">
        <v>51074</v>
      </c>
      <c r="Z261" s="51">
        <v>0.8544942312693381</v>
      </c>
      <c r="AA261" s="50">
        <v>51074</v>
      </c>
      <c r="AB261" s="51">
        <v>0.88544938674593554</v>
      </c>
      <c r="AC261" s="50">
        <v>51074</v>
      </c>
      <c r="AD261" s="51">
        <v>0.5773321867908241</v>
      </c>
      <c r="AE261" s="50">
        <v>51074</v>
      </c>
      <c r="AF261" s="51">
        <v>0.58944892905092061</v>
      </c>
    </row>
    <row r="262" spans="1:32" x14ac:dyDescent="0.25">
      <c r="A262" s="50">
        <v>51104</v>
      </c>
      <c r="B262" s="51">
        <v>0.55507715747464392</v>
      </c>
      <c r="C262" s="50">
        <v>51104</v>
      </c>
      <c r="D262" s="51">
        <v>0.55508846350808938</v>
      </c>
      <c r="E262" s="50">
        <v>51104</v>
      </c>
      <c r="F262" s="51">
        <v>0.76088953193841335</v>
      </c>
      <c r="G262" s="50">
        <v>51104</v>
      </c>
      <c r="H262" s="51">
        <v>0.76444340031221214</v>
      </c>
      <c r="I262" s="50">
        <v>51104</v>
      </c>
      <c r="J262" s="51">
        <v>0.22386808097047609</v>
      </c>
      <c r="K262" s="50">
        <v>51104</v>
      </c>
      <c r="L262" s="51">
        <v>0.22387152459434329</v>
      </c>
      <c r="M262" s="50">
        <v>51104</v>
      </c>
      <c r="N262" s="51">
        <v>0.1262487878335341</v>
      </c>
      <c r="O262" s="50">
        <v>51104</v>
      </c>
      <c r="P262" s="51">
        <v>0.15584268275192636</v>
      </c>
      <c r="Q262" s="50">
        <v>51104</v>
      </c>
      <c r="R262" s="51">
        <v>0.8854127466539814</v>
      </c>
      <c r="S262" s="50">
        <v>51104</v>
      </c>
      <c r="T262" s="51">
        <v>0.96185275101048917</v>
      </c>
      <c r="U262" s="50">
        <v>51104</v>
      </c>
      <c r="V262" s="51">
        <v>0.730101986880348</v>
      </c>
      <c r="W262" s="50">
        <v>51104</v>
      </c>
      <c r="X262" s="51">
        <v>0.69893759991158255</v>
      </c>
      <c r="Y262" s="50">
        <v>51104</v>
      </c>
      <c r="Z262" s="51">
        <v>0.85383792683513771</v>
      </c>
      <c r="AA262" s="50">
        <v>51104</v>
      </c>
      <c r="AB262" s="51">
        <v>0.88482050202563534</v>
      </c>
      <c r="AC262" s="50">
        <v>51104</v>
      </c>
      <c r="AD262" s="51">
        <v>0.57608126443806251</v>
      </c>
      <c r="AE262" s="50">
        <v>51104</v>
      </c>
      <c r="AF262" s="51">
        <v>0.58832499138965411</v>
      </c>
    </row>
    <row r="263" spans="1:32" x14ac:dyDescent="0.25">
      <c r="A263" s="50">
        <v>51135</v>
      </c>
      <c r="B263" s="51">
        <v>0.55375588683102039</v>
      </c>
      <c r="C263" s="50">
        <v>51135</v>
      </c>
      <c r="D263" s="51">
        <v>0.55376716639388812</v>
      </c>
      <c r="E263" s="50">
        <v>51135</v>
      </c>
      <c r="F263" s="51">
        <v>0.75992370923718722</v>
      </c>
      <c r="G263" s="50">
        <v>51135</v>
      </c>
      <c r="H263" s="51">
        <v>0.76332817007692055</v>
      </c>
      <c r="I263" s="50">
        <v>51135</v>
      </c>
      <c r="J263" s="51">
        <v>0.22260083419451177</v>
      </c>
      <c r="K263" s="50">
        <v>51135</v>
      </c>
      <c r="L263" s="51">
        <v>0.22260425832510763</v>
      </c>
      <c r="M263" s="50">
        <v>51135</v>
      </c>
      <c r="N263" s="51">
        <v>0.12531200441199855</v>
      </c>
      <c r="O263" s="50">
        <v>51135</v>
      </c>
      <c r="P263" s="51">
        <v>0.15478157855279534</v>
      </c>
      <c r="Q263" s="50">
        <v>51135</v>
      </c>
      <c r="R263" s="51">
        <v>0.884627989281629</v>
      </c>
      <c r="S263" s="50">
        <v>51135</v>
      </c>
      <c r="T263" s="51">
        <v>0.96116776121177616</v>
      </c>
      <c r="U263" s="50">
        <v>51135</v>
      </c>
      <c r="V263" s="51">
        <v>0.72915915220047711</v>
      </c>
      <c r="W263" s="50">
        <v>51135</v>
      </c>
      <c r="X263" s="51">
        <v>0.69792804592927449</v>
      </c>
      <c r="Y263" s="50">
        <v>51135</v>
      </c>
      <c r="Z263" s="51">
        <v>0.85315974558646401</v>
      </c>
      <c r="AA263" s="50">
        <v>51135</v>
      </c>
      <c r="AB263" s="51">
        <v>0.88417065448132504</v>
      </c>
      <c r="AC263" s="50">
        <v>51135</v>
      </c>
      <c r="AD263" s="51">
        <v>0.57478864467354229</v>
      </c>
      <c r="AE263" s="50">
        <v>51135</v>
      </c>
      <c r="AF263" s="51">
        <v>0.58716358913967881</v>
      </c>
    </row>
    <row r="264" spans="1:32" x14ac:dyDescent="0.25">
      <c r="A264" s="50">
        <v>51166</v>
      </c>
      <c r="B264" s="51">
        <v>0.55243826907990579</v>
      </c>
      <c r="C264" s="50">
        <v>51166</v>
      </c>
      <c r="D264" s="51">
        <v>0.55244952224066157</v>
      </c>
      <c r="E264" s="50">
        <v>51166</v>
      </c>
      <c r="F264" s="51">
        <v>0.7589600591738368</v>
      </c>
      <c r="G264" s="50">
        <v>51166</v>
      </c>
      <c r="H264" s="51">
        <v>0.76220363886415654</v>
      </c>
      <c r="I264" s="50">
        <v>51166</v>
      </c>
      <c r="J264" s="51">
        <v>0.22134071382769591</v>
      </c>
      <c r="K264" s="50">
        <v>51166</v>
      </c>
      <c r="L264" s="51">
        <v>0.22134411857464162</v>
      </c>
      <c r="M264" s="50">
        <v>51166</v>
      </c>
      <c r="N264" s="51">
        <v>0.12437522099046298</v>
      </c>
      <c r="O264" s="50">
        <v>51166</v>
      </c>
      <c r="P264" s="51">
        <v>0.15372047435366432</v>
      </c>
      <c r="Q264" s="50">
        <v>51166</v>
      </c>
      <c r="R264" s="51">
        <v>0.88382080816726205</v>
      </c>
      <c r="S264" s="50">
        <v>51166</v>
      </c>
      <c r="T264" s="51">
        <v>0.96045617148637663</v>
      </c>
      <c r="U264" s="50">
        <v>51166</v>
      </c>
      <c r="V264" s="51">
        <v>0.72820265552226271</v>
      </c>
      <c r="W264" s="50">
        <v>51166</v>
      </c>
      <c r="X264" s="51">
        <v>0.69690525747203125</v>
      </c>
      <c r="Y264" s="50">
        <v>51166</v>
      </c>
      <c r="Z264" s="51">
        <v>0.85247527886599961</v>
      </c>
      <c r="AA264" s="50">
        <v>51166</v>
      </c>
      <c r="AB264" s="51">
        <v>0.88350606070306936</v>
      </c>
      <c r="AC264" s="50">
        <v>51166</v>
      </c>
      <c r="AD264" s="51">
        <v>0.57348462775078568</v>
      </c>
      <c r="AE264" s="50">
        <v>51166</v>
      </c>
      <c r="AF264" s="51">
        <v>0.58599290200104759</v>
      </c>
    </row>
    <row r="265" spans="1:32" x14ac:dyDescent="0.25">
      <c r="A265" s="50">
        <v>51195</v>
      </c>
      <c r="B265" s="51">
        <v>0.55120577283303807</v>
      </c>
      <c r="C265" s="50">
        <v>51195</v>
      </c>
      <c r="D265" s="51">
        <v>0.55121700129717877</v>
      </c>
      <c r="E265" s="50">
        <v>51195</v>
      </c>
      <c r="F265" s="51">
        <v>0.75805864783123844</v>
      </c>
      <c r="G265" s="50">
        <v>51195</v>
      </c>
      <c r="H265" s="51">
        <v>0.76115136802173589</v>
      </c>
      <c r="I265" s="50">
        <v>51195</v>
      </c>
      <c r="J265" s="51">
        <v>0.22016211377042227</v>
      </c>
      <c r="K265" s="50">
        <v>51195</v>
      </c>
      <c r="L265" s="51">
        <v>0.22016550038769417</v>
      </c>
      <c r="M265" s="50">
        <v>51195</v>
      </c>
      <c r="N265" s="51">
        <v>0.1234988752090265</v>
      </c>
      <c r="O265" s="50">
        <v>51195</v>
      </c>
      <c r="P265" s="51">
        <v>0.15272782848996111</v>
      </c>
      <c r="Q265" s="50">
        <v>51195</v>
      </c>
      <c r="R265" s="51">
        <v>0.8830650040188559</v>
      </c>
      <c r="S265" s="50">
        <v>51195</v>
      </c>
      <c r="T265" s="51">
        <v>0.95978966131543952</v>
      </c>
      <c r="U265" s="50">
        <v>51195</v>
      </c>
      <c r="V265" s="51">
        <v>0.7273074422878556</v>
      </c>
      <c r="W265" s="50">
        <v>51195</v>
      </c>
      <c r="X265" s="51">
        <v>0.69594804267894017</v>
      </c>
      <c r="Y265" s="50">
        <v>51195</v>
      </c>
      <c r="Z265" s="51">
        <v>0.85183477529020823</v>
      </c>
      <c r="AA265" s="50">
        <v>51195</v>
      </c>
      <c r="AB265" s="51">
        <v>0.88288388411396512</v>
      </c>
      <c r="AC265" s="50">
        <v>51195</v>
      </c>
      <c r="AD265" s="51">
        <v>0.57226438555682102</v>
      </c>
      <c r="AE265" s="50">
        <v>51195</v>
      </c>
      <c r="AF265" s="51">
        <v>0.58489745353612266</v>
      </c>
    </row>
    <row r="266" spans="1:32" x14ac:dyDescent="0.25">
      <c r="A266" s="50">
        <v>51226</v>
      </c>
      <c r="B266" s="51">
        <v>0.54988827684500718</v>
      </c>
      <c r="C266" s="50">
        <v>51226</v>
      </c>
      <c r="D266" s="51">
        <v>0.54989947890931801</v>
      </c>
      <c r="E266" s="50">
        <v>51226</v>
      </c>
      <c r="F266" s="51">
        <v>0.75709507018915045</v>
      </c>
      <c r="G266" s="50">
        <v>51226</v>
      </c>
      <c r="H266" s="51">
        <v>0.76002652677638949</v>
      </c>
      <c r="I266" s="50">
        <v>51226</v>
      </c>
      <c r="J266" s="51">
        <v>0.21890223095057804</v>
      </c>
      <c r="K266" s="50">
        <v>51226</v>
      </c>
      <c r="L266" s="51">
        <v>0.21890559818785379</v>
      </c>
      <c r="M266" s="50">
        <v>51226</v>
      </c>
      <c r="N266" s="51">
        <v>0.12256209178749095</v>
      </c>
      <c r="O266" s="50">
        <v>51226</v>
      </c>
      <c r="P266" s="51">
        <v>0.15166672429083008</v>
      </c>
      <c r="Q266" s="50">
        <v>51226</v>
      </c>
      <c r="R266" s="51">
        <v>0.88225707544642173</v>
      </c>
      <c r="S266" s="50">
        <v>51226</v>
      </c>
      <c r="T266" s="51">
        <v>0.95907718492581717</v>
      </c>
      <c r="U266" s="50">
        <v>51226</v>
      </c>
      <c r="V266" s="51">
        <v>0.72635049020969633</v>
      </c>
      <c r="W266" s="50">
        <v>51226</v>
      </c>
      <c r="X266" s="51">
        <v>0.6949248130725324</v>
      </c>
      <c r="Y266" s="50">
        <v>51226</v>
      </c>
      <c r="Z266" s="51">
        <v>0.85115009905401751</v>
      </c>
      <c r="AA266" s="50">
        <v>51226</v>
      </c>
      <c r="AB266" s="51">
        <v>0.88221879879457799</v>
      </c>
      <c r="AC266" s="50">
        <v>51226</v>
      </c>
      <c r="AD266" s="51">
        <v>0.57095998872878995</v>
      </c>
      <c r="AE266" s="50">
        <v>51226</v>
      </c>
      <c r="AF266" s="51">
        <v>0.58372645690120284</v>
      </c>
    </row>
    <row r="267" spans="1:32" x14ac:dyDescent="0.25">
      <c r="A267" s="50">
        <v>51256</v>
      </c>
      <c r="B267" s="51">
        <v>0.54861328072755777</v>
      </c>
      <c r="C267" s="50">
        <v>51256</v>
      </c>
      <c r="D267" s="51">
        <v>0.54862445724364617</v>
      </c>
      <c r="E267" s="50">
        <v>51256</v>
      </c>
      <c r="F267" s="51">
        <v>0.75616257569680734</v>
      </c>
      <c r="G267" s="50">
        <v>51256</v>
      </c>
      <c r="H267" s="51">
        <v>0.75893797073250602</v>
      </c>
      <c r="I267" s="50">
        <v>51256</v>
      </c>
      <c r="J267" s="51">
        <v>0.21769005227598612</v>
      </c>
      <c r="K267" s="50">
        <v>51256</v>
      </c>
      <c r="L267" s="51">
        <v>0.21769340086706898</v>
      </c>
      <c r="M267" s="50">
        <v>51256</v>
      </c>
      <c r="N267" s="51">
        <v>0.12165552718600492</v>
      </c>
      <c r="O267" s="50">
        <v>51256</v>
      </c>
      <c r="P267" s="51">
        <v>0.15063984925941296</v>
      </c>
      <c r="Q267" s="50">
        <v>51256</v>
      </c>
      <c r="R267" s="51">
        <v>0.88147520908600163</v>
      </c>
      <c r="S267" s="50">
        <v>51256</v>
      </c>
      <c r="T267" s="51">
        <v>0.95838769164553739</v>
      </c>
      <c r="U267" s="50">
        <v>51256</v>
      </c>
      <c r="V267" s="51">
        <v>0.72542440755341309</v>
      </c>
      <c r="W267" s="50">
        <v>51256</v>
      </c>
      <c r="X267" s="51">
        <v>0.69393459087278297</v>
      </c>
      <c r="Y267" s="50">
        <v>51256</v>
      </c>
      <c r="Z267" s="51">
        <v>0.8504875091480264</v>
      </c>
      <c r="AA267" s="50">
        <v>51256</v>
      </c>
      <c r="AB267" s="51">
        <v>0.88157516784033219</v>
      </c>
      <c r="AC267" s="50">
        <v>51256</v>
      </c>
      <c r="AD267" s="51">
        <v>0.56969766921779208</v>
      </c>
      <c r="AE267" s="50">
        <v>51256</v>
      </c>
      <c r="AF267" s="51">
        <v>0.58259323435128052</v>
      </c>
    </row>
    <row r="268" spans="1:32" x14ac:dyDescent="0.25">
      <c r="A268" s="50">
        <v>51287</v>
      </c>
      <c r="B268" s="51">
        <v>0.54729578473952689</v>
      </c>
      <c r="C268" s="50">
        <v>51287</v>
      </c>
      <c r="D268" s="51">
        <v>0.54730693485578541</v>
      </c>
      <c r="E268" s="50">
        <v>51287</v>
      </c>
      <c r="F268" s="51">
        <v>0.75519899805471946</v>
      </c>
      <c r="G268" s="50">
        <v>51287</v>
      </c>
      <c r="H268" s="51">
        <v>0.75781312948715962</v>
      </c>
      <c r="I268" s="50">
        <v>51287</v>
      </c>
      <c r="J268" s="51">
        <v>0.21643771930727906</v>
      </c>
      <c r="K268" s="50">
        <v>51287</v>
      </c>
      <c r="L268" s="51">
        <v>0.21644104863450042</v>
      </c>
      <c r="M268" s="50">
        <v>51287</v>
      </c>
      <c r="N268" s="51">
        <v>0.12071874376446937</v>
      </c>
      <c r="O268" s="50">
        <v>51287</v>
      </c>
      <c r="P268" s="51">
        <v>0.14957874506028193</v>
      </c>
      <c r="Q268" s="50">
        <v>51287</v>
      </c>
      <c r="R268" s="51">
        <v>0.88066728051356757</v>
      </c>
      <c r="S268" s="50">
        <v>51287</v>
      </c>
      <c r="T268" s="51">
        <v>0.95767521525591504</v>
      </c>
      <c r="U268" s="50">
        <v>51287</v>
      </c>
      <c r="V268" s="51">
        <v>0.72446745547525382</v>
      </c>
      <c r="W268" s="50">
        <v>51287</v>
      </c>
      <c r="X268" s="51">
        <v>0.69291136126637531</v>
      </c>
      <c r="Y268" s="50">
        <v>51287</v>
      </c>
      <c r="Z268" s="51">
        <v>0.84980283291183567</v>
      </c>
      <c r="AA268" s="50">
        <v>51287</v>
      </c>
      <c r="AB268" s="51">
        <v>0.88091008252094505</v>
      </c>
      <c r="AC268" s="50">
        <v>51287</v>
      </c>
      <c r="AD268" s="51">
        <v>0.5683932723897609</v>
      </c>
      <c r="AE268" s="50">
        <v>51287</v>
      </c>
      <c r="AF268" s="51">
        <v>0.5814222377163607</v>
      </c>
    </row>
    <row r="269" spans="1:32" x14ac:dyDescent="0.25">
      <c r="A269" s="50">
        <v>51317</v>
      </c>
      <c r="B269" s="51">
        <v>0.54602078862207759</v>
      </c>
      <c r="C269" s="50">
        <v>51317</v>
      </c>
      <c r="D269" s="51">
        <v>0.54603191319011357</v>
      </c>
      <c r="E269" s="50">
        <v>51317</v>
      </c>
      <c r="F269" s="51">
        <v>0.75426650356237634</v>
      </c>
      <c r="G269" s="50">
        <v>51317</v>
      </c>
      <c r="H269" s="51">
        <v>0.75672457344327615</v>
      </c>
      <c r="I269" s="50">
        <v>51317</v>
      </c>
      <c r="J269" s="51">
        <v>0.21522578417627222</v>
      </c>
      <c r="K269" s="50">
        <v>51317</v>
      </c>
      <c r="L269" s="51">
        <v>0.21522909486104694</v>
      </c>
      <c r="M269" s="50">
        <v>51317</v>
      </c>
      <c r="N269" s="51">
        <v>0.11981217916298334</v>
      </c>
      <c r="O269" s="50">
        <v>51317</v>
      </c>
      <c r="P269" s="51">
        <v>0.14855187002886483</v>
      </c>
      <c r="Q269" s="50">
        <v>51317</v>
      </c>
      <c r="R269" s="51">
        <v>0.87988541415314736</v>
      </c>
      <c r="S269" s="50">
        <v>51317</v>
      </c>
      <c r="T269" s="51">
        <v>0.95698572197563525</v>
      </c>
      <c r="U269" s="50">
        <v>51317</v>
      </c>
      <c r="V269" s="51">
        <v>0.72354137281897069</v>
      </c>
      <c r="W269" s="50">
        <v>51317</v>
      </c>
      <c r="X269" s="51">
        <v>0.69192113906662589</v>
      </c>
      <c r="Y269" s="50">
        <v>51317</v>
      </c>
      <c r="Z269" s="51">
        <v>0.84914024300584456</v>
      </c>
      <c r="AA269" s="50">
        <v>51317</v>
      </c>
      <c r="AB269" s="51">
        <v>0.88026645156669925</v>
      </c>
      <c r="AC269" s="50">
        <v>51317</v>
      </c>
      <c r="AD269" s="51">
        <v>0.56713095287876314</v>
      </c>
      <c r="AE269" s="50">
        <v>51317</v>
      </c>
      <c r="AF269" s="51">
        <v>0.58028901516643838</v>
      </c>
    </row>
    <row r="270" spans="1:32" x14ac:dyDescent="0.25">
      <c r="A270" s="50">
        <v>51348</v>
      </c>
      <c r="B270" s="51">
        <v>0.54473422374992064</v>
      </c>
      <c r="C270" s="50">
        <v>51348</v>
      </c>
      <c r="D270" s="51">
        <v>0.54474532254237251</v>
      </c>
      <c r="E270" s="50">
        <v>51348</v>
      </c>
      <c r="F270" s="51">
        <v>0.75330292592028836</v>
      </c>
      <c r="G270" s="50">
        <v>51348</v>
      </c>
      <c r="H270" s="51">
        <v>0.75559973219792986</v>
      </c>
      <c r="I270" s="50">
        <v>51348</v>
      </c>
      <c r="J270" s="51">
        <v>0.21400675993798005</v>
      </c>
      <c r="K270" s="50">
        <v>51348</v>
      </c>
      <c r="L270" s="51">
        <v>0.2140100518712609</v>
      </c>
      <c r="M270" s="50">
        <v>51348</v>
      </c>
      <c r="N270" s="51">
        <v>0.11887539574144779</v>
      </c>
      <c r="O270" s="50">
        <v>51348</v>
      </c>
      <c r="P270" s="51">
        <v>0.14749076582973381</v>
      </c>
      <c r="Q270" s="50">
        <v>51348</v>
      </c>
      <c r="R270" s="51">
        <v>0.87907571350959302</v>
      </c>
      <c r="S270" s="50">
        <v>51348</v>
      </c>
      <c r="T270" s="51">
        <v>0.95625428681517599</v>
      </c>
      <c r="U270" s="50">
        <v>51348</v>
      </c>
      <c r="V270" s="51">
        <v>0.72261433536678854</v>
      </c>
      <c r="W270" s="50">
        <v>51348</v>
      </c>
      <c r="X270" s="51">
        <v>0.69093213155051836</v>
      </c>
      <c r="Y270" s="50">
        <v>51348</v>
      </c>
      <c r="Z270" s="51">
        <v>0.84845556676965384</v>
      </c>
      <c r="AA270" s="50">
        <v>51348</v>
      </c>
      <c r="AB270" s="51">
        <v>0.87960136624731211</v>
      </c>
      <c r="AC270" s="50">
        <v>51348</v>
      </c>
      <c r="AD270" s="51">
        <v>0.56587457974033706</v>
      </c>
      <c r="AE270" s="50">
        <v>51348</v>
      </c>
      <c r="AF270" s="51">
        <v>0.57916722244208174</v>
      </c>
    </row>
    <row r="271" spans="1:32" x14ac:dyDescent="0.25">
      <c r="A271" s="50">
        <v>51379</v>
      </c>
      <c r="B271" s="51">
        <v>0.54344868991495954</v>
      </c>
      <c r="C271" s="50">
        <v>51379</v>
      </c>
      <c r="D271" s="51">
        <v>0.54345976295263532</v>
      </c>
      <c r="E271" s="50">
        <v>51379</v>
      </c>
      <c r="F271" s="51">
        <v>0.75233934827820048</v>
      </c>
      <c r="G271" s="50">
        <v>51379</v>
      </c>
      <c r="H271" s="51">
        <v>0.75447489095258347</v>
      </c>
      <c r="I271" s="50">
        <v>51379</v>
      </c>
      <c r="J271" s="51">
        <v>0.21278884599070172</v>
      </c>
      <c r="K271" s="50">
        <v>51379</v>
      </c>
      <c r="L271" s="51">
        <v>0.21279211918956759</v>
      </c>
      <c r="M271" s="50">
        <v>51379</v>
      </c>
      <c r="N271" s="51">
        <v>0.11793861231991222</v>
      </c>
      <c r="O271" s="50">
        <v>51379</v>
      </c>
      <c r="P271" s="51">
        <v>0.14642966163060278</v>
      </c>
      <c r="Q271" s="50">
        <v>51379</v>
      </c>
      <c r="R271" s="51">
        <v>0.87826595379700123</v>
      </c>
      <c r="S271" s="50">
        <v>51379</v>
      </c>
      <c r="T271" s="51">
        <v>0.95552221969568896</v>
      </c>
      <c r="U271" s="50">
        <v>51379</v>
      </c>
      <c r="V271" s="51">
        <v>0.72168829506880561</v>
      </c>
      <c r="W271" s="50">
        <v>51379</v>
      </c>
      <c r="X271" s="51">
        <v>0.68994426477075432</v>
      </c>
      <c r="Y271" s="50">
        <v>51379</v>
      </c>
      <c r="Z271" s="51">
        <v>0.84777089053346311</v>
      </c>
      <c r="AA271" s="50">
        <v>51379</v>
      </c>
      <c r="AB271" s="51">
        <v>0.87893628092792486</v>
      </c>
      <c r="AC271" s="50">
        <v>51379</v>
      </c>
      <c r="AD271" s="51">
        <v>0.56461980739156448</v>
      </c>
      <c r="AE271" s="50">
        <v>51379</v>
      </c>
      <c r="AF271" s="51">
        <v>0.57804706984807719</v>
      </c>
    </row>
    <row r="272" spans="1:32" x14ac:dyDescent="0.25">
      <c r="A272" s="50">
        <v>51409</v>
      </c>
      <c r="B272" s="51">
        <v>0.54220462491338428</v>
      </c>
      <c r="C272" s="50">
        <v>51409</v>
      </c>
      <c r="D272" s="51">
        <v>0.54221567302708329</v>
      </c>
      <c r="E272" s="50">
        <v>51409</v>
      </c>
      <c r="F272" s="51">
        <v>0.75140685378585736</v>
      </c>
      <c r="G272" s="50">
        <v>51409</v>
      </c>
      <c r="H272" s="51">
        <v>0.75338633490869999</v>
      </c>
      <c r="I272" s="50">
        <v>51409</v>
      </c>
      <c r="J272" s="51">
        <v>0.21161021959010978</v>
      </c>
      <c r="K272" s="50">
        <v>51409</v>
      </c>
      <c r="L272" s="51">
        <v>0.21161347465889666</v>
      </c>
      <c r="M272" s="50">
        <v>51409</v>
      </c>
      <c r="N272" s="51">
        <v>0.11703204771842621</v>
      </c>
      <c r="O272" s="50">
        <v>51409</v>
      </c>
      <c r="P272" s="51">
        <v>0.14540278659918565</v>
      </c>
      <c r="Q272" s="50">
        <v>51409</v>
      </c>
      <c r="R272" s="51">
        <v>0.87748231536546073</v>
      </c>
      <c r="S272" s="50">
        <v>51409</v>
      </c>
      <c r="T272" s="51">
        <v>0.95481376764457238</v>
      </c>
      <c r="U272" s="50">
        <v>51409</v>
      </c>
      <c r="V272" s="51">
        <v>0.7207921270384996</v>
      </c>
      <c r="W272" s="50">
        <v>51409</v>
      </c>
      <c r="X272" s="51">
        <v>0.68898826466130514</v>
      </c>
      <c r="Y272" s="50">
        <v>51409</v>
      </c>
      <c r="Z272" s="51">
        <v>0.847108300627472</v>
      </c>
      <c r="AA272" s="50">
        <v>51409</v>
      </c>
      <c r="AB272" s="51">
        <v>0.87829264997367917</v>
      </c>
      <c r="AC272" s="50">
        <v>51409</v>
      </c>
      <c r="AD272" s="51">
        <v>0.56340551157017171</v>
      </c>
      <c r="AE272" s="50">
        <v>51409</v>
      </c>
      <c r="AF272" s="51">
        <v>0.57696305120871794</v>
      </c>
    </row>
    <row r="273" spans="1:32" x14ac:dyDescent="0.25">
      <c r="A273" s="50">
        <v>51440</v>
      </c>
      <c r="B273" s="51">
        <v>0.54091909107842318</v>
      </c>
      <c r="C273" s="50">
        <v>51440</v>
      </c>
      <c r="D273" s="51">
        <v>0.5409301134373462</v>
      </c>
      <c r="E273" s="50">
        <v>51440</v>
      </c>
      <c r="F273" s="51">
        <v>0.75044327614376949</v>
      </c>
      <c r="G273" s="50">
        <v>51440</v>
      </c>
      <c r="H273" s="51">
        <v>0.75226149366335371</v>
      </c>
      <c r="I273" s="50">
        <v>51440</v>
      </c>
      <c r="J273" s="51">
        <v>0.21043688078750244</v>
      </c>
      <c r="K273" s="50">
        <v>51440</v>
      </c>
      <c r="L273" s="51">
        <v>0.21044011780754604</v>
      </c>
      <c r="M273" s="50">
        <v>51440</v>
      </c>
      <c r="N273" s="51">
        <v>0.11609526429689065</v>
      </c>
      <c r="O273" s="50">
        <v>51440</v>
      </c>
      <c r="P273" s="51">
        <v>0.14434168240005463</v>
      </c>
      <c r="Q273" s="50">
        <v>51440</v>
      </c>
      <c r="R273" s="51">
        <v>0.87667255565286895</v>
      </c>
      <c r="S273" s="50">
        <v>51440</v>
      </c>
      <c r="T273" s="51">
        <v>0.95408170052508534</v>
      </c>
      <c r="U273" s="50">
        <v>51440</v>
      </c>
      <c r="V273" s="51">
        <v>0.71986608674051666</v>
      </c>
      <c r="W273" s="50">
        <v>51440</v>
      </c>
      <c r="X273" s="51">
        <v>0.68800039788154099</v>
      </c>
      <c r="Y273" s="50">
        <v>51440</v>
      </c>
      <c r="Z273" s="51">
        <v>0.84642362439128127</v>
      </c>
      <c r="AA273" s="50">
        <v>51440</v>
      </c>
      <c r="AB273" s="51">
        <v>0.87762756465429193</v>
      </c>
      <c r="AC273" s="50">
        <v>51440</v>
      </c>
      <c r="AD273" s="51">
        <v>0.56215073922139924</v>
      </c>
      <c r="AE273" s="50">
        <v>51440</v>
      </c>
      <c r="AF273" s="51">
        <v>0.57584289861471338</v>
      </c>
    </row>
    <row r="274" spans="1:32" x14ac:dyDescent="0.25">
      <c r="A274" s="50">
        <v>51470</v>
      </c>
      <c r="B274" s="51">
        <v>0.53967502607684792</v>
      </c>
      <c r="C274" s="50">
        <v>51470</v>
      </c>
      <c r="D274" s="51">
        <v>0.53968602351179407</v>
      </c>
      <c r="E274" s="50">
        <v>51470</v>
      </c>
      <c r="F274" s="51">
        <v>0.74951078165142626</v>
      </c>
      <c r="G274" s="50">
        <v>51470</v>
      </c>
      <c r="H274" s="51">
        <v>0.75117293761947013</v>
      </c>
      <c r="I274" s="50">
        <v>51470</v>
      </c>
      <c r="J274" s="51">
        <v>0.20930282953158147</v>
      </c>
      <c r="K274" s="50">
        <v>51470</v>
      </c>
      <c r="L274" s="51">
        <v>0.20930604910721781</v>
      </c>
      <c r="M274" s="50">
        <v>51470</v>
      </c>
      <c r="N274" s="51">
        <v>0.11518869969540463</v>
      </c>
      <c r="O274" s="50">
        <v>51470</v>
      </c>
      <c r="P274" s="51">
        <v>0.14331480736863753</v>
      </c>
      <c r="Q274" s="50">
        <v>51470</v>
      </c>
      <c r="R274" s="51">
        <v>0.87588891722132856</v>
      </c>
      <c r="S274" s="50">
        <v>51470</v>
      </c>
      <c r="T274" s="51">
        <v>0.95337324847396876</v>
      </c>
      <c r="U274" s="50">
        <v>51470</v>
      </c>
      <c r="V274" s="51">
        <v>0.71896991871021054</v>
      </c>
      <c r="W274" s="50">
        <v>51470</v>
      </c>
      <c r="X274" s="51">
        <v>0.68704439777209192</v>
      </c>
      <c r="Y274" s="50">
        <v>51470</v>
      </c>
      <c r="Z274" s="51">
        <v>0.84576103448529016</v>
      </c>
      <c r="AA274" s="50">
        <v>51470</v>
      </c>
      <c r="AB274" s="51">
        <v>0.87698393370004624</v>
      </c>
      <c r="AC274" s="50">
        <v>51470</v>
      </c>
      <c r="AD274" s="51">
        <v>0.56093644340000648</v>
      </c>
      <c r="AE274" s="50">
        <v>51470</v>
      </c>
      <c r="AF274" s="51">
        <v>0.57475887997535413</v>
      </c>
    </row>
    <row r="275" spans="1:32" x14ac:dyDescent="0.25">
      <c r="A275" s="50">
        <v>51501</v>
      </c>
      <c r="B275" s="51">
        <v>0.53838949224188681</v>
      </c>
      <c r="C275" s="50">
        <v>51501</v>
      </c>
      <c r="D275" s="51">
        <v>0.53840046392205698</v>
      </c>
      <c r="E275" s="50">
        <v>51501</v>
      </c>
      <c r="F275" s="51">
        <v>0.74854720400933838</v>
      </c>
      <c r="G275" s="50">
        <v>51501</v>
      </c>
      <c r="H275" s="51">
        <v>0.75004809637412384</v>
      </c>
      <c r="I275" s="50">
        <v>51501</v>
      </c>
      <c r="J275" s="51">
        <v>0.20813097656712984</v>
      </c>
      <c r="K275" s="50">
        <v>51501</v>
      </c>
      <c r="L275" s="51">
        <v>0.20813417811687862</v>
      </c>
      <c r="M275" s="50">
        <v>51501</v>
      </c>
      <c r="N275" s="51">
        <v>0.11425191627386906</v>
      </c>
      <c r="O275" s="50">
        <v>51501</v>
      </c>
      <c r="P275" s="51">
        <v>0.1422537031695065</v>
      </c>
      <c r="Q275" s="50">
        <v>51501</v>
      </c>
      <c r="R275" s="51">
        <v>0.87507915750873677</v>
      </c>
      <c r="S275" s="50">
        <v>51501</v>
      </c>
      <c r="T275" s="51">
        <v>0.95264118135448173</v>
      </c>
      <c r="U275" s="50">
        <v>51501</v>
      </c>
      <c r="V275" s="51">
        <v>0.71804387841222772</v>
      </c>
      <c r="W275" s="50">
        <v>51501</v>
      </c>
      <c r="X275" s="51">
        <v>0.68605653099232777</v>
      </c>
      <c r="Y275" s="50">
        <v>51501</v>
      </c>
      <c r="Z275" s="51">
        <v>0.84507635824909944</v>
      </c>
      <c r="AA275" s="50">
        <v>51501</v>
      </c>
      <c r="AB275" s="51">
        <v>0.87631884838065899</v>
      </c>
      <c r="AC275" s="50">
        <v>51501</v>
      </c>
      <c r="AD275" s="51">
        <v>0.5596816710512339</v>
      </c>
      <c r="AE275" s="50">
        <v>51501</v>
      </c>
      <c r="AF275" s="51">
        <v>0.57363872738134958</v>
      </c>
    </row>
    <row r="276" spans="1:32" x14ac:dyDescent="0.25">
      <c r="A276" s="50">
        <v>51532</v>
      </c>
      <c r="B276" s="51">
        <v>0.53710072351490035</v>
      </c>
      <c r="C276" s="50">
        <v>51532</v>
      </c>
      <c r="D276" s="51">
        <v>0.5371116693684278</v>
      </c>
      <c r="E276" s="50">
        <v>51532</v>
      </c>
      <c r="F276" s="51">
        <v>0.74758177693562222</v>
      </c>
      <c r="G276" s="50">
        <v>51532</v>
      </c>
      <c r="H276" s="51">
        <v>0.74891052769594135</v>
      </c>
      <c r="I276" s="50">
        <v>51532</v>
      </c>
      <c r="J276" s="51">
        <v>0.20694051967294622</v>
      </c>
      <c r="K276" s="50">
        <v>51532</v>
      </c>
      <c r="L276" s="51">
        <v>0.20694370291063485</v>
      </c>
      <c r="M276" s="50">
        <v>51532</v>
      </c>
      <c r="N276" s="51">
        <v>0.11331513285233351</v>
      </c>
      <c r="O276" s="50">
        <v>51532</v>
      </c>
      <c r="P276" s="51">
        <v>0.14119259897037548</v>
      </c>
      <c r="Q276" s="50">
        <v>51532</v>
      </c>
      <c r="R276" s="51">
        <v>0.87424242916379091</v>
      </c>
      <c r="S276" s="50">
        <v>51532</v>
      </c>
      <c r="T276" s="51">
        <v>0.9518806181554379</v>
      </c>
      <c r="U276" s="50">
        <v>51532</v>
      </c>
      <c r="V276" s="51">
        <v>0.71709468597681969</v>
      </c>
      <c r="W276" s="50">
        <v>51532</v>
      </c>
      <c r="X276" s="51">
        <v>0.68504509841965011</v>
      </c>
      <c r="Y276" s="50">
        <v>51532</v>
      </c>
      <c r="Z276" s="51">
        <v>0.84438282599314329</v>
      </c>
      <c r="AA276" s="50">
        <v>51532</v>
      </c>
      <c r="AB276" s="51">
        <v>0.87563710783738402</v>
      </c>
      <c r="AC276" s="50">
        <v>51532</v>
      </c>
      <c r="AD276" s="51">
        <v>0.5584026504111641</v>
      </c>
      <c r="AE276" s="50">
        <v>51532</v>
      </c>
      <c r="AF276" s="51">
        <v>0.57249643958563246</v>
      </c>
    </row>
    <row r="277" spans="1:32" x14ac:dyDescent="0.25">
      <c r="A277" s="50">
        <v>51560</v>
      </c>
      <c r="B277" s="51">
        <v>0.53593657694753982</v>
      </c>
      <c r="C277" s="50">
        <v>51560</v>
      </c>
      <c r="D277" s="51">
        <v>0.53594749947161324</v>
      </c>
      <c r="E277" s="50">
        <v>51560</v>
      </c>
      <c r="F277" s="51">
        <v>0.7467097226065823</v>
      </c>
      <c r="G277" s="50">
        <v>51560</v>
      </c>
      <c r="H277" s="51">
        <v>0.7478826631176696</v>
      </c>
      <c r="I277" s="50">
        <v>51560</v>
      </c>
      <c r="J277" s="51">
        <v>0.20586470816633681</v>
      </c>
      <c r="K277" s="50">
        <v>51560</v>
      </c>
      <c r="L277" s="51">
        <v>0.20586787485548422</v>
      </c>
      <c r="M277" s="50">
        <v>51560</v>
      </c>
      <c r="N277" s="51">
        <v>0.11246900589094655</v>
      </c>
      <c r="O277" s="50">
        <v>51560</v>
      </c>
      <c r="P277" s="51">
        <v>0.14023418227438617</v>
      </c>
      <c r="Q277" s="50">
        <v>51560</v>
      </c>
      <c r="R277" s="51">
        <v>0.87348586257082261</v>
      </c>
      <c r="S277" s="50">
        <v>51560</v>
      </c>
      <c r="T277" s="51">
        <v>0.95119279990014294</v>
      </c>
      <c r="U277" s="50">
        <v>51560</v>
      </c>
      <c r="V277" s="51">
        <v>0.71623665382027069</v>
      </c>
      <c r="W277" s="50">
        <v>51560</v>
      </c>
      <c r="X277" s="51">
        <v>0.68413083691077825</v>
      </c>
      <c r="Y277" s="50">
        <v>51560</v>
      </c>
      <c r="Z277" s="51">
        <v>0.84375614312910407</v>
      </c>
      <c r="AA277" s="50">
        <v>51560</v>
      </c>
      <c r="AB277" s="51">
        <v>0.87502084073779274</v>
      </c>
      <c r="AC277" s="50">
        <v>51560</v>
      </c>
      <c r="AD277" s="51">
        <v>0.55724667590598675</v>
      </c>
      <c r="AE277" s="50">
        <v>51560</v>
      </c>
      <c r="AF277" s="51">
        <v>0.57146402933396545</v>
      </c>
    </row>
    <row r="278" spans="1:32" x14ac:dyDescent="0.25">
      <c r="A278" s="50">
        <v>51591</v>
      </c>
      <c r="B278" s="51">
        <v>0.5346477003908191</v>
      </c>
      <c r="C278" s="50">
        <v>51591</v>
      </c>
      <c r="D278" s="51">
        <v>0.53465859708585439</v>
      </c>
      <c r="E278" s="50">
        <v>51591</v>
      </c>
      <c r="F278" s="51">
        <v>0.74574423388514521</v>
      </c>
      <c r="G278" s="50">
        <v>51591</v>
      </c>
      <c r="H278" s="51">
        <v>0.74674467019172597</v>
      </c>
      <c r="I278" s="50">
        <v>51591</v>
      </c>
      <c r="J278" s="51">
        <v>0.20467363114116213</v>
      </c>
      <c r="K278" s="50">
        <v>51591</v>
      </c>
      <c r="L278" s="51">
        <v>0.2046767795087103</v>
      </c>
      <c r="M278" s="50">
        <v>51591</v>
      </c>
      <c r="N278" s="51">
        <v>0.111532222469411</v>
      </c>
      <c r="O278" s="50">
        <v>51591</v>
      </c>
      <c r="P278" s="51">
        <v>0.13917307807525514</v>
      </c>
      <c r="Q278" s="50">
        <v>51591</v>
      </c>
      <c r="R278" s="51">
        <v>0.87264823527146496</v>
      </c>
      <c r="S278" s="50">
        <v>51591</v>
      </c>
      <c r="T278" s="51">
        <v>0.95043128683178058</v>
      </c>
      <c r="U278" s="50">
        <v>51591</v>
      </c>
      <c r="V278" s="51">
        <v>0.71528668964694853</v>
      </c>
      <c r="W278" s="50">
        <v>51591</v>
      </c>
      <c r="X278" s="51">
        <v>0.68311861881167013</v>
      </c>
      <c r="Y278" s="50">
        <v>51591</v>
      </c>
      <c r="Z278" s="51">
        <v>0.84306231567248913</v>
      </c>
      <c r="AA278" s="50">
        <v>51591</v>
      </c>
      <c r="AB278" s="51">
        <v>0.87433854502038821</v>
      </c>
      <c r="AC278" s="50">
        <v>51591</v>
      </c>
      <c r="AD278" s="51">
        <v>0.55596684698954035</v>
      </c>
      <c r="AE278" s="50">
        <v>51591</v>
      </c>
      <c r="AF278" s="51">
        <v>0.57032100369819139</v>
      </c>
    </row>
    <row r="279" spans="1:32" x14ac:dyDescent="0.25">
      <c r="A279" s="50">
        <v>51621</v>
      </c>
      <c r="B279" s="51">
        <v>0.53340040049721849</v>
      </c>
      <c r="C279" s="50">
        <v>51621</v>
      </c>
      <c r="D279" s="51">
        <v>0.53341127219641016</v>
      </c>
      <c r="E279" s="50">
        <v>51621</v>
      </c>
      <c r="F279" s="51">
        <v>0.74480988996117392</v>
      </c>
      <c r="G279" s="50">
        <v>51621</v>
      </c>
      <c r="H279" s="51">
        <v>0.7456433867150063</v>
      </c>
      <c r="I279" s="50">
        <v>51621</v>
      </c>
      <c r="J279" s="51">
        <v>0.20353982395013917</v>
      </c>
      <c r="K279" s="50">
        <v>51621</v>
      </c>
      <c r="L279" s="51">
        <v>0.20354295487703433</v>
      </c>
      <c r="M279" s="50">
        <v>51621</v>
      </c>
      <c r="N279" s="51">
        <v>0.11062565786792497</v>
      </c>
      <c r="O279" s="50">
        <v>51621</v>
      </c>
      <c r="P279" s="51">
        <v>0.13814620304383804</v>
      </c>
      <c r="Q279" s="50">
        <v>51621</v>
      </c>
      <c r="R279" s="51">
        <v>0.87183762820757049</v>
      </c>
      <c r="S279" s="50">
        <v>51621</v>
      </c>
      <c r="T279" s="51">
        <v>0.94969433870110731</v>
      </c>
      <c r="U279" s="50">
        <v>51621</v>
      </c>
      <c r="V279" s="51">
        <v>0.71436736947921742</v>
      </c>
      <c r="W279" s="50">
        <v>51621</v>
      </c>
      <c r="X279" s="51">
        <v>0.68213905290930743</v>
      </c>
      <c r="Y279" s="50">
        <v>51621</v>
      </c>
      <c r="Z279" s="51">
        <v>0.84239086974673272</v>
      </c>
      <c r="AA279" s="50">
        <v>51621</v>
      </c>
      <c r="AB279" s="51">
        <v>0.8736782588422547</v>
      </c>
      <c r="AC279" s="50">
        <v>51621</v>
      </c>
      <c r="AD279" s="51">
        <v>0.55472830287685038</v>
      </c>
      <c r="AE279" s="50">
        <v>51621</v>
      </c>
      <c r="AF279" s="51">
        <v>0.56921484985711956</v>
      </c>
    </row>
    <row r="280" spans="1:32" x14ac:dyDescent="0.25">
      <c r="A280" s="50">
        <v>51652</v>
      </c>
      <c r="B280" s="51">
        <v>0.53211152394049788</v>
      </c>
      <c r="C280" s="50">
        <v>51652</v>
      </c>
      <c r="D280" s="51">
        <v>0.53212236981065131</v>
      </c>
      <c r="E280" s="50">
        <v>51652</v>
      </c>
      <c r="F280" s="51">
        <v>0.74384440123973683</v>
      </c>
      <c r="G280" s="50">
        <v>51652</v>
      </c>
      <c r="H280" s="51">
        <v>0.74450539378906266</v>
      </c>
      <c r="I280" s="50">
        <v>51652</v>
      </c>
      <c r="J280" s="51">
        <v>0.20236889478129308</v>
      </c>
      <c r="K280" s="50">
        <v>51652</v>
      </c>
      <c r="L280" s="51">
        <v>0.20237200769651087</v>
      </c>
      <c r="M280" s="50">
        <v>51652</v>
      </c>
      <c r="N280" s="51">
        <v>0.10968887444638942</v>
      </c>
      <c r="O280" s="50">
        <v>51652</v>
      </c>
      <c r="P280" s="51">
        <v>0.13708509884470702</v>
      </c>
      <c r="Q280" s="50">
        <v>51652</v>
      </c>
      <c r="R280" s="51">
        <v>0.87100000090821283</v>
      </c>
      <c r="S280" s="50">
        <v>51652</v>
      </c>
      <c r="T280" s="51">
        <v>0.94893282563274506</v>
      </c>
      <c r="U280" s="50">
        <v>51652</v>
      </c>
      <c r="V280" s="51">
        <v>0.71341740530589526</v>
      </c>
      <c r="W280" s="50">
        <v>51652</v>
      </c>
      <c r="X280" s="51">
        <v>0.68112683481019931</v>
      </c>
      <c r="Y280" s="50">
        <v>51652</v>
      </c>
      <c r="Z280" s="51">
        <v>0.84169704229011788</v>
      </c>
      <c r="AA280" s="50">
        <v>51652</v>
      </c>
      <c r="AB280" s="51">
        <v>0.87299596312485017</v>
      </c>
      <c r="AC280" s="50">
        <v>51652</v>
      </c>
      <c r="AD280" s="51">
        <v>0.55344847396040397</v>
      </c>
      <c r="AE280" s="50">
        <v>51652</v>
      </c>
      <c r="AF280" s="51">
        <v>0.56807182422134539</v>
      </c>
    </row>
    <row r="281" spans="1:32" x14ac:dyDescent="0.25">
      <c r="A281" s="50">
        <v>51682</v>
      </c>
      <c r="B281" s="51">
        <v>0.53086422404689726</v>
      </c>
      <c r="C281" s="50">
        <v>51682</v>
      </c>
      <c r="D281" s="51">
        <v>0.53087504492120718</v>
      </c>
      <c r="E281" s="50">
        <v>51682</v>
      </c>
      <c r="F281" s="51">
        <v>0.74291005731576554</v>
      </c>
      <c r="G281" s="50">
        <v>51682</v>
      </c>
      <c r="H281" s="51">
        <v>0.74340411031234299</v>
      </c>
      <c r="I281" s="50">
        <v>51682</v>
      </c>
      <c r="J281" s="51">
        <v>0.20123573752111945</v>
      </c>
      <c r="K281" s="50">
        <v>51682</v>
      </c>
      <c r="L281" s="51">
        <v>0.20123883300568168</v>
      </c>
      <c r="M281" s="50">
        <v>51682</v>
      </c>
      <c r="N281" s="51">
        <v>0.10878230984490339</v>
      </c>
      <c r="O281" s="50">
        <v>51682</v>
      </c>
      <c r="P281" s="51">
        <v>0.13605822381328989</v>
      </c>
      <c r="Q281" s="50">
        <v>51682</v>
      </c>
      <c r="R281" s="51">
        <v>0.87018939384431837</v>
      </c>
      <c r="S281" s="50">
        <v>51682</v>
      </c>
      <c r="T281" s="51">
        <v>0.94819587750207179</v>
      </c>
      <c r="U281" s="50">
        <v>51682</v>
      </c>
      <c r="V281" s="51">
        <v>0.71249808513816415</v>
      </c>
      <c r="W281" s="50">
        <v>51682</v>
      </c>
      <c r="X281" s="51">
        <v>0.68014726890783661</v>
      </c>
      <c r="Y281" s="50">
        <v>51682</v>
      </c>
      <c r="Z281" s="51">
        <v>0.84102559636436147</v>
      </c>
      <c r="AA281" s="50">
        <v>51682</v>
      </c>
      <c r="AB281" s="51">
        <v>0.87233567694671665</v>
      </c>
      <c r="AC281" s="50">
        <v>51682</v>
      </c>
      <c r="AD281" s="51">
        <v>0.55220992984771389</v>
      </c>
      <c r="AE281" s="50">
        <v>51682</v>
      </c>
      <c r="AF281" s="51">
        <v>0.56696567038027357</v>
      </c>
    </row>
    <row r="282" spans="1:32" x14ac:dyDescent="0.25">
      <c r="A282" s="50">
        <v>51713</v>
      </c>
      <c r="B282" s="51">
        <v>0.52961224005762486</v>
      </c>
      <c r="C282" s="50">
        <v>51713</v>
      </c>
      <c r="D282" s="51">
        <v>0.52962303584895221</v>
      </c>
      <c r="E282" s="50">
        <v>51713</v>
      </c>
      <c r="F282" s="51">
        <v>0.74194456859432845</v>
      </c>
      <c r="G282" s="50">
        <v>51713</v>
      </c>
      <c r="H282" s="51">
        <v>0.74226611738639925</v>
      </c>
      <c r="I282" s="50">
        <v>51713</v>
      </c>
      <c r="J282" s="51">
        <v>0.20009595195784358</v>
      </c>
      <c r="K282" s="50">
        <v>51713</v>
      </c>
      <c r="L282" s="51">
        <v>0.20009902990979131</v>
      </c>
      <c r="M282" s="50">
        <v>51713</v>
      </c>
      <c r="N282" s="51">
        <v>0.10784552642336784</v>
      </c>
      <c r="O282" s="50">
        <v>51713</v>
      </c>
      <c r="P282" s="51">
        <v>0.13499711961415886</v>
      </c>
      <c r="Q282" s="50">
        <v>51713</v>
      </c>
      <c r="R282" s="51">
        <v>0.86935302507400425</v>
      </c>
      <c r="S282" s="50">
        <v>51713</v>
      </c>
      <c r="T282" s="51">
        <v>0.94741739136011616</v>
      </c>
      <c r="U282" s="50">
        <v>51713</v>
      </c>
      <c r="V282" s="51">
        <v>0.71158253504526114</v>
      </c>
      <c r="W282" s="50">
        <v>51713</v>
      </c>
      <c r="X282" s="51">
        <v>0.67917404038440754</v>
      </c>
      <c r="Y282" s="50">
        <v>51713</v>
      </c>
      <c r="Z282" s="51">
        <v>0.84033176890774652</v>
      </c>
      <c r="AA282" s="50">
        <v>51713</v>
      </c>
      <c r="AB282" s="51">
        <v>0.87165338122931213</v>
      </c>
      <c r="AC282" s="50">
        <v>51713</v>
      </c>
      <c r="AD282" s="51">
        <v>0.55098357483309601</v>
      </c>
      <c r="AE282" s="50">
        <v>51713</v>
      </c>
      <c r="AF282" s="51">
        <v>0.56587705916264464</v>
      </c>
    </row>
    <row r="283" spans="1:32" x14ac:dyDescent="0.25">
      <c r="A283" s="50">
        <v>51744</v>
      </c>
      <c r="B283" s="51">
        <v>0.52836148582060072</v>
      </c>
      <c r="C283" s="50">
        <v>51744</v>
      </c>
      <c r="D283" s="51">
        <v>0.52837225655381403</v>
      </c>
      <c r="E283" s="50">
        <v>51744</v>
      </c>
      <c r="F283" s="51">
        <v>0.74097907987289136</v>
      </c>
      <c r="G283" s="50">
        <v>51744</v>
      </c>
      <c r="H283" s="51">
        <v>0.74112812446045562</v>
      </c>
      <c r="I283" s="50">
        <v>51744</v>
      </c>
      <c r="J283" s="51">
        <v>0.19895720451475341</v>
      </c>
      <c r="K283" s="50">
        <v>51744</v>
      </c>
      <c r="L283" s="51">
        <v>0.19896026495005539</v>
      </c>
      <c r="M283" s="50">
        <v>51744</v>
      </c>
      <c r="N283" s="51">
        <v>0.10690874300183228</v>
      </c>
      <c r="O283" s="50">
        <v>51744</v>
      </c>
      <c r="P283" s="51">
        <v>0.13393601541502784</v>
      </c>
      <c r="Q283" s="50">
        <v>51744</v>
      </c>
      <c r="R283" s="51">
        <v>0.86851669825465838</v>
      </c>
      <c r="S283" s="50">
        <v>51744</v>
      </c>
      <c r="T283" s="51">
        <v>0.94663833944904074</v>
      </c>
      <c r="U283" s="50">
        <v>51744</v>
      </c>
      <c r="V283" s="51">
        <v>0.71066813208837198</v>
      </c>
      <c r="W283" s="50">
        <v>51744</v>
      </c>
      <c r="X283" s="51">
        <v>0.67820211151350118</v>
      </c>
      <c r="Y283" s="50">
        <v>51744</v>
      </c>
      <c r="Z283" s="51">
        <v>0.83963794145113169</v>
      </c>
      <c r="AA283" s="50">
        <v>51744</v>
      </c>
      <c r="AB283" s="51">
        <v>0.87097108551190761</v>
      </c>
      <c r="AC283" s="50">
        <v>51744</v>
      </c>
      <c r="AD283" s="51">
        <v>0.54975900228187236</v>
      </c>
      <c r="AE283" s="50">
        <v>51744</v>
      </c>
      <c r="AF283" s="51">
        <v>0.56479026175895375</v>
      </c>
    </row>
    <row r="284" spans="1:32" x14ac:dyDescent="0.25">
      <c r="A284" s="50">
        <v>51774</v>
      </c>
      <c r="B284" s="51">
        <v>0.52715107849444842</v>
      </c>
      <c r="C284" s="50">
        <v>51774</v>
      </c>
      <c r="D284" s="51">
        <v>0.52716182497787389</v>
      </c>
      <c r="E284" s="50">
        <v>51774</v>
      </c>
      <c r="F284" s="51">
        <v>0.74004473594891995</v>
      </c>
      <c r="G284" s="50">
        <v>51774</v>
      </c>
      <c r="H284" s="51">
        <v>0.74002684098373595</v>
      </c>
      <c r="I284" s="50">
        <v>51774</v>
      </c>
      <c r="J284" s="51">
        <v>0.19785519086015002</v>
      </c>
      <c r="K284" s="50">
        <v>51774</v>
      </c>
      <c r="L284" s="51">
        <v>0.19785823434385932</v>
      </c>
      <c r="M284" s="50">
        <v>51774</v>
      </c>
      <c r="N284" s="51">
        <v>0.10600217840034626</v>
      </c>
      <c r="O284" s="50">
        <v>51774</v>
      </c>
      <c r="P284" s="51">
        <v>0.13290914038361074</v>
      </c>
      <c r="Q284" s="50">
        <v>51774</v>
      </c>
      <c r="R284" s="51">
        <v>0.86770734971980745</v>
      </c>
      <c r="S284" s="50">
        <v>51774</v>
      </c>
      <c r="T284" s="51">
        <v>0.94588441824477421</v>
      </c>
      <c r="U284" s="50">
        <v>51774</v>
      </c>
      <c r="V284" s="51">
        <v>0.70978322600106003</v>
      </c>
      <c r="W284" s="50">
        <v>51774</v>
      </c>
      <c r="X284" s="51">
        <v>0.67726153518681753</v>
      </c>
      <c r="Y284" s="50">
        <v>51774</v>
      </c>
      <c r="Z284" s="51">
        <v>0.83896649552537528</v>
      </c>
      <c r="AA284" s="50">
        <v>51774</v>
      </c>
      <c r="AB284" s="51">
        <v>0.87031079933377409</v>
      </c>
      <c r="AC284" s="50">
        <v>51774</v>
      </c>
      <c r="AD284" s="51">
        <v>0.54857393207101079</v>
      </c>
      <c r="AE284" s="50">
        <v>51774</v>
      </c>
      <c r="AF284" s="51">
        <v>0.56373852233602717</v>
      </c>
    </row>
    <row r="285" spans="1:32" x14ac:dyDescent="0.25">
      <c r="A285" s="50">
        <v>51805</v>
      </c>
      <c r="B285" s="51">
        <v>0.52590032425742428</v>
      </c>
      <c r="C285" s="50">
        <v>51805</v>
      </c>
      <c r="D285" s="51">
        <v>0.52591104568273583</v>
      </c>
      <c r="E285" s="50">
        <v>51805</v>
      </c>
      <c r="F285" s="51">
        <v>0.73907924722748297</v>
      </c>
      <c r="G285" s="50">
        <v>51805</v>
      </c>
      <c r="H285" s="51">
        <v>0.73888884805779231</v>
      </c>
      <c r="I285" s="50">
        <v>51805</v>
      </c>
      <c r="J285" s="51">
        <v>0.19675812110055532</v>
      </c>
      <c r="K285" s="50">
        <v>51805</v>
      </c>
      <c r="L285" s="51">
        <v>0.19676114770872086</v>
      </c>
      <c r="M285" s="50">
        <v>51805</v>
      </c>
      <c r="N285" s="51">
        <v>0.10506539497881071</v>
      </c>
      <c r="O285" s="50">
        <v>51805</v>
      </c>
      <c r="P285" s="51">
        <v>0.13184803618447971</v>
      </c>
      <c r="Q285" s="50">
        <v>51805</v>
      </c>
      <c r="R285" s="51">
        <v>0.86687102290046159</v>
      </c>
      <c r="S285" s="50">
        <v>51805</v>
      </c>
      <c r="T285" s="51">
        <v>0.94510536633369879</v>
      </c>
      <c r="U285" s="50">
        <v>51805</v>
      </c>
      <c r="V285" s="51">
        <v>0.70886882304417098</v>
      </c>
      <c r="W285" s="50">
        <v>51805</v>
      </c>
      <c r="X285" s="51">
        <v>0.67628960631591106</v>
      </c>
      <c r="Y285" s="50">
        <v>51805</v>
      </c>
      <c r="Z285" s="51">
        <v>0.83827266806876033</v>
      </c>
      <c r="AA285" s="50">
        <v>51805</v>
      </c>
      <c r="AB285" s="51">
        <v>0.86962850361636956</v>
      </c>
      <c r="AC285" s="50">
        <v>51805</v>
      </c>
      <c r="AD285" s="51">
        <v>0.54734935951978714</v>
      </c>
      <c r="AE285" s="50">
        <v>51805</v>
      </c>
      <c r="AF285" s="51">
        <v>0.56265172493233628</v>
      </c>
    </row>
    <row r="286" spans="1:32" x14ac:dyDescent="0.25">
      <c r="A286" s="50">
        <v>51835</v>
      </c>
      <c r="B286" s="51">
        <v>0.52468991693127187</v>
      </c>
      <c r="C286" s="50">
        <v>51835</v>
      </c>
      <c r="D286" s="51">
        <v>0.52470061410679569</v>
      </c>
      <c r="E286" s="50">
        <v>51835</v>
      </c>
      <c r="F286" s="51">
        <v>0.73814490330351157</v>
      </c>
      <c r="G286" s="50">
        <v>51835</v>
      </c>
      <c r="H286" s="51">
        <v>0.73778756458107264</v>
      </c>
      <c r="I286" s="50">
        <v>51835</v>
      </c>
      <c r="J286" s="51">
        <v>0.19569778512944744</v>
      </c>
      <c r="K286" s="50">
        <v>51835</v>
      </c>
      <c r="L286" s="51">
        <v>0.19570079542712226</v>
      </c>
      <c r="M286" s="50">
        <v>51835</v>
      </c>
      <c r="N286" s="51">
        <v>0.10415883037732468</v>
      </c>
      <c r="O286" s="50">
        <v>51835</v>
      </c>
      <c r="P286" s="51">
        <v>0.13082116115306258</v>
      </c>
      <c r="Q286" s="50">
        <v>51835</v>
      </c>
      <c r="R286" s="51">
        <v>0.86606167436561066</v>
      </c>
      <c r="S286" s="50">
        <v>51835</v>
      </c>
      <c r="T286" s="51">
        <v>0.94435144512943225</v>
      </c>
      <c r="U286" s="50">
        <v>51835</v>
      </c>
      <c r="V286" s="51">
        <v>0.70798391695685892</v>
      </c>
      <c r="W286" s="50">
        <v>51835</v>
      </c>
      <c r="X286" s="51">
        <v>0.67534902998922741</v>
      </c>
      <c r="Y286" s="50">
        <v>51835</v>
      </c>
      <c r="Z286" s="51">
        <v>0.83760122214300403</v>
      </c>
      <c r="AA286" s="50">
        <v>51835</v>
      </c>
      <c r="AB286" s="51">
        <v>0.86896821743823605</v>
      </c>
      <c r="AC286" s="50">
        <v>51835</v>
      </c>
      <c r="AD286" s="51">
        <v>0.54616428930892547</v>
      </c>
      <c r="AE286" s="50">
        <v>51835</v>
      </c>
      <c r="AF286" s="51">
        <v>0.5615999855094097</v>
      </c>
    </row>
    <row r="287" spans="1:32" x14ac:dyDescent="0.25">
      <c r="A287" s="50">
        <v>51866</v>
      </c>
      <c r="B287" s="51">
        <v>0.52343916269424773</v>
      </c>
      <c r="C287" s="50">
        <v>51866</v>
      </c>
      <c r="D287" s="51">
        <v>0.52344983481165752</v>
      </c>
      <c r="E287" s="50">
        <v>51866</v>
      </c>
      <c r="F287" s="51">
        <v>0.73717941458207448</v>
      </c>
      <c r="G287" s="50">
        <v>51866</v>
      </c>
      <c r="H287" s="51">
        <v>0.7366495716551289</v>
      </c>
      <c r="I287" s="50">
        <v>51866</v>
      </c>
      <c r="J287" s="51">
        <v>0.19460210462596925</v>
      </c>
      <c r="K287" s="50">
        <v>51866</v>
      </c>
      <c r="L287" s="51">
        <v>0.19460509806947038</v>
      </c>
      <c r="M287" s="50">
        <v>51866</v>
      </c>
      <c r="N287" s="51">
        <v>0.10322204695578913</v>
      </c>
      <c r="O287" s="50">
        <v>51866</v>
      </c>
      <c r="P287" s="51">
        <v>0.12976005695393156</v>
      </c>
      <c r="Q287" s="50">
        <v>51866</v>
      </c>
      <c r="R287" s="51">
        <v>0.86522534754626479</v>
      </c>
      <c r="S287" s="50">
        <v>51866</v>
      </c>
      <c r="T287" s="51">
        <v>0.94357239321835684</v>
      </c>
      <c r="U287" s="50">
        <v>51866</v>
      </c>
      <c r="V287" s="51">
        <v>0.70706951399996987</v>
      </c>
      <c r="W287" s="50">
        <v>51866</v>
      </c>
      <c r="X287" s="51">
        <v>0.67437710111832105</v>
      </c>
      <c r="Y287" s="50">
        <v>51866</v>
      </c>
      <c r="Z287" s="51">
        <v>0.83690739468638908</v>
      </c>
      <c r="AA287" s="50">
        <v>51866</v>
      </c>
      <c r="AB287" s="51">
        <v>0.86828592172083152</v>
      </c>
      <c r="AC287" s="50">
        <v>51866</v>
      </c>
      <c r="AD287" s="51">
        <v>0.54493971675770192</v>
      </c>
      <c r="AE287" s="50">
        <v>51866</v>
      </c>
      <c r="AF287" s="51">
        <v>0.56051318810571882</v>
      </c>
    </row>
    <row r="288" spans="1:32" x14ac:dyDescent="0.25">
      <c r="A288" s="50">
        <v>51897</v>
      </c>
      <c r="B288" s="51">
        <v>0.522185275003762</v>
      </c>
      <c r="C288" s="50">
        <v>51897</v>
      </c>
      <c r="D288" s="51">
        <v>0.52219592199322473</v>
      </c>
      <c r="E288" s="50">
        <v>51897</v>
      </c>
      <c r="F288" s="51">
        <v>0.73621448482470431</v>
      </c>
      <c r="G288" s="50">
        <v>51897</v>
      </c>
      <c r="H288" s="51">
        <v>0.73550176127506395</v>
      </c>
      <c r="I288" s="50">
        <v>51897</v>
      </c>
      <c r="J288" s="51">
        <v>0.1934890294802333</v>
      </c>
      <c r="K288" s="50">
        <v>51897</v>
      </c>
      <c r="L288" s="51">
        <v>0.19349200580198969</v>
      </c>
      <c r="M288" s="50">
        <v>51897</v>
      </c>
      <c r="N288" s="51">
        <v>0.10228526353425357</v>
      </c>
      <c r="O288" s="50">
        <v>51897</v>
      </c>
      <c r="P288" s="51">
        <v>0.12869895275480053</v>
      </c>
      <c r="Q288" s="50">
        <v>51897</v>
      </c>
      <c r="R288" s="51">
        <v>0.86436205000917454</v>
      </c>
      <c r="S288" s="50">
        <v>51897</v>
      </c>
      <c r="T288" s="51">
        <v>0.94276452084955076</v>
      </c>
      <c r="U288" s="50">
        <v>51897</v>
      </c>
      <c r="V288" s="51">
        <v>0.70613230578180941</v>
      </c>
      <c r="W288" s="50">
        <v>51897</v>
      </c>
      <c r="X288" s="51">
        <v>0.67338200660430736</v>
      </c>
      <c r="Y288" s="50">
        <v>51897</v>
      </c>
      <c r="Z288" s="51">
        <v>0.83620635730230886</v>
      </c>
      <c r="AA288" s="50">
        <v>51897</v>
      </c>
      <c r="AB288" s="51">
        <v>0.86758847292747876</v>
      </c>
      <c r="AC288" s="50">
        <v>51897</v>
      </c>
      <c r="AD288" s="51">
        <v>0.54369155184348361</v>
      </c>
      <c r="AE288" s="50">
        <v>51897</v>
      </c>
      <c r="AF288" s="51">
        <v>0.55940472662634633</v>
      </c>
    </row>
    <row r="289" spans="1:32" x14ac:dyDescent="0.25">
      <c r="A289" s="50">
        <v>51925</v>
      </c>
      <c r="B289" s="51">
        <v>0.5210526369427888</v>
      </c>
      <c r="C289" s="50">
        <v>51925</v>
      </c>
      <c r="D289" s="51">
        <v>0.52106326123393898</v>
      </c>
      <c r="E289" s="50">
        <v>51925</v>
      </c>
      <c r="F289" s="51">
        <v>0.73534295219546009</v>
      </c>
      <c r="G289" s="50">
        <v>51925</v>
      </c>
      <c r="H289" s="51">
        <v>0.73446473373961241</v>
      </c>
      <c r="I289" s="50">
        <v>51925</v>
      </c>
      <c r="J289" s="51">
        <v>0.19248314757442533</v>
      </c>
      <c r="K289" s="50">
        <v>51925</v>
      </c>
      <c r="L289" s="51">
        <v>0.19248610842332411</v>
      </c>
      <c r="M289" s="50">
        <v>51925</v>
      </c>
      <c r="N289" s="51">
        <v>0.10143913657286663</v>
      </c>
      <c r="O289" s="50">
        <v>51925</v>
      </c>
      <c r="P289" s="51">
        <v>0.12774053605881125</v>
      </c>
      <c r="Q289" s="50">
        <v>51925</v>
      </c>
      <c r="R289" s="51">
        <v>0.86358148537341906</v>
      </c>
      <c r="S289" s="50">
        <v>51925</v>
      </c>
      <c r="T289" s="51">
        <v>0.94203396196501998</v>
      </c>
      <c r="U289" s="50">
        <v>51925</v>
      </c>
      <c r="V289" s="51">
        <v>0.70528510852313153</v>
      </c>
      <c r="W289" s="50">
        <v>51925</v>
      </c>
      <c r="X289" s="51">
        <v>0.67248251409916926</v>
      </c>
      <c r="Y289" s="50">
        <v>51925</v>
      </c>
      <c r="Z289" s="51">
        <v>0.83557294517263536</v>
      </c>
      <c r="AA289" s="50">
        <v>51925</v>
      </c>
      <c r="AB289" s="51">
        <v>0.86695806295700262</v>
      </c>
      <c r="AC289" s="50">
        <v>51925</v>
      </c>
      <c r="AD289" s="51">
        <v>0.54256346677455114</v>
      </c>
      <c r="AE289" s="50">
        <v>51925</v>
      </c>
      <c r="AF289" s="51">
        <v>0.55840288336097854</v>
      </c>
    </row>
    <row r="290" spans="1:32" x14ac:dyDescent="0.25">
      <c r="A290" s="50">
        <v>51956</v>
      </c>
      <c r="B290" s="51">
        <v>0.51979864480385429</v>
      </c>
      <c r="C290" s="50">
        <v>51956</v>
      </c>
      <c r="D290" s="51">
        <v>0.51980924396472972</v>
      </c>
      <c r="E290" s="50">
        <v>51956</v>
      </c>
      <c r="F290" s="51">
        <v>0.73437804107022553</v>
      </c>
      <c r="G290" s="50">
        <v>51956</v>
      </c>
      <c r="H290" s="51">
        <v>0.7333165961110768</v>
      </c>
      <c r="I290" s="50">
        <v>51956</v>
      </c>
      <c r="J290" s="51">
        <v>0.19136949260728078</v>
      </c>
      <c r="K290" s="50">
        <v>51956</v>
      </c>
      <c r="L290" s="51">
        <v>0.19137243632551579</v>
      </c>
      <c r="M290" s="50">
        <v>51956</v>
      </c>
      <c r="N290" s="51">
        <v>0.10050235315133106</v>
      </c>
      <c r="O290" s="50">
        <v>51956</v>
      </c>
      <c r="P290" s="51">
        <v>0.12667943185968022</v>
      </c>
      <c r="Q290" s="50">
        <v>51956</v>
      </c>
      <c r="R290" s="51">
        <v>0.86271728881240395</v>
      </c>
      <c r="S290" s="50">
        <v>51956</v>
      </c>
      <c r="T290" s="51">
        <v>0.94122512891428944</v>
      </c>
      <c r="U290" s="50">
        <v>51956</v>
      </c>
      <c r="V290" s="51">
        <v>0.70434714012959532</v>
      </c>
      <c r="W290" s="50">
        <v>51956</v>
      </c>
      <c r="X290" s="51">
        <v>0.67148664739705211</v>
      </c>
      <c r="Y290" s="50">
        <v>51956</v>
      </c>
      <c r="Z290" s="51">
        <v>0.83487166745763963</v>
      </c>
      <c r="AA290" s="50">
        <v>51956</v>
      </c>
      <c r="AB290" s="51">
        <v>0.86626010906111828</v>
      </c>
      <c r="AC290" s="50">
        <v>51956</v>
      </c>
      <c r="AD290" s="51">
        <v>0.54131451544823317</v>
      </c>
      <c r="AE290" s="50">
        <v>51956</v>
      </c>
      <c r="AF290" s="51">
        <v>0.55729369974574994</v>
      </c>
    </row>
    <row r="291" spans="1:32" x14ac:dyDescent="0.25">
      <c r="A291" s="50">
        <v>51986</v>
      </c>
      <c r="B291" s="51">
        <v>0.5185851040242403</v>
      </c>
      <c r="C291" s="50">
        <v>51986</v>
      </c>
      <c r="D291" s="51">
        <v>0.51859567886549496</v>
      </c>
      <c r="E291" s="50">
        <v>51986</v>
      </c>
      <c r="F291" s="51">
        <v>0.73344425611032105</v>
      </c>
      <c r="G291" s="50">
        <v>51986</v>
      </c>
      <c r="H291" s="51">
        <v>0.73220549518023581</v>
      </c>
      <c r="I291" s="50">
        <v>51986</v>
      </c>
      <c r="J291" s="51">
        <v>0.19030938483643212</v>
      </c>
      <c r="K291" s="50">
        <v>51986</v>
      </c>
      <c r="L291" s="51">
        <v>0.19031231224768669</v>
      </c>
      <c r="M291" s="50">
        <v>51986</v>
      </c>
      <c r="N291" s="51">
        <v>9.9595788549845035E-2</v>
      </c>
      <c r="O291" s="50">
        <v>51986</v>
      </c>
      <c r="P291" s="51">
        <v>0.1256525568282631</v>
      </c>
      <c r="Q291" s="50">
        <v>51986</v>
      </c>
      <c r="R291" s="51">
        <v>0.86188096955980875</v>
      </c>
      <c r="S291" s="50">
        <v>51986</v>
      </c>
      <c r="T291" s="51">
        <v>0.94044238725229212</v>
      </c>
      <c r="U291" s="50">
        <v>51986</v>
      </c>
      <c r="V291" s="51">
        <v>0.70343942878101196</v>
      </c>
      <c r="W291" s="50">
        <v>51986</v>
      </c>
      <c r="X291" s="51">
        <v>0.67052290542726134</v>
      </c>
      <c r="Y291" s="50">
        <v>51986</v>
      </c>
      <c r="Z291" s="51">
        <v>0.83419301160441794</v>
      </c>
      <c r="AA291" s="50">
        <v>51986</v>
      </c>
      <c r="AB291" s="51">
        <v>0.86558466980703663</v>
      </c>
      <c r="AC291" s="50">
        <v>51986</v>
      </c>
      <c r="AD291" s="51">
        <v>0.54010585287437696</v>
      </c>
      <c r="AE291" s="50">
        <v>51986</v>
      </c>
      <c r="AF291" s="51">
        <v>0.55622029624714164</v>
      </c>
    </row>
    <row r="292" spans="1:32" x14ac:dyDescent="0.25">
      <c r="A292" s="50">
        <v>52017</v>
      </c>
      <c r="B292" s="51">
        <v>0.51733111188530578</v>
      </c>
      <c r="C292" s="50">
        <v>52017</v>
      </c>
      <c r="D292" s="51">
        <v>0.5173416615962857</v>
      </c>
      <c r="E292" s="50">
        <v>52017</v>
      </c>
      <c r="F292" s="51">
        <v>0.73247934498508638</v>
      </c>
      <c r="G292" s="50">
        <v>52017</v>
      </c>
      <c r="H292" s="51">
        <v>0.7310573575517002</v>
      </c>
      <c r="I292" s="50">
        <v>52017</v>
      </c>
      <c r="J292" s="51">
        <v>0.18921456808025405</v>
      </c>
      <c r="K292" s="50">
        <v>52017</v>
      </c>
      <c r="L292" s="51">
        <v>0.18921747865062136</v>
      </c>
      <c r="M292" s="50">
        <v>52017</v>
      </c>
      <c r="N292" s="51">
        <v>9.8659005128309482E-2</v>
      </c>
      <c r="O292" s="50">
        <v>52017</v>
      </c>
      <c r="P292" s="51">
        <v>0.12459145262913207</v>
      </c>
      <c r="Q292" s="50">
        <v>52017</v>
      </c>
      <c r="R292" s="51">
        <v>0.86101677299879364</v>
      </c>
      <c r="S292" s="50">
        <v>52017</v>
      </c>
      <c r="T292" s="51">
        <v>0.93963355420156169</v>
      </c>
      <c r="U292" s="50">
        <v>52017</v>
      </c>
      <c r="V292" s="51">
        <v>0.70250146038747574</v>
      </c>
      <c r="W292" s="50">
        <v>52017</v>
      </c>
      <c r="X292" s="51">
        <v>0.66952703872514407</v>
      </c>
      <c r="Y292" s="50">
        <v>52017</v>
      </c>
      <c r="Z292" s="51">
        <v>0.83349173388942221</v>
      </c>
      <c r="AA292" s="50">
        <v>52017</v>
      </c>
      <c r="AB292" s="51">
        <v>0.86488671591115229</v>
      </c>
      <c r="AC292" s="50">
        <v>52017</v>
      </c>
      <c r="AD292" s="51">
        <v>0.53885690154805888</v>
      </c>
      <c r="AE292" s="50">
        <v>52017</v>
      </c>
      <c r="AF292" s="51">
        <v>0.55511111263191304</v>
      </c>
    </row>
    <row r="293" spans="1:32" x14ac:dyDescent="0.25">
      <c r="A293" s="50">
        <v>52047</v>
      </c>
      <c r="B293" s="51">
        <v>0.51611757110569179</v>
      </c>
      <c r="C293" s="50">
        <v>52047</v>
      </c>
      <c r="D293" s="51">
        <v>0.51612809649705094</v>
      </c>
      <c r="E293" s="50">
        <v>52047</v>
      </c>
      <c r="F293" s="51">
        <v>0.7315455600251819</v>
      </c>
      <c r="G293" s="50">
        <v>52047</v>
      </c>
      <c r="H293" s="51">
        <v>0.72994625662085921</v>
      </c>
      <c r="I293" s="50">
        <v>52047</v>
      </c>
      <c r="J293" s="51">
        <v>0.18815506799363013</v>
      </c>
      <c r="K293" s="50">
        <v>52047</v>
      </c>
      <c r="L293" s="51">
        <v>0.18815796226636461</v>
      </c>
      <c r="M293" s="50">
        <v>52047</v>
      </c>
      <c r="N293" s="51">
        <v>9.7752440526823456E-2</v>
      </c>
      <c r="O293" s="50">
        <v>52047</v>
      </c>
      <c r="P293" s="51">
        <v>0.12356457759771496</v>
      </c>
      <c r="Q293" s="50">
        <v>52047</v>
      </c>
      <c r="R293" s="51">
        <v>0.86018045374619845</v>
      </c>
      <c r="S293" s="50">
        <v>52047</v>
      </c>
      <c r="T293" s="51">
        <v>0.93885081253956437</v>
      </c>
      <c r="U293" s="50">
        <v>52047</v>
      </c>
      <c r="V293" s="51">
        <v>0.70159374903889227</v>
      </c>
      <c r="W293" s="50">
        <v>52047</v>
      </c>
      <c r="X293" s="51">
        <v>0.66856329675535331</v>
      </c>
      <c r="Y293" s="50">
        <v>52047</v>
      </c>
      <c r="Z293" s="51">
        <v>0.83281307803620053</v>
      </c>
      <c r="AA293" s="50">
        <v>52047</v>
      </c>
      <c r="AB293" s="51">
        <v>0.86421127665707076</v>
      </c>
      <c r="AC293" s="50">
        <v>52047</v>
      </c>
      <c r="AD293" s="51">
        <v>0.53764823897420266</v>
      </c>
      <c r="AE293" s="50">
        <v>52047</v>
      </c>
      <c r="AF293" s="51">
        <v>0.55403770913330475</v>
      </c>
    </row>
    <row r="294" spans="1:32" x14ac:dyDescent="0.25">
      <c r="A294" s="50">
        <v>52078</v>
      </c>
      <c r="B294" s="51">
        <v>0.51489946817147425</v>
      </c>
      <c r="C294" s="50">
        <v>52078</v>
      </c>
      <c r="D294" s="51">
        <v>0.5149099691585145</v>
      </c>
      <c r="E294" s="50">
        <v>52078</v>
      </c>
      <c r="F294" s="51">
        <v>0.73058064889994734</v>
      </c>
      <c r="G294" s="50">
        <v>52078</v>
      </c>
      <c r="H294" s="51">
        <v>0.72879811899232361</v>
      </c>
      <c r="I294" s="50">
        <v>52078</v>
      </c>
      <c r="J294" s="51">
        <v>0.18708937045502161</v>
      </c>
      <c r="K294" s="50">
        <v>52078</v>
      </c>
      <c r="L294" s="51">
        <v>0.18709224833479168</v>
      </c>
      <c r="M294" s="50">
        <v>52078</v>
      </c>
      <c r="N294" s="51">
        <v>9.6815657105287903E-2</v>
      </c>
      <c r="O294" s="50">
        <v>52078</v>
      </c>
      <c r="P294" s="51">
        <v>0.12250347339858395</v>
      </c>
      <c r="Q294" s="50">
        <v>52078</v>
      </c>
      <c r="R294" s="51">
        <v>0.85931819360493333</v>
      </c>
      <c r="S294" s="50">
        <v>52078</v>
      </c>
      <c r="T294" s="51">
        <v>0.93802613021940107</v>
      </c>
      <c r="U294" s="50">
        <v>52078</v>
      </c>
      <c r="V294" s="51">
        <v>0.70068972665849227</v>
      </c>
      <c r="W294" s="50">
        <v>52078</v>
      </c>
      <c r="X294" s="51">
        <v>0.66760577685955425</v>
      </c>
      <c r="Y294" s="50">
        <v>52078</v>
      </c>
      <c r="Z294" s="51">
        <v>0.8321118003212048</v>
      </c>
      <c r="AA294" s="50">
        <v>52078</v>
      </c>
      <c r="AB294" s="51">
        <v>0.86351332276118642</v>
      </c>
      <c r="AC294" s="50">
        <v>52078</v>
      </c>
      <c r="AD294" s="51">
        <v>0.53645143103401416</v>
      </c>
      <c r="AE294" s="50">
        <v>52078</v>
      </c>
      <c r="AF294" s="51">
        <v>0.55298148689600279</v>
      </c>
    </row>
    <row r="295" spans="1:32" x14ac:dyDescent="0.25">
      <c r="A295" s="50">
        <v>52109</v>
      </c>
      <c r="B295" s="51">
        <v>0.51368256154408065</v>
      </c>
      <c r="C295" s="50">
        <v>52109</v>
      </c>
      <c r="D295" s="51">
        <v>0.51369303815100054</v>
      </c>
      <c r="E295" s="50">
        <v>52109</v>
      </c>
      <c r="F295" s="51">
        <v>0.72961573777471267</v>
      </c>
      <c r="G295" s="50">
        <v>52109</v>
      </c>
      <c r="H295" s="51">
        <v>0.727649981363788</v>
      </c>
      <c r="I295" s="50">
        <v>52109</v>
      </c>
      <c r="J295" s="51">
        <v>0.18602464355699874</v>
      </c>
      <c r="K295" s="50">
        <v>52109</v>
      </c>
      <c r="L295" s="51">
        <v>0.18602750505873519</v>
      </c>
      <c r="M295" s="50">
        <v>52109</v>
      </c>
      <c r="N295" s="51">
        <v>9.587887368375235E-2</v>
      </c>
      <c r="O295" s="50">
        <v>52109</v>
      </c>
      <c r="P295" s="51">
        <v>0.12144236919945292</v>
      </c>
      <c r="Q295" s="50">
        <v>52109</v>
      </c>
      <c r="R295" s="51">
        <v>0.85845599801099326</v>
      </c>
      <c r="S295" s="50">
        <v>52109</v>
      </c>
      <c r="T295" s="51">
        <v>0.93720091959025675</v>
      </c>
      <c r="U295" s="50">
        <v>52109</v>
      </c>
      <c r="V295" s="51">
        <v>0.69978683581186352</v>
      </c>
      <c r="W295" s="50">
        <v>52109</v>
      </c>
      <c r="X295" s="51">
        <v>0.66664953519063253</v>
      </c>
      <c r="Y295" s="50">
        <v>52109</v>
      </c>
      <c r="Z295" s="51">
        <v>0.83141052260620918</v>
      </c>
      <c r="AA295" s="50">
        <v>52109</v>
      </c>
      <c r="AB295" s="51">
        <v>0.86281536886530208</v>
      </c>
      <c r="AC295" s="50">
        <v>52109</v>
      </c>
      <c r="AD295" s="51">
        <v>0.53525636120669651</v>
      </c>
      <c r="AE295" s="50">
        <v>52109</v>
      </c>
      <c r="AF295" s="51">
        <v>0.55192703003796506</v>
      </c>
    </row>
    <row r="296" spans="1:32" x14ac:dyDescent="0.25">
      <c r="A296" s="50">
        <v>52139</v>
      </c>
      <c r="B296" s="51">
        <v>0.51250490996918352</v>
      </c>
      <c r="C296" s="50">
        <v>52139</v>
      </c>
      <c r="D296" s="51">
        <v>0.51251536298243872</v>
      </c>
      <c r="E296" s="50">
        <v>52139</v>
      </c>
      <c r="F296" s="51">
        <v>0.72868195281480819</v>
      </c>
      <c r="G296" s="50">
        <v>52139</v>
      </c>
      <c r="H296" s="51">
        <v>0.72653888043294701</v>
      </c>
      <c r="I296" s="50">
        <v>52139</v>
      </c>
      <c r="J296" s="51">
        <v>0.18499426268794436</v>
      </c>
      <c r="K296" s="50">
        <v>52139</v>
      </c>
      <c r="L296" s="51">
        <v>0.18499710833997082</v>
      </c>
      <c r="M296" s="50">
        <v>52139</v>
      </c>
      <c r="N296" s="51">
        <v>9.4972309082266324E-2</v>
      </c>
      <c r="O296" s="50">
        <v>52139</v>
      </c>
      <c r="P296" s="51">
        <v>0.12041549416803579</v>
      </c>
      <c r="Q296" s="50">
        <v>52139</v>
      </c>
      <c r="R296" s="51">
        <v>0.85762161517814794</v>
      </c>
      <c r="S296" s="50">
        <v>52139</v>
      </c>
      <c r="T296" s="51">
        <v>0.93640232865882667</v>
      </c>
      <c r="U296" s="50">
        <v>52139</v>
      </c>
      <c r="V296" s="51">
        <v>0.69891307047641626</v>
      </c>
      <c r="W296" s="50">
        <v>52139</v>
      </c>
      <c r="X296" s="51">
        <v>0.66572414002715996</v>
      </c>
      <c r="Y296" s="50">
        <v>52139</v>
      </c>
      <c r="Z296" s="51">
        <v>0.83073186675298749</v>
      </c>
      <c r="AA296" s="50">
        <v>52139</v>
      </c>
      <c r="AB296" s="51">
        <v>0.86213992961122043</v>
      </c>
      <c r="AC296" s="50">
        <v>52139</v>
      </c>
      <c r="AD296" s="51">
        <v>0.53409984201896987</v>
      </c>
      <c r="AE296" s="50">
        <v>52139</v>
      </c>
      <c r="AF296" s="51">
        <v>0.55090658791728342</v>
      </c>
    </row>
    <row r="297" spans="1:32" x14ac:dyDescent="0.25">
      <c r="A297" s="50">
        <v>52170</v>
      </c>
      <c r="B297" s="51">
        <v>0.51128800334178992</v>
      </c>
      <c r="C297" s="50">
        <v>52170</v>
      </c>
      <c r="D297" s="51">
        <v>0.51129843197492475</v>
      </c>
      <c r="E297" s="50">
        <v>52170</v>
      </c>
      <c r="F297" s="51">
        <v>0.72771704168957352</v>
      </c>
      <c r="G297" s="50">
        <v>52170</v>
      </c>
      <c r="H297" s="51">
        <v>0.7253907428044114</v>
      </c>
      <c r="I297" s="50">
        <v>52170</v>
      </c>
      <c r="J297" s="51">
        <v>0.18396850435220818</v>
      </c>
      <c r="K297" s="50">
        <v>52170</v>
      </c>
      <c r="L297" s="51">
        <v>0.18397133422563033</v>
      </c>
      <c r="M297" s="50">
        <v>52170</v>
      </c>
      <c r="N297" s="51">
        <v>9.403552566073077E-2</v>
      </c>
      <c r="O297" s="50">
        <v>52170</v>
      </c>
      <c r="P297" s="51">
        <v>0.11935438996890477</v>
      </c>
      <c r="Q297" s="50">
        <v>52170</v>
      </c>
      <c r="R297" s="51">
        <v>0.85675941958420787</v>
      </c>
      <c r="S297" s="50">
        <v>52170</v>
      </c>
      <c r="T297" s="51">
        <v>0.93557711802968224</v>
      </c>
      <c r="U297" s="50">
        <v>52170</v>
      </c>
      <c r="V297" s="51">
        <v>0.6980101796297874</v>
      </c>
      <c r="W297" s="50">
        <v>52170</v>
      </c>
      <c r="X297" s="51">
        <v>0.66476789835823824</v>
      </c>
      <c r="Y297" s="50">
        <v>52170</v>
      </c>
      <c r="Z297" s="51">
        <v>0.83003058903799176</v>
      </c>
      <c r="AA297" s="50">
        <v>52170</v>
      </c>
      <c r="AB297" s="51">
        <v>0.86144197571533609</v>
      </c>
      <c r="AC297" s="50">
        <v>52170</v>
      </c>
      <c r="AD297" s="51">
        <v>0.53290477219165233</v>
      </c>
      <c r="AE297" s="50">
        <v>52170</v>
      </c>
      <c r="AF297" s="51">
        <v>0.54985213105924569</v>
      </c>
    </row>
    <row r="298" spans="1:32" x14ac:dyDescent="0.25">
      <c r="A298" s="50">
        <v>52200</v>
      </c>
      <c r="B298" s="51">
        <v>0.5101103517668929</v>
      </c>
      <c r="C298" s="50">
        <v>52200</v>
      </c>
      <c r="D298" s="51">
        <v>0.51012075680636282</v>
      </c>
      <c r="E298" s="50">
        <v>52200</v>
      </c>
      <c r="F298" s="51">
        <v>0.72678325672966904</v>
      </c>
      <c r="G298" s="50">
        <v>52200</v>
      </c>
      <c r="H298" s="51">
        <v>0.72427964187357041</v>
      </c>
      <c r="I298" s="50">
        <v>52200</v>
      </c>
      <c r="J298" s="51">
        <v>0.18297709204544052</v>
      </c>
      <c r="K298" s="50">
        <v>52200</v>
      </c>
      <c r="L298" s="51">
        <v>0.18297990666858199</v>
      </c>
      <c r="M298" s="50">
        <v>52200</v>
      </c>
      <c r="N298" s="51">
        <v>9.3128961059244758E-2</v>
      </c>
      <c r="O298" s="50">
        <v>52200</v>
      </c>
      <c r="P298" s="51">
        <v>0.11832751493748767</v>
      </c>
      <c r="Q298" s="50">
        <v>52200</v>
      </c>
      <c r="R298" s="51">
        <v>0.85592503675136256</v>
      </c>
      <c r="S298" s="50">
        <v>52200</v>
      </c>
      <c r="T298" s="51">
        <v>0.93477852709825227</v>
      </c>
      <c r="U298" s="50">
        <v>52200</v>
      </c>
      <c r="V298" s="51">
        <v>0.69713641429434015</v>
      </c>
      <c r="W298" s="50">
        <v>52200</v>
      </c>
      <c r="X298" s="51">
        <v>0.66384250319476557</v>
      </c>
      <c r="Y298" s="50">
        <v>52200</v>
      </c>
      <c r="Z298" s="51">
        <v>0.82935193318477007</v>
      </c>
      <c r="AA298" s="50">
        <v>52200</v>
      </c>
      <c r="AB298" s="51">
        <v>0.86076653646125445</v>
      </c>
      <c r="AC298" s="50">
        <v>52200</v>
      </c>
      <c r="AD298" s="51">
        <v>0.53174825300392559</v>
      </c>
      <c r="AE298" s="50">
        <v>52200</v>
      </c>
      <c r="AF298" s="51">
        <v>0.54883168893856404</v>
      </c>
    </row>
    <row r="299" spans="1:32" x14ac:dyDescent="0.25">
      <c r="A299" s="50">
        <v>52231</v>
      </c>
      <c r="B299" s="51">
        <v>0.5088934451394993</v>
      </c>
      <c r="C299" s="50">
        <v>52231</v>
      </c>
      <c r="D299" s="51">
        <v>0.50890382579884885</v>
      </c>
      <c r="E299" s="50">
        <v>52231</v>
      </c>
      <c r="F299" s="51">
        <v>0.72581834560443448</v>
      </c>
      <c r="G299" s="50">
        <v>52231</v>
      </c>
      <c r="H299" s="51">
        <v>0.72313150424503481</v>
      </c>
      <c r="I299" s="50">
        <v>52231</v>
      </c>
      <c r="J299" s="51">
        <v>0.18195263266178058</v>
      </c>
      <c r="K299" s="50">
        <v>52231</v>
      </c>
      <c r="L299" s="51">
        <v>0.1819554315262987</v>
      </c>
      <c r="M299" s="50">
        <v>52231</v>
      </c>
      <c r="N299" s="51">
        <v>9.2192177637709177E-2</v>
      </c>
      <c r="O299" s="50">
        <v>52231</v>
      </c>
      <c r="P299" s="51">
        <v>0.11726641073835664</v>
      </c>
      <c r="Q299" s="50">
        <v>52231</v>
      </c>
      <c r="R299" s="51">
        <v>0.85506284115742248</v>
      </c>
      <c r="S299" s="50">
        <v>52231</v>
      </c>
      <c r="T299" s="51">
        <v>0.93395331646910784</v>
      </c>
      <c r="U299" s="50">
        <v>52231</v>
      </c>
      <c r="V299" s="51">
        <v>0.69623352344771139</v>
      </c>
      <c r="W299" s="50">
        <v>52231</v>
      </c>
      <c r="X299" s="51">
        <v>0.66288626152584385</v>
      </c>
      <c r="Y299" s="50">
        <v>52231</v>
      </c>
      <c r="Z299" s="51">
        <v>0.82865065546977434</v>
      </c>
      <c r="AA299" s="50">
        <v>52231</v>
      </c>
      <c r="AB299" s="51">
        <v>0.86006858256537011</v>
      </c>
      <c r="AC299" s="50">
        <v>52231</v>
      </c>
      <c r="AD299" s="51">
        <v>0.53055318317660805</v>
      </c>
      <c r="AE299" s="50">
        <v>52231</v>
      </c>
      <c r="AF299" s="51">
        <v>0.54777723208052642</v>
      </c>
    </row>
    <row r="300" spans="1:32" x14ac:dyDescent="0.25">
      <c r="A300" s="50">
        <v>52262</v>
      </c>
      <c r="B300" s="51">
        <v>0.50767350365382669</v>
      </c>
      <c r="C300" s="50">
        <v>52262</v>
      </c>
      <c r="D300" s="51">
        <v>0.50768385986519993</v>
      </c>
      <c r="E300" s="50">
        <v>52262</v>
      </c>
      <c r="F300" s="51">
        <v>0.72485424989117608</v>
      </c>
      <c r="G300" s="50">
        <v>52262</v>
      </c>
      <c r="H300" s="51">
        <v>0.72197433592333815</v>
      </c>
      <c r="I300" s="50">
        <v>52262</v>
      </c>
      <c r="J300" s="51">
        <v>0.18091190931756854</v>
      </c>
      <c r="K300" s="50">
        <v>52262</v>
      </c>
      <c r="L300" s="51">
        <v>0.18091469217328474</v>
      </c>
      <c r="M300" s="50">
        <v>52262</v>
      </c>
      <c r="N300" s="51">
        <v>9.1255394216173624E-2</v>
      </c>
      <c r="O300" s="50">
        <v>52262</v>
      </c>
      <c r="P300" s="51">
        <v>0.11620530653922562</v>
      </c>
      <c r="Q300" s="50">
        <v>52262</v>
      </c>
      <c r="R300" s="51">
        <v>0.85417369822338063</v>
      </c>
      <c r="S300" s="50">
        <v>52262</v>
      </c>
      <c r="T300" s="51">
        <v>0.93309900662564726</v>
      </c>
      <c r="U300" s="50">
        <v>52262</v>
      </c>
      <c r="V300" s="51">
        <v>0.69530817018400082</v>
      </c>
      <c r="W300" s="50">
        <v>52262</v>
      </c>
      <c r="X300" s="51">
        <v>0.66190724800152423</v>
      </c>
      <c r="Y300" s="50">
        <v>52262</v>
      </c>
      <c r="Z300" s="51">
        <v>0.8279424046568985</v>
      </c>
      <c r="AA300" s="50">
        <v>52262</v>
      </c>
      <c r="AB300" s="51">
        <v>0.85935584085850747</v>
      </c>
      <c r="AC300" s="50">
        <v>52262</v>
      </c>
      <c r="AD300" s="51">
        <v>0.5293351613057633</v>
      </c>
      <c r="AE300" s="50">
        <v>52262</v>
      </c>
      <c r="AF300" s="51">
        <v>0.5467015681140166</v>
      </c>
    </row>
    <row r="301" spans="1:32" x14ac:dyDescent="0.25">
      <c r="A301" s="50">
        <v>52290</v>
      </c>
      <c r="B301" s="51">
        <v>0.50657152964952912</v>
      </c>
      <c r="C301" s="50">
        <v>52290</v>
      </c>
      <c r="D301" s="51">
        <v>0.50658186377681613</v>
      </c>
      <c r="E301" s="50">
        <v>52290</v>
      </c>
      <c r="F301" s="51">
        <v>0.72398347831310983</v>
      </c>
      <c r="G301" s="50">
        <v>52290</v>
      </c>
      <c r="H301" s="51">
        <v>0.72092887974093622</v>
      </c>
      <c r="I301" s="50">
        <v>52290</v>
      </c>
      <c r="J301" s="51">
        <v>0.17997141146807008</v>
      </c>
      <c r="K301" s="50">
        <v>52290</v>
      </c>
      <c r="L301" s="51">
        <v>0.17997417985669098</v>
      </c>
      <c r="M301" s="50">
        <v>52290</v>
      </c>
      <c r="N301" s="51">
        <v>9.0409267254786679E-2</v>
      </c>
      <c r="O301" s="50">
        <v>52290</v>
      </c>
      <c r="P301" s="51">
        <v>0.11524688984323631</v>
      </c>
      <c r="Q301" s="50">
        <v>52290</v>
      </c>
      <c r="R301" s="51">
        <v>0.85336979006196345</v>
      </c>
      <c r="S301" s="50">
        <v>52290</v>
      </c>
      <c r="T301" s="51">
        <v>0.9323264958229508</v>
      </c>
      <c r="U301" s="50">
        <v>52290</v>
      </c>
      <c r="V301" s="51">
        <v>0.69447169094830719</v>
      </c>
      <c r="W301" s="50">
        <v>52290</v>
      </c>
      <c r="X301" s="51">
        <v>0.66102229211724506</v>
      </c>
      <c r="Y301" s="50">
        <v>52290</v>
      </c>
      <c r="Z301" s="51">
        <v>0.82730248430253683</v>
      </c>
      <c r="AA301" s="50">
        <v>52290</v>
      </c>
      <c r="AB301" s="51">
        <v>0.85871162893111819</v>
      </c>
      <c r="AC301" s="50">
        <v>52290</v>
      </c>
      <c r="AD301" s="51">
        <v>0.52823432148992644</v>
      </c>
      <c r="AE301" s="50">
        <v>52290</v>
      </c>
      <c r="AF301" s="51">
        <v>0.54572936216680656</v>
      </c>
    </row>
    <row r="302" spans="1:32" x14ac:dyDescent="0.25">
      <c r="A302" s="50">
        <v>52321</v>
      </c>
      <c r="B302" s="51">
        <v>0.5053514870019139</v>
      </c>
      <c r="C302" s="50">
        <v>52321</v>
      </c>
      <c r="D302" s="51">
        <v>0.50536179667896264</v>
      </c>
      <c r="E302" s="50">
        <v>52321</v>
      </c>
      <c r="F302" s="51">
        <v>0.72301940978025081</v>
      </c>
      <c r="G302" s="50">
        <v>52321</v>
      </c>
      <c r="H302" s="51">
        <v>0.71977141039613424</v>
      </c>
      <c r="I302" s="50">
        <v>52321</v>
      </c>
      <c r="J302" s="51">
        <v>0.17893014599183965</v>
      </c>
      <c r="K302" s="50">
        <v>52321</v>
      </c>
      <c r="L302" s="51">
        <v>0.17893289836331935</v>
      </c>
      <c r="M302" s="50">
        <v>52321</v>
      </c>
      <c r="N302" s="51">
        <v>8.9472483833251126E-2</v>
      </c>
      <c r="O302" s="50">
        <v>52321</v>
      </c>
      <c r="P302" s="51">
        <v>0.11418578564410528</v>
      </c>
      <c r="Q302" s="50">
        <v>52321</v>
      </c>
      <c r="R302" s="51">
        <v>0.85247974888325162</v>
      </c>
      <c r="S302" s="50">
        <v>52321</v>
      </c>
      <c r="T302" s="51">
        <v>0.93147121600567973</v>
      </c>
      <c r="U302" s="50">
        <v>52321</v>
      </c>
      <c r="V302" s="51">
        <v>0.69354558893736062</v>
      </c>
      <c r="W302" s="50">
        <v>52321</v>
      </c>
      <c r="X302" s="51">
        <v>0.66004251953107884</v>
      </c>
      <c r="Y302" s="50">
        <v>52321</v>
      </c>
      <c r="Z302" s="51">
        <v>0.82659400105306491</v>
      </c>
      <c r="AA302" s="50">
        <v>52321</v>
      </c>
      <c r="AB302" s="51">
        <v>0.8579983942972228</v>
      </c>
      <c r="AC302" s="50">
        <v>52321</v>
      </c>
      <c r="AD302" s="51">
        <v>0.52701553455096406</v>
      </c>
      <c r="AE302" s="50">
        <v>52321</v>
      </c>
      <c r="AF302" s="51">
        <v>0.5446529912966811</v>
      </c>
    </row>
    <row r="303" spans="1:32" x14ac:dyDescent="0.25">
      <c r="A303" s="50">
        <v>52351</v>
      </c>
      <c r="B303" s="51">
        <v>0.50417080056873798</v>
      </c>
      <c r="C303" s="50">
        <v>52351</v>
      </c>
      <c r="D303" s="51">
        <v>0.50418108658426575</v>
      </c>
      <c r="E303" s="50">
        <v>52351</v>
      </c>
      <c r="F303" s="51">
        <v>0.7220864402323226</v>
      </c>
      <c r="G303" s="50">
        <v>52351</v>
      </c>
      <c r="H303" s="51">
        <v>0.71865127877213231</v>
      </c>
      <c r="I303" s="50">
        <v>52351</v>
      </c>
      <c r="J303" s="51">
        <v>0.17793894705192137</v>
      </c>
      <c r="K303" s="50">
        <v>52351</v>
      </c>
      <c r="L303" s="51">
        <v>0.17794168417640244</v>
      </c>
      <c r="M303" s="50">
        <v>52351</v>
      </c>
      <c r="N303" s="51">
        <v>8.85659192317651E-2</v>
      </c>
      <c r="O303" s="50">
        <v>52351</v>
      </c>
      <c r="P303" s="51">
        <v>0.11315891061268818</v>
      </c>
      <c r="Q303" s="50">
        <v>52351</v>
      </c>
      <c r="R303" s="51">
        <v>0.85161841871030464</v>
      </c>
      <c r="S303" s="50">
        <v>52351</v>
      </c>
      <c r="T303" s="51">
        <v>0.93064352585993348</v>
      </c>
      <c r="U303" s="50">
        <v>52351</v>
      </c>
      <c r="V303" s="51">
        <v>0.69264936118483178</v>
      </c>
      <c r="W303" s="50">
        <v>52351</v>
      </c>
      <c r="X303" s="51">
        <v>0.65909435251220827</v>
      </c>
      <c r="Y303" s="50">
        <v>52351</v>
      </c>
      <c r="Z303" s="51">
        <v>0.82590837210196311</v>
      </c>
      <c r="AA303" s="50">
        <v>52351</v>
      </c>
      <c r="AB303" s="51">
        <v>0.85730816723216285</v>
      </c>
      <c r="AC303" s="50">
        <v>52351</v>
      </c>
      <c r="AD303" s="51">
        <v>0.52583606331971022</v>
      </c>
      <c r="AE303" s="50">
        <v>52351</v>
      </c>
      <c r="AF303" s="51">
        <v>0.54361134206752737</v>
      </c>
    </row>
    <row r="304" spans="1:32" x14ac:dyDescent="0.25">
      <c r="A304" s="50">
        <v>52382</v>
      </c>
      <c r="B304" s="51">
        <v>0.50295075792112276</v>
      </c>
      <c r="C304" s="50">
        <v>52382</v>
      </c>
      <c r="D304" s="51">
        <v>0.50296101948641225</v>
      </c>
      <c r="E304" s="50">
        <v>52382</v>
      </c>
      <c r="F304" s="51">
        <v>0.72112237169946347</v>
      </c>
      <c r="G304" s="50">
        <v>52382</v>
      </c>
      <c r="H304" s="51">
        <v>0.71749380942733021</v>
      </c>
      <c r="I304" s="50">
        <v>52382</v>
      </c>
      <c r="J304" s="51">
        <v>0.17691529527049946</v>
      </c>
      <c r="K304" s="50">
        <v>52382</v>
      </c>
      <c r="L304" s="51">
        <v>0.17691801664877996</v>
      </c>
      <c r="M304" s="50">
        <v>52382</v>
      </c>
      <c r="N304" s="51">
        <v>8.7629135810229547E-2</v>
      </c>
      <c r="O304" s="50">
        <v>52382</v>
      </c>
      <c r="P304" s="51">
        <v>0.11209780641355714</v>
      </c>
      <c r="Q304" s="50">
        <v>52382</v>
      </c>
      <c r="R304" s="51">
        <v>0.85072837753159281</v>
      </c>
      <c r="S304" s="50">
        <v>52382</v>
      </c>
      <c r="T304" s="51">
        <v>0.9297882460426623</v>
      </c>
      <c r="U304" s="50">
        <v>52382</v>
      </c>
      <c r="V304" s="51">
        <v>0.69172325917388522</v>
      </c>
      <c r="W304" s="50">
        <v>52382</v>
      </c>
      <c r="X304" s="51">
        <v>0.65811457992604205</v>
      </c>
      <c r="Y304" s="50">
        <v>52382</v>
      </c>
      <c r="Z304" s="51">
        <v>0.82519988885249129</v>
      </c>
      <c r="AA304" s="50">
        <v>52382</v>
      </c>
      <c r="AB304" s="51">
        <v>0.85659493259826758</v>
      </c>
      <c r="AC304" s="50">
        <v>52382</v>
      </c>
      <c r="AD304" s="51">
        <v>0.52461727638074795</v>
      </c>
      <c r="AE304" s="50">
        <v>52382</v>
      </c>
      <c r="AF304" s="51">
        <v>0.54253497119740191</v>
      </c>
    </row>
    <row r="305" spans="1:32" x14ac:dyDescent="0.25">
      <c r="A305" s="50">
        <v>52412</v>
      </c>
      <c r="B305" s="51">
        <v>0.50177007148794672</v>
      </c>
      <c r="C305" s="50">
        <v>52412</v>
      </c>
      <c r="D305" s="51">
        <v>0.50178030939171536</v>
      </c>
      <c r="E305" s="50">
        <v>52412</v>
      </c>
      <c r="F305" s="51">
        <v>0.72018940215153537</v>
      </c>
      <c r="G305" s="50">
        <v>52412</v>
      </c>
      <c r="H305" s="51">
        <v>0.71637367780332828</v>
      </c>
      <c r="I305" s="50">
        <v>52412</v>
      </c>
      <c r="J305" s="51">
        <v>0.17592466451428468</v>
      </c>
      <c r="K305" s="50">
        <v>52412</v>
      </c>
      <c r="L305" s="51">
        <v>0.17592737065430658</v>
      </c>
      <c r="M305" s="50">
        <v>52412</v>
      </c>
      <c r="N305" s="51">
        <v>8.6722571208743521E-2</v>
      </c>
      <c r="O305" s="50">
        <v>52412</v>
      </c>
      <c r="P305" s="51">
        <v>0.11107093138214003</v>
      </c>
      <c r="Q305" s="50">
        <v>52412</v>
      </c>
      <c r="R305" s="51">
        <v>0.84986704735864582</v>
      </c>
      <c r="S305" s="50">
        <v>52412</v>
      </c>
      <c r="T305" s="51">
        <v>0.92896055589691606</v>
      </c>
      <c r="U305" s="50">
        <v>52412</v>
      </c>
      <c r="V305" s="51">
        <v>0.69082703142135626</v>
      </c>
      <c r="W305" s="50">
        <v>52412</v>
      </c>
      <c r="X305" s="51">
        <v>0.65716641290717148</v>
      </c>
      <c r="Y305" s="50">
        <v>52412</v>
      </c>
      <c r="Z305" s="51">
        <v>0.82451425990138949</v>
      </c>
      <c r="AA305" s="50">
        <v>52412</v>
      </c>
      <c r="AB305" s="51">
        <v>0.85590470553320763</v>
      </c>
      <c r="AC305" s="50">
        <v>52412</v>
      </c>
      <c r="AD305" s="51">
        <v>0.52343780514949412</v>
      </c>
      <c r="AE305" s="50">
        <v>52412</v>
      </c>
      <c r="AF305" s="51">
        <v>0.54149332196824818</v>
      </c>
    </row>
    <row r="306" spans="1:32" x14ac:dyDescent="0.25">
      <c r="A306" s="50">
        <v>52443</v>
      </c>
      <c r="B306" s="51">
        <v>0.50058494146153754</v>
      </c>
      <c r="C306" s="50">
        <v>52443</v>
      </c>
      <c r="D306" s="51">
        <v>0.50059515562146029</v>
      </c>
      <c r="E306" s="50">
        <v>52443</v>
      </c>
      <c r="F306" s="51">
        <v>0.71922533361867624</v>
      </c>
      <c r="G306" s="50">
        <v>52443</v>
      </c>
      <c r="H306" s="51">
        <v>0.71521620845852618</v>
      </c>
      <c r="I306" s="50">
        <v>52443</v>
      </c>
      <c r="J306" s="51">
        <v>0.17492823915113817</v>
      </c>
      <c r="K306" s="50">
        <v>52443</v>
      </c>
      <c r="L306" s="51">
        <v>0.17493092996376666</v>
      </c>
      <c r="M306" s="50">
        <v>52443</v>
      </c>
      <c r="N306" s="51">
        <v>8.5785787787207968E-2</v>
      </c>
      <c r="O306" s="50">
        <v>52443</v>
      </c>
      <c r="P306" s="51">
        <v>0.110009827183009</v>
      </c>
      <c r="Q306" s="50">
        <v>52443</v>
      </c>
      <c r="R306" s="51">
        <v>0.84897714597294116</v>
      </c>
      <c r="S306" s="50">
        <v>52443</v>
      </c>
      <c r="T306" s="51">
        <v>0.92808930103469167</v>
      </c>
      <c r="U306" s="50">
        <v>52443</v>
      </c>
      <c r="V306" s="51">
        <v>0.68992984365706833</v>
      </c>
      <c r="W306" s="50">
        <v>52443</v>
      </c>
      <c r="X306" s="51">
        <v>0.65621942339454087</v>
      </c>
      <c r="Y306" s="50">
        <v>52443</v>
      </c>
      <c r="Z306" s="51">
        <v>0.82380577665191768</v>
      </c>
      <c r="AA306" s="50">
        <v>52443</v>
      </c>
      <c r="AB306" s="51">
        <v>0.85519147089931224</v>
      </c>
      <c r="AC306" s="50">
        <v>52443</v>
      </c>
      <c r="AD306" s="51">
        <v>0.52226388555318648</v>
      </c>
      <c r="AE306" s="50">
        <v>52443</v>
      </c>
      <c r="AF306" s="51">
        <v>0.54046260460187878</v>
      </c>
    </row>
    <row r="307" spans="1:32" x14ac:dyDescent="0.25">
      <c r="A307" s="50">
        <v>52474</v>
      </c>
      <c r="B307" s="51">
        <v>0.49940097518916854</v>
      </c>
      <c r="C307" s="50">
        <v>52474</v>
      </c>
      <c r="D307" s="51">
        <v>0.49941116562879179</v>
      </c>
      <c r="E307" s="50">
        <v>52474</v>
      </c>
      <c r="F307" s="51">
        <v>0.71826126508581722</v>
      </c>
      <c r="G307" s="50">
        <v>52474</v>
      </c>
      <c r="H307" s="51">
        <v>0.71405873911372419</v>
      </c>
      <c r="I307" s="50">
        <v>52474</v>
      </c>
      <c r="J307" s="51">
        <v>0.17393272133526755</v>
      </c>
      <c r="K307" s="50">
        <v>52474</v>
      </c>
      <c r="L307" s="51">
        <v>0.1739353968344628</v>
      </c>
      <c r="M307" s="50">
        <v>52474</v>
      </c>
      <c r="N307" s="51">
        <v>8.4849004365672415E-2</v>
      </c>
      <c r="O307" s="50">
        <v>52474</v>
      </c>
      <c r="P307" s="51">
        <v>0.10894872298387798</v>
      </c>
      <c r="Q307" s="50">
        <v>52474</v>
      </c>
      <c r="R307" s="51">
        <v>0.84808724924700341</v>
      </c>
      <c r="S307" s="50">
        <v>52474</v>
      </c>
      <c r="T307" s="51">
        <v>0.92721751367096872</v>
      </c>
      <c r="U307" s="50">
        <v>52474</v>
      </c>
      <c r="V307" s="51">
        <v>0.68903361970100241</v>
      </c>
      <c r="W307" s="50">
        <v>52474</v>
      </c>
      <c r="X307" s="51">
        <v>0.655273526651028</v>
      </c>
      <c r="Y307" s="50">
        <v>52474</v>
      </c>
      <c r="Z307" s="51">
        <v>0.82309729340244575</v>
      </c>
      <c r="AA307" s="50">
        <v>52474</v>
      </c>
      <c r="AB307" s="51">
        <v>0.85447823626541697</v>
      </c>
      <c r="AC307" s="50">
        <v>52474</v>
      </c>
      <c r="AD307" s="51">
        <v>0.52109146153496733</v>
      </c>
      <c r="AE307" s="50">
        <v>52474</v>
      </c>
      <c r="AF307" s="51">
        <v>0.53943340901896786</v>
      </c>
    </row>
    <row r="308" spans="1:32" x14ac:dyDescent="0.25">
      <c r="A308" s="50">
        <v>52504</v>
      </c>
      <c r="B308" s="51">
        <v>0.49825520137719853</v>
      </c>
      <c r="C308" s="50">
        <v>52504</v>
      </c>
      <c r="D308" s="51">
        <v>0.49826536886169326</v>
      </c>
      <c r="E308" s="50">
        <v>52504</v>
      </c>
      <c r="F308" s="51">
        <v>0.71732829553788902</v>
      </c>
      <c r="G308" s="50">
        <v>52504</v>
      </c>
      <c r="H308" s="51">
        <v>0.71293860748972215</v>
      </c>
      <c r="I308" s="50">
        <v>52504</v>
      </c>
      <c r="J308" s="51">
        <v>0.1729693169973282</v>
      </c>
      <c r="K308" s="50">
        <v>52504</v>
      </c>
      <c r="L308" s="51">
        <v>0.17297197767707198</v>
      </c>
      <c r="M308" s="50">
        <v>52504</v>
      </c>
      <c r="N308" s="51">
        <v>8.3942439764186388E-2</v>
      </c>
      <c r="O308" s="50">
        <v>52504</v>
      </c>
      <c r="P308" s="51">
        <v>0.10792184795246088</v>
      </c>
      <c r="Q308" s="50">
        <v>52504</v>
      </c>
      <c r="R308" s="51">
        <v>0.84722605886706359</v>
      </c>
      <c r="S308" s="50">
        <v>52504</v>
      </c>
      <c r="T308" s="51">
        <v>0.92637384848026905</v>
      </c>
      <c r="U308" s="50">
        <v>52504</v>
      </c>
      <c r="V308" s="51">
        <v>0.68816630619513208</v>
      </c>
      <c r="W308" s="50">
        <v>52504</v>
      </c>
      <c r="X308" s="51">
        <v>0.65435814270569304</v>
      </c>
      <c r="Y308" s="50">
        <v>52504</v>
      </c>
      <c r="Z308" s="51">
        <v>0.82241166445134395</v>
      </c>
      <c r="AA308" s="50">
        <v>52504</v>
      </c>
      <c r="AB308" s="51">
        <v>0.85378800920035702</v>
      </c>
      <c r="AC308" s="50">
        <v>52504</v>
      </c>
      <c r="AD308" s="51">
        <v>0.51995685764636812</v>
      </c>
      <c r="AE308" s="50">
        <v>52504</v>
      </c>
      <c r="AF308" s="51">
        <v>0.53843741329357009</v>
      </c>
    </row>
    <row r="309" spans="1:32" x14ac:dyDescent="0.25">
      <c r="A309" s="50">
        <v>52535</v>
      </c>
      <c r="B309" s="51">
        <v>0.49707123510482953</v>
      </c>
      <c r="C309" s="50">
        <v>52535</v>
      </c>
      <c r="D309" s="51">
        <v>0.49708137886902476</v>
      </c>
      <c r="E309" s="50">
        <v>52535</v>
      </c>
      <c r="F309" s="51">
        <v>0.71636422700502989</v>
      </c>
      <c r="G309" s="50">
        <v>52535</v>
      </c>
      <c r="H309" s="51">
        <v>0.71178113814492017</v>
      </c>
      <c r="I309" s="50">
        <v>52535</v>
      </c>
      <c r="J309" s="51">
        <v>0.17200010622011619</v>
      </c>
      <c r="K309" s="50">
        <v>52535</v>
      </c>
      <c r="L309" s="51">
        <v>0.17200275199109155</v>
      </c>
      <c r="M309" s="50">
        <v>52535</v>
      </c>
      <c r="N309" s="51">
        <v>8.3005656342650835E-2</v>
      </c>
      <c r="O309" s="50">
        <v>52535</v>
      </c>
      <c r="P309" s="51">
        <v>0.10686074375332985</v>
      </c>
      <c r="Q309" s="50">
        <v>52535</v>
      </c>
      <c r="R309" s="51">
        <v>0.84633616214112584</v>
      </c>
      <c r="S309" s="50">
        <v>52535</v>
      </c>
      <c r="T309" s="51">
        <v>0.9255020611165462</v>
      </c>
      <c r="U309" s="50">
        <v>52535</v>
      </c>
      <c r="V309" s="51">
        <v>0.68727008223906616</v>
      </c>
      <c r="W309" s="50">
        <v>52535</v>
      </c>
      <c r="X309" s="51">
        <v>0.65341224596218028</v>
      </c>
      <c r="Y309" s="50">
        <v>52535</v>
      </c>
      <c r="Z309" s="51">
        <v>0.82170318120187213</v>
      </c>
      <c r="AA309" s="50">
        <v>52535</v>
      </c>
      <c r="AB309" s="51">
        <v>0.85307477456646175</v>
      </c>
      <c r="AC309" s="50">
        <v>52535</v>
      </c>
      <c r="AD309" s="51">
        <v>0.51878443362814886</v>
      </c>
      <c r="AE309" s="50">
        <v>52535</v>
      </c>
      <c r="AF309" s="51">
        <v>0.53740821771065916</v>
      </c>
    </row>
    <row r="310" spans="1:32" x14ac:dyDescent="0.25">
      <c r="A310" s="50">
        <v>52565</v>
      </c>
      <c r="B310" s="51">
        <v>0.49592546129285953</v>
      </c>
      <c r="C310" s="50">
        <v>52565</v>
      </c>
      <c r="D310" s="51">
        <v>0.49593558210192623</v>
      </c>
      <c r="E310" s="50">
        <v>52565</v>
      </c>
      <c r="F310" s="51">
        <v>0.71543125745710179</v>
      </c>
      <c r="G310" s="50">
        <v>52565</v>
      </c>
      <c r="H310" s="51">
        <v>0.71066100652091824</v>
      </c>
      <c r="I310" s="50">
        <v>52565</v>
      </c>
      <c r="J310" s="51">
        <v>0.17106300892083545</v>
      </c>
      <c r="K310" s="50">
        <v>52565</v>
      </c>
      <c r="L310" s="51">
        <v>0.17106564027702417</v>
      </c>
      <c r="M310" s="50">
        <v>52565</v>
      </c>
      <c r="N310" s="51">
        <v>8.2099091741164809E-2</v>
      </c>
      <c r="O310" s="50">
        <v>52565</v>
      </c>
      <c r="P310" s="51">
        <v>0.10583386872191272</v>
      </c>
      <c r="Q310" s="50">
        <v>52565</v>
      </c>
      <c r="R310" s="51">
        <v>0.84547497176118602</v>
      </c>
      <c r="S310" s="50">
        <v>52565</v>
      </c>
      <c r="T310" s="51">
        <v>0.92465839592584653</v>
      </c>
      <c r="U310" s="50">
        <v>52565</v>
      </c>
      <c r="V310" s="51">
        <v>0.68640276873319583</v>
      </c>
      <c r="W310" s="50">
        <v>52565</v>
      </c>
      <c r="X310" s="51">
        <v>0.65249686201684531</v>
      </c>
      <c r="Y310" s="50">
        <v>52565</v>
      </c>
      <c r="Z310" s="51">
        <v>0.82101755225077033</v>
      </c>
      <c r="AA310" s="50">
        <v>52565</v>
      </c>
      <c r="AB310" s="51">
        <v>0.85238454750140169</v>
      </c>
      <c r="AC310" s="50">
        <v>52565</v>
      </c>
      <c r="AD310" s="51">
        <v>0.51764982973954965</v>
      </c>
      <c r="AE310" s="50">
        <v>52565</v>
      </c>
      <c r="AF310" s="51">
        <v>0.53641222198526151</v>
      </c>
    </row>
    <row r="311" spans="1:32" x14ac:dyDescent="0.25">
      <c r="A311" s="50">
        <v>52596</v>
      </c>
      <c r="B311" s="51">
        <v>0.49474149502049053</v>
      </c>
      <c r="C311" s="50">
        <v>52596</v>
      </c>
      <c r="D311" s="51">
        <v>0.49475159210925779</v>
      </c>
      <c r="E311" s="50">
        <v>52596</v>
      </c>
      <c r="F311" s="51">
        <v>0.71446718892424266</v>
      </c>
      <c r="G311" s="50">
        <v>52596</v>
      </c>
      <c r="H311" s="51">
        <v>0.70950353717611614</v>
      </c>
      <c r="I311" s="50">
        <v>52596</v>
      </c>
      <c r="J311" s="51">
        <v>0.17009467504491205</v>
      </c>
      <c r="K311" s="50">
        <v>52596</v>
      </c>
      <c r="L311" s="51">
        <v>0.1700972915058212</v>
      </c>
      <c r="M311" s="50">
        <v>52596</v>
      </c>
      <c r="N311" s="51">
        <v>8.1162308319629256E-2</v>
      </c>
      <c r="O311" s="50">
        <v>52596</v>
      </c>
      <c r="P311" s="51">
        <v>0.1047727645227817</v>
      </c>
      <c r="Q311" s="50">
        <v>52596</v>
      </c>
      <c r="R311" s="51">
        <v>0.84458507503524816</v>
      </c>
      <c r="S311" s="50">
        <v>52596</v>
      </c>
      <c r="T311" s="51">
        <v>0.92378660856212358</v>
      </c>
      <c r="U311" s="50">
        <v>52596</v>
      </c>
      <c r="V311" s="51">
        <v>0.68550654477712991</v>
      </c>
      <c r="W311" s="50">
        <v>52596</v>
      </c>
      <c r="X311" s="51">
        <v>0.65155096527333245</v>
      </c>
      <c r="Y311" s="50">
        <v>52596</v>
      </c>
      <c r="Z311" s="51">
        <v>0.82030906900129841</v>
      </c>
      <c r="AA311" s="50">
        <v>52596</v>
      </c>
      <c r="AB311" s="51">
        <v>0.85167131286750641</v>
      </c>
      <c r="AC311" s="50">
        <v>52596</v>
      </c>
      <c r="AD311" s="51">
        <v>0.5164774057213305</v>
      </c>
      <c r="AE311" s="50">
        <v>52596</v>
      </c>
      <c r="AF311" s="51">
        <v>0.53538302640235058</v>
      </c>
    </row>
    <row r="312" spans="1:32" x14ac:dyDescent="0.25">
      <c r="A312" s="50">
        <v>52627</v>
      </c>
      <c r="B312" s="51">
        <v>0.49357086508279124</v>
      </c>
      <c r="C312" s="50">
        <v>52627</v>
      </c>
      <c r="D312" s="51">
        <v>0.49358093831812361</v>
      </c>
      <c r="E312" s="50">
        <v>52627</v>
      </c>
      <c r="F312" s="51">
        <v>0.71364747851395038</v>
      </c>
      <c r="G312" s="50">
        <v>52627</v>
      </c>
      <c r="H312" s="51">
        <v>0.70855584494136725</v>
      </c>
      <c r="I312" s="50">
        <v>52627</v>
      </c>
      <c r="J312" s="51">
        <v>0.16913178663038023</v>
      </c>
      <c r="K312" s="50">
        <v>52627</v>
      </c>
      <c r="L312" s="51">
        <v>0.16913438827977395</v>
      </c>
      <c r="M312" s="50">
        <v>52627</v>
      </c>
      <c r="N312" s="51">
        <v>8.0595815277569954E-2</v>
      </c>
      <c r="O312" s="50">
        <v>52627</v>
      </c>
      <c r="P312" s="51">
        <v>0.10409996404705603</v>
      </c>
      <c r="Q312" s="50">
        <v>52627</v>
      </c>
      <c r="R312" s="51">
        <v>0.84383130733415646</v>
      </c>
      <c r="S312" s="50">
        <v>52627</v>
      </c>
      <c r="T312" s="51">
        <v>0.9230761522344515</v>
      </c>
      <c r="U312" s="50">
        <v>52627</v>
      </c>
      <c r="V312" s="51">
        <v>0.68463564148726141</v>
      </c>
      <c r="W312" s="50">
        <v>52627</v>
      </c>
      <c r="X312" s="51">
        <v>0.65052871648664312</v>
      </c>
      <c r="Y312" s="50">
        <v>52627</v>
      </c>
      <c r="Z312" s="51">
        <v>0.81980196787354132</v>
      </c>
      <c r="AA312" s="50">
        <v>52627</v>
      </c>
      <c r="AB312" s="51">
        <v>0.8511568116510918</v>
      </c>
      <c r="AC312" s="50">
        <v>52627</v>
      </c>
      <c r="AD312" s="51">
        <v>0.5153069695924094</v>
      </c>
      <c r="AE312" s="50">
        <v>52627</v>
      </c>
      <c r="AF312" s="51">
        <v>0.53423101582918697</v>
      </c>
    </row>
    <row r="313" spans="1:32" x14ac:dyDescent="0.25">
      <c r="A313" s="50">
        <v>52656</v>
      </c>
      <c r="B313" s="51">
        <v>0.49247617552140099</v>
      </c>
      <c r="C313" s="50">
        <v>52656</v>
      </c>
      <c r="D313" s="51">
        <v>0.49248622643807821</v>
      </c>
      <c r="E313" s="50">
        <v>52656</v>
      </c>
      <c r="F313" s="51">
        <v>0.71288515413610098</v>
      </c>
      <c r="G313" s="50">
        <v>52656</v>
      </c>
      <c r="H313" s="51">
        <v>0.70767583557788327</v>
      </c>
      <c r="I313" s="50">
        <v>52656</v>
      </c>
      <c r="J313" s="51">
        <v>0.16823118985375404</v>
      </c>
      <c r="K313" s="50">
        <v>52656</v>
      </c>
      <c r="L313" s="51">
        <v>0.16823377764982603</v>
      </c>
      <c r="M313" s="50">
        <v>52656</v>
      </c>
      <c r="N313" s="51">
        <v>8.0077416862960507E-2</v>
      </c>
      <c r="O313" s="50">
        <v>52656</v>
      </c>
      <c r="P313" s="51">
        <v>0.1034826784493113</v>
      </c>
      <c r="Q313" s="50">
        <v>52656</v>
      </c>
      <c r="R313" s="51">
        <v>0.84313041469089922</v>
      </c>
      <c r="S313" s="50">
        <v>52656</v>
      </c>
      <c r="T313" s="51">
        <v>0.92241656255162419</v>
      </c>
      <c r="U313" s="50">
        <v>52656</v>
      </c>
      <c r="V313" s="51">
        <v>0.68382171507557765</v>
      </c>
      <c r="W313" s="50">
        <v>52656</v>
      </c>
      <c r="X313" s="51">
        <v>0.64957003836441529</v>
      </c>
      <c r="Y313" s="50">
        <v>52656</v>
      </c>
      <c r="Z313" s="51">
        <v>0.81933386260513374</v>
      </c>
      <c r="AA313" s="50">
        <v>52656</v>
      </c>
      <c r="AB313" s="51">
        <v>0.85068170112509855</v>
      </c>
      <c r="AC313" s="50">
        <v>52656</v>
      </c>
      <c r="AD313" s="51">
        <v>0.51421210745975177</v>
      </c>
      <c r="AE313" s="50">
        <v>52656</v>
      </c>
      <c r="AF313" s="51">
        <v>0.53314949880405826</v>
      </c>
    </row>
    <row r="314" spans="1:32" x14ac:dyDescent="0.25">
      <c r="A314" s="50">
        <v>52687</v>
      </c>
      <c r="B314" s="51">
        <v>0.49130599012819071</v>
      </c>
      <c r="C314" s="50">
        <v>52687</v>
      </c>
      <c r="D314" s="51">
        <v>0.49131601718699514</v>
      </c>
      <c r="E314" s="50">
        <v>52687</v>
      </c>
      <c r="F314" s="51">
        <v>0.71207025566322757</v>
      </c>
      <c r="G314" s="50">
        <v>52687</v>
      </c>
      <c r="H314" s="51">
        <v>0.70673513591346948</v>
      </c>
      <c r="I314" s="50">
        <v>52687</v>
      </c>
      <c r="J314" s="51">
        <v>0.16726848295460195</v>
      </c>
      <c r="K314" s="50">
        <v>52687</v>
      </c>
      <c r="L314" s="51">
        <v>0.16727105594195063</v>
      </c>
      <c r="M314" s="50">
        <v>52687</v>
      </c>
      <c r="N314" s="51">
        <v>7.9523266833550418E-2</v>
      </c>
      <c r="O314" s="50">
        <v>52687</v>
      </c>
      <c r="P314" s="51">
        <v>0.10282282143103247</v>
      </c>
      <c r="Q314" s="50">
        <v>52687</v>
      </c>
      <c r="R314" s="51">
        <v>0.84238118462396905</v>
      </c>
      <c r="S314" s="50">
        <v>52687</v>
      </c>
      <c r="T314" s="51">
        <v>0.92171148392515379</v>
      </c>
      <c r="U314" s="50">
        <v>52687</v>
      </c>
      <c r="V314" s="51">
        <v>0.68295165580791573</v>
      </c>
      <c r="W314" s="50">
        <v>52687</v>
      </c>
      <c r="X314" s="51">
        <v>0.64854524450962003</v>
      </c>
      <c r="Y314" s="50">
        <v>52687</v>
      </c>
      <c r="Z314" s="51">
        <v>0.81883347421476704</v>
      </c>
      <c r="AA314" s="50">
        <v>52687</v>
      </c>
      <c r="AB314" s="51">
        <v>0.85017382435593336</v>
      </c>
      <c r="AC314" s="50">
        <v>52687</v>
      </c>
      <c r="AD314" s="51">
        <v>0.51304173759380722</v>
      </c>
      <c r="AE314" s="50">
        <v>52687</v>
      </c>
      <c r="AF314" s="51">
        <v>0.53199339439788629</v>
      </c>
    </row>
    <row r="315" spans="1:32" x14ac:dyDescent="0.25">
      <c r="A315" s="50">
        <v>52717</v>
      </c>
      <c r="B315" s="51">
        <v>0.49017355265089047</v>
      </c>
      <c r="C315" s="50">
        <v>52717</v>
      </c>
      <c r="D315" s="51">
        <v>0.49018355662143093</v>
      </c>
      <c r="E315" s="50">
        <v>52717</v>
      </c>
      <c r="F315" s="51">
        <v>0.71128164423786622</v>
      </c>
      <c r="G315" s="50">
        <v>52717</v>
      </c>
      <c r="H315" s="51">
        <v>0.70582478139952054</v>
      </c>
      <c r="I315" s="50">
        <v>52717</v>
      </c>
      <c r="J315" s="51">
        <v>0.16634222794528372</v>
      </c>
      <c r="K315" s="50">
        <v>52717</v>
      </c>
      <c r="L315" s="51">
        <v>0.16634478668462596</v>
      </c>
      <c r="M315" s="50">
        <v>52717</v>
      </c>
      <c r="N315" s="51">
        <v>7.8986992611540643E-2</v>
      </c>
      <c r="O315" s="50">
        <v>52717</v>
      </c>
      <c r="P315" s="51">
        <v>0.10218425012302068</v>
      </c>
      <c r="Q315" s="50">
        <v>52717</v>
      </c>
      <c r="R315" s="51">
        <v>0.84165612326887529</v>
      </c>
      <c r="S315" s="50">
        <v>52717</v>
      </c>
      <c r="T315" s="51">
        <v>0.92102914977050487</v>
      </c>
      <c r="U315" s="50">
        <v>52717</v>
      </c>
      <c r="V315" s="51">
        <v>0.68210966296824282</v>
      </c>
      <c r="W315" s="50">
        <v>52717</v>
      </c>
      <c r="X315" s="51">
        <v>0.64755350852110838</v>
      </c>
      <c r="Y315" s="50">
        <v>52717</v>
      </c>
      <c r="Z315" s="51">
        <v>0.81834922738537996</v>
      </c>
      <c r="AA315" s="50">
        <v>52717</v>
      </c>
      <c r="AB315" s="51">
        <v>0.84968233070835408</v>
      </c>
      <c r="AC315" s="50">
        <v>52717</v>
      </c>
      <c r="AD315" s="51">
        <v>0.51190912159450619</v>
      </c>
      <c r="AE315" s="50">
        <v>52717</v>
      </c>
      <c r="AF315" s="51">
        <v>0.53087458368223595</v>
      </c>
    </row>
    <row r="316" spans="1:32" x14ac:dyDescent="0.25">
      <c r="A316" s="50">
        <v>52748</v>
      </c>
      <c r="B316" s="51">
        <v>0.48900336725768018</v>
      </c>
      <c r="C316" s="50">
        <v>52748</v>
      </c>
      <c r="D316" s="51">
        <v>0.48901334737034791</v>
      </c>
      <c r="E316" s="50">
        <v>52748</v>
      </c>
      <c r="F316" s="51">
        <v>0.7104667457649928</v>
      </c>
      <c r="G316" s="50">
        <v>52748</v>
      </c>
      <c r="H316" s="51">
        <v>0.70488408173510675</v>
      </c>
      <c r="I316" s="50">
        <v>52748</v>
      </c>
      <c r="J316" s="51">
        <v>0.16538529006977634</v>
      </c>
      <c r="K316" s="50">
        <v>52748</v>
      </c>
      <c r="L316" s="51">
        <v>0.16538783408913668</v>
      </c>
      <c r="M316" s="50">
        <v>52748</v>
      </c>
      <c r="N316" s="51">
        <v>7.8432842582130555E-2</v>
      </c>
      <c r="O316" s="50">
        <v>52748</v>
      </c>
      <c r="P316" s="51">
        <v>0.10152439310474184</v>
      </c>
      <c r="Q316" s="50">
        <v>52748</v>
      </c>
      <c r="R316" s="51">
        <v>0.84090689320194512</v>
      </c>
      <c r="S316" s="50">
        <v>52748</v>
      </c>
      <c r="T316" s="51">
        <v>0.92032407114403447</v>
      </c>
      <c r="U316" s="50">
        <v>52748</v>
      </c>
      <c r="V316" s="51">
        <v>0.6812396037005809</v>
      </c>
      <c r="W316" s="50">
        <v>52748</v>
      </c>
      <c r="X316" s="51">
        <v>0.64652871466631312</v>
      </c>
      <c r="Y316" s="50">
        <v>52748</v>
      </c>
      <c r="Z316" s="51">
        <v>0.81784883899501326</v>
      </c>
      <c r="AA316" s="50">
        <v>52748</v>
      </c>
      <c r="AB316" s="51">
        <v>0.84917445393918889</v>
      </c>
      <c r="AC316" s="50">
        <v>52748</v>
      </c>
      <c r="AD316" s="51">
        <v>0.51073875172856165</v>
      </c>
      <c r="AE316" s="50">
        <v>52748</v>
      </c>
      <c r="AF316" s="51">
        <v>0.52971847927606386</v>
      </c>
    </row>
    <row r="317" spans="1:32" x14ac:dyDescent="0.25">
      <c r="A317" s="50">
        <v>52778</v>
      </c>
      <c r="B317" s="51">
        <v>0.48787092978037988</v>
      </c>
      <c r="C317" s="50">
        <v>52778</v>
      </c>
      <c r="D317" s="51">
        <v>0.4878808868047837</v>
      </c>
      <c r="E317" s="50">
        <v>52778</v>
      </c>
      <c r="F317" s="51">
        <v>0.70967813433963134</v>
      </c>
      <c r="G317" s="50">
        <v>52778</v>
      </c>
      <c r="H317" s="51">
        <v>0.70397372722115781</v>
      </c>
      <c r="I317" s="50">
        <v>52778</v>
      </c>
      <c r="J317" s="51">
        <v>0.16445922115799502</v>
      </c>
      <c r="K317" s="50">
        <v>52778</v>
      </c>
      <c r="L317" s="51">
        <v>0.16446175093221155</v>
      </c>
      <c r="M317" s="50">
        <v>52778</v>
      </c>
      <c r="N317" s="51">
        <v>7.7896568360120794E-2</v>
      </c>
      <c r="O317" s="50">
        <v>52778</v>
      </c>
      <c r="P317" s="51">
        <v>0.10088582179673007</v>
      </c>
      <c r="Q317" s="50">
        <v>52778</v>
      </c>
      <c r="R317" s="51">
        <v>0.84018183184685136</v>
      </c>
      <c r="S317" s="50">
        <v>52778</v>
      </c>
      <c r="T317" s="51">
        <v>0.91964173698938556</v>
      </c>
      <c r="U317" s="50">
        <v>52778</v>
      </c>
      <c r="V317" s="51">
        <v>0.68039761086090811</v>
      </c>
      <c r="W317" s="50">
        <v>52778</v>
      </c>
      <c r="X317" s="51">
        <v>0.64553697867780158</v>
      </c>
      <c r="Y317" s="50">
        <v>52778</v>
      </c>
      <c r="Z317" s="51">
        <v>0.81736459216562618</v>
      </c>
      <c r="AA317" s="50">
        <v>52778</v>
      </c>
      <c r="AB317" s="51">
        <v>0.84868296029160972</v>
      </c>
      <c r="AC317" s="50">
        <v>52778</v>
      </c>
      <c r="AD317" s="51">
        <v>0.50960613572926061</v>
      </c>
      <c r="AE317" s="50">
        <v>52778</v>
      </c>
      <c r="AF317" s="51">
        <v>0.52859966856041352</v>
      </c>
    </row>
    <row r="318" spans="1:32" x14ac:dyDescent="0.25">
      <c r="A318" s="50">
        <v>52809</v>
      </c>
      <c r="B318" s="51">
        <v>0.48672857911927675</v>
      </c>
      <c r="C318" s="50">
        <v>52809</v>
      </c>
      <c r="D318" s="51">
        <v>0.48673851285356018</v>
      </c>
      <c r="E318" s="50">
        <v>52809</v>
      </c>
      <c r="F318" s="51">
        <v>0.70886323586675792</v>
      </c>
      <c r="G318" s="50">
        <v>52809</v>
      </c>
      <c r="H318" s="51">
        <v>0.70303302755674402</v>
      </c>
      <c r="I318" s="50">
        <v>52809</v>
      </c>
      <c r="J318" s="51">
        <v>0.1635277352880769</v>
      </c>
      <c r="K318" s="50">
        <v>52809</v>
      </c>
      <c r="L318" s="51">
        <v>0.16353025073382393</v>
      </c>
      <c r="M318" s="50">
        <v>52809</v>
      </c>
      <c r="N318" s="51">
        <v>7.7342418330710705E-2</v>
      </c>
      <c r="O318" s="50">
        <v>52809</v>
      </c>
      <c r="P318" s="51">
        <v>0.10022596477845122</v>
      </c>
      <c r="Q318" s="50">
        <v>52809</v>
      </c>
      <c r="R318" s="51">
        <v>0.83943817073607685</v>
      </c>
      <c r="S318" s="50">
        <v>52809</v>
      </c>
      <c r="T318" s="51">
        <v>0.91892806301498142</v>
      </c>
      <c r="U318" s="50">
        <v>52809</v>
      </c>
      <c r="V318" s="51">
        <v>0.67955679897428134</v>
      </c>
      <c r="W318" s="50">
        <v>52809</v>
      </c>
      <c r="X318" s="51">
        <v>0.64454278108644469</v>
      </c>
      <c r="Y318" s="50">
        <v>52809</v>
      </c>
      <c r="Z318" s="51">
        <v>0.81686420377525948</v>
      </c>
      <c r="AA318" s="50">
        <v>52809</v>
      </c>
      <c r="AB318" s="51">
        <v>0.84817508352244442</v>
      </c>
      <c r="AC318" s="50">
        <v>52809</v>
      </c>
      <c r="AD318" s="51">
        <v>0.50847936515546976</v>
      </c>
      <c r="AE318" s="50">
        <v>52809</v>
      </c>
      <c r="AF318" s="51">
        <v>0.52748592617020618</v>
      </c>
    </row>
    <row r="319" spans="1:32" x14ac:dyDescent="0.25">
      <c r="A319" s="50">
        <v>52840</v>
      </c>
      <c r="B319" s="51">
        <v>0.48558715628257715</v>
      </c>
      <c r="C319" s="50">
        <v>52840</v>
      </c>
      <c r="D319" s="51">
        <v>0.48559706674566533</v>
      </c>
      <c r="E319" s="50">
        <v>52840</v>
      </c>
      <c r="F319" s="51">
        <v>0.70804833739388451</v>
      </c>
      <c r="G319" s="50">
        <v>52840</v>
      </c>
      <c r="H319" s="51">
        <v>0.70209232789233011</v>
      </c>
      <c r="I319" s="50">
        <v>52840</v>
      </c>
      <c r="J319" s="51">
        <v>0.16259709781834511</v>
      </c>
      <c r="K319" s="50">
        <v>52840</v>
      </c>
      <c r="L319" s="51">
        <v>0.16259959894867304</v>
      </c>
      <c r="M319" s="50">
        <v>52840</v>
      </c>
      <c r="N319" s="51">
        <v>7.6788268301300602E-2</v>
      </c>
      <c r="O319" s="50">
        <v>52840</v>
      </c>
      <c r="P319" s="51">
        <v>9.9566107760172384E-2</v>
      </c>
      <c r="Q319" s="50">
        <v>52840</v>
      </c>
      <c r="R319" s="51">
        <v>0.83869469525717411</v>
      </c>
      <c r="S319" s="50">
        <v>52840</v>
      </c>
      <c r="T319" s="51">
        <v>0.91821410252897939</v>
      </c>
      <c r="U319" s="50">
        <v>52840</v>
      </c>
      <c r="V319" s="51">
        <v>0.67871696200035569</v>
      </c>
      <c r="W319" s="50">
        <v>52840</v>
      </c>
      <c r="X319" s="51">
        <v>0.64354960337053568</v>
      </c>
      <c r="Y319" s="50">
        <v>52840</v>
      </c>
      <c r="Z319" s="51">
        <v>0.81636381538489289</v>
      </c>
      <c r="AA319" s="50">
        <v>52840</v>
      </c>
      <c r="AB319" s="51">
        <v>0.84766720675327922</v>
      </c>
      <c r="AC319" s="50">
        <v>52840</v>
      </c>
      <c r="AD319" s="51">
        <v>0.50735404789141747</v>
      </c>
      <c r="AE319" s="50">
        <v>52840</v>
      </c>
      <c r="AF319" s="51">
        <v>0.52637359584719756</v>
      </c>
    </row>
    <row r="320" spans="1:32" x14ac:dyDescent="0.25">
      <c r="A320" s="50">
        <v>52870</v>
      </c>
      <c r="B320" s="51">
        <v>0.48448255353738401</v>
      </c>
      <c r="C320" s="50">
        <v>52870</v>
      </c>
      <c r="D320" s="51">
        <v>0.48449244147996062</v>
      </c>
      <c r="E320" s="50">
        <v>52870</v>
      </c>
      <c r="F320" s="51">
        <v>0.70725972596852316</v>
      </c>
      <c r="G320" s="50">
        <v>52870</v>
      </c>
      <c r="H320" s="51">
        <v>0.70118197337838128</v>
      </c>
      <c r="I320" s="50">
        <v>52870</v>
      </c>
      <c r="J320" s="51">
        <v>0.16169648091215302</v>
      </c>
      <c r="K320" s="50">
        <v>52870</v>
      </c>
      <c r="L320" s="51">
        <v>0.1616989681888496</v>
      </c>
      <c r="M320" s="50">
        <v>52870</v>
      </c>
      <c r="N320" s="51">
        <v>7.6251994079290841E-2</v>
      </c>
      <c r="O320" s="50">
        <v>52870</v>
      </c>
      <c r="P320" s="51">
        <v>9.8927536452160611E-2</v>
      </c>
      <c r="Q320" s="50">
        <v>52870</v>
      </c>
      <c r="R320" s="51">
        <v>0.83797520285823601</v>
      </c>
      <c r="S320" s="50">
        <v>52870</v>
      </c>
      <c r="T320" s="51">
        <v>0.91752317302639674</v>
      </c>
      <c r="U320" s="50">
        <v>52870</v>
      </c>
      <c r="V320" s="51">
        <v>0.67790421654171806</v>
      </c>
      <c r="W320" s="50">
        <v>52870</v>
      </c>
      <c r="X320" s="51">
        <v>0.64258846364546252</v>
      </c>
      <c r="Y320" s="50">
        <v>52870</v>
      </c>
      <c r="Z320" s="51">
        <v>0.8158795685555057</v>
      </c>
      <c r="AA320" s="50">
        <v>52870</v>
      </c>
      <c r="AB320" s="51">
        <v>0.84717571310570006</v>
      </c>
      <c r="AC320" s="50">
        <v>52870</v>
      </c>
      <c r="AD320" s="51">
        <v>0.50626503118427013</v>
      </c>
      <c r="AE320" s="50">
        <v>52870</v>
      </c>
      <c r="AF320" s="51">
        <v>0.52529714714751186</v>
      </c>
    </row>
    <row r="321" spans="1:32" x14ac:dyDescent="0.25">
      <c r="A321" s="50">
        <v>52901</v>
      </c>
      <c r="B321" s="51">
        <v>0.48334113070068441</v>
      </c>
      <c r="C321" s="50">
        <v>52901</v>
      </c>
      <c r="D321" s="51">
        <v>0.48335099537206577</v>
      </c>
      <c r="E321" s="50">
        <v>52901</v>
      </c>
      <c r="F321" s="51">
        <v>0.70644482749564963</v>
      </c>
      <c r="G321" s="50">
        <v>52901</v>
      </c>
      <c r="H321" s="51">
        <v>0.70024127371396738</v>
      </c>
      <c r="I321" s="50">
        <v>52901</v>
      </c>
      <c r="J321" s="51">
        <v>0.16079990438731981</v>
      </c>
      <c r="K321" s="50">
        <v>52901</v>
      </c>
      <c r="L321" s="51">
        <v>0.16080237787253571</v>
      </c>
      <c r="M321" s="50">
        <v>52901</v>
      </c>
      <c r="N321" s="51">
        <v>7.5697844049880753E-2</v>
      </c>
      <c r="O321" s="50">
        <v>52901</v>
      </c>
      <c r="P321" s="51">
        <v>9.8267679433881761E-2</v>
      </c>
      <c r="Q321" s="50">
        <v>52901</v>
      </c>
      <c r="R321" s="51">
        <v>0.83723172737933327</v>
      </c>
      <c r="S321" s="50">
        <v>52901</v>
      </c>
      <c r="T321" s="51">
        <v>0.91680921254039482</v>
      </c>
      <c r="U321" s="50">
        <v>52901</v>
      </c>
      <c r="V321" s="51">
        <v>0.67706437956779253</v>
      </c>
      <c r="W321" s="50">
        <v>52901</v>
      </c>
      <c r="X321" s="51">
        <v>0.6415952859295535</v>
      </c>
      <c r="Y321" s="50">
        <v>52901</v>
      </c>
      <c r="Z321" s="51">
        <v>0.81537918016513911</v>
      </c>
      <c r="AA321" s="50">
        <v>52901</v>
      </c>
      <c r="AB321" s="51">
        <v>0.84666783633653475</v>
      </c>
      <c r="AC321" s="50">
        <v>52901</v>
      </c>
      <c r="AD321" s="51">
        <v>0.50513971392021773</v>
      </c>
      <c r="AE321" s="50">
        <v>52901</v>
      </c>
      <c r="AF321" s="51">
        <v>0.52418481682450324</v>
      </c>
    </row>
    <row r="322" spans="1:32" x14ac:dyDescent="0.25">
      <c r="A322" s="50">
        <v>52931</v>
      </c>
      <c r="B322" s="51">
        <v>0.48223652795549121</v>
      </c>
      <c r="C322" s="50">
        <v>52931</v>
      </c>
      <c r="D322" s="51">
        <v>0.48224637010636107</v>
      </c>
      <c r="E322" s="50">
        <v>52931</v>
      </c>
      <c r="F322" s="51">
        <v>0.70565621607028828</v>
      </c>
      <c r="G322" s="50">
        <v>52931</v>
      </c>
      <c r="H322" s="51">
        <v>0.69933091920001855</v>
      </c>
      <c r="I322" s="50">
        <v>52931</v>
      </c>
      <c r="J322" s="51">
        <v>0.15993334842602636</v>
      </c>
      <c r="K322" s="50">
        <v>52931</v>
      </c>
      <c r="L322" s="51">
        <v>0.15993580858154924</v>
      </c>
      <c r="M322" s="50">
        <v>52931</v>
      </c>
      <c r="N322" s="51">
        <v>7.5161569827870978E-2</v>
      </c>
      <c r="O322" s="50">
        <v>52931</v>
      </c>
      <c r="P322" s="51">
        <v>9.7629108125869987E-2</v>
      </c>
      <c r="Q322" s="50">
        <v>52931</v>
      </c>
      <c r="R322" s="51">
        <v>0.83651223498039506</v>
      </c>
      <c r="S322" s="50">
        <v>52931</v>
      </c>
      <c r="T322" s="51">
        <v>0.91611828303781218</v>
      </c>
      <c r="U322" s="50">
        <v>52931</v>
      </c>
      <c r="V322" s="51">
        <v>0.6762516341091549</v>
      </c>
      <c r="W322" s="50">
        <v>52931</v>
      </c>
      <c r="X322" s="51">
        <v>0.64063414620448034</v>
      </c>
      <c r="Y322" s="50">
        <v>52931</v>
      </c>
      <c r="Z322" s="51">
        <v>0.81489493333575191</v>
      </c>
      <c r="AA322" s="50">
        <v>52931</v>
      </c>
      <c r="AB322" s="51">
        <v>0.84617634268895559</v>
      </c>
      <c r="AC322" s="50">
        <v>52931</v>
      </c>
      <c r="AD322" s="51">
        <v>0.50405069721307039</v>
      </c>
      <c r="AE322" s="50">
        <v>52931</v>
      </c>
      <c r="AF322" s="51">
        <v>0.52310836812481754</v>
      </c>
    </row>
    <row r="323" spans="1:32" x14ac:dyDescent="0.25">
      <c r="A323" s="50">
        <v>52962</v>
      </c>
      <c r="B323" s="51">
        <v>0.48109510511879167</v>
      </c>
      <c r="C323" s="50">
        <v>52962</v>
      </c>
      <c r="D323" s="51">
        <v>0.48110492399846622</v>
      </c>
      <c r="E323" s="50">
        <v>52962</v>
      </c>
      <c r="F323" s="51">
        <v>0.70484131759741486</v>
      </c>
      <c r="G323" s="50">
        <v>52962</v>
      </c>
      <c r="H323" s="51">
        <v>0.69839021953560465</v>
      </c>
      <c r="I323" s="50">
        <v>52962</v>
      </c>
      <c r="J323" s="51">
        <v>0.1590379072660231</v>
      </c>
      <c r="K323" s="50">
        <v>52962</v>
      </c>
      <c r="L323" s="51">
        <v>0.15904035364752991</v>
      </c>
      <c r="M323" s="50">
        <v>52962</v>
      </c>
      <c r="N323" s="51">
        <v>7.4607419798460889E-2</v>
      </c>
      <c r="O323" s="50">
        <v>52962</v>
      </c>
      <c r="P323" s="51">
        <v>9.6969251107591151E-2</v>
      </c>
      <c r="Q323" s="50">
        <v>52962</v>
      </c>
      <c r="R323" s="51">
        <v>0.83576875950149243</v>
      </c>
      <c r="S323" s="50">
        <v>52962</v>
      </c>
      <c r="T323" s="51">
        <v>0.91540432255181015</v>
      </c>
      <c r="U323" s="50">
        <v>52962</v>
      </c>
      <c r="V323" s="51">
        <v>0.67541179713522925</v>
      </c>
      <c r="W323" s="50">
        <v>52962</v>
      </c>
      <c r="X323" s="51">
        <v>0.63964096848857133</v>
      </c>
      <c r="Y323" s="50">
        <v>52962</v>
      </c>
      <c r="Z323" s="51">
        <v>0.81439454494538532</v>
      </c>
      <c r="AA323" s="50">
        <v>52962</v>
      </c>
      <c r="AB323" s="51">
        <v>0.84566846591979039</v>
      </c>
      <c r="AC323" s="50">
        <v>52962</v>
      </c>
      <c r="AD323" s="51">
        <v>0.50292537994901809</v>
      </c>
      <c r="AE323" s="50">
        <v>52962</v>
      </c>
      <c r="AF323" s="51">
        <v>0.52199603780180903</v>
      </c>
    </row>
    <row r="324" spans="1:32" x14ac:dyDescent="0.25">
      <c r="A324" s="50">
        <v>52993</v>
      </c>
      <c r="B324" s="51">
        <v>0.47995095461482185</v>
      </c>
      <c r="C324" s="50">
        <v>52993</v>
      </c>
      <c r="D324" s="51">
        <v>0.47996075016730055</v>
      </c>
      <c r="E324" s="50">
        <v>52993</v>
      </c>
      <c r="F324" s="51">
        <v>0.7040324955446402</v>
      </c>
      <c r="G324" s="50">
        <v>52993</v>
      </c>
      <c r="H324" s="51">
        <v>0.69745005092809953</v>
      </c>
      <c r="I324" s="50">
        <v>52993</v>
      </c>
      <c r="J324" s="51">
        <v>0.15812825039387413</v>
      </c>
      <c r="K324" s="50">
        <v>52993</v>
      </c>
      <c r="L324" s="51">
        <v>0.15813068278269332</v>
      </c>
      <c r="M324" s="50">
        <v>52993</v>
      </c>
      <c r="N324" s="51">
        <v>7.40532697690508E-2</v>
      </c>
      <c r="O324" s="50">
        <v>52993</v>
      </c>
      <c r="P324" s="51">
        <v>9.6309394089312314E-2</v>
      </c>
      <c r="Q324" s="50">
        <v>52993</v>
      </c>
      <c r="R324" s="51">
        <v>0.83500343705052416</v>
      </c>
      <c r="S324" s="50">
        <v>52993</v>
      </c>
      <c r="T324" s="51">
        <v>0.91466735562715173</v>
      </c>
      <c r="U324" s="50">
        <v>52993</v>
      </c>
      <c r="V324" s="51">
        <v>0.67455109609140429</v>
      </c>
      <c r="W324" s="50">
        <v>52993</v>
      </c>
      <c r="X324" s="51">
        <v>0.63862437145602602</v>
      </c>
      <c r="Y324" s="50">
        <v>52993</v>
      </c>
      <c r="Z324" s="51">
        <v>0.81389843828944441</v>
      </c>
      <c r="AA324" s="50">
        <v>52993</v>
      </c>
      <c r="AB324" s="51">
        <v>0.84515833476902591</v>
      </c>
      <c r="AC324" s="50">
        <v>52993</v>
      </c>
      <c r="AD324" s="51">
        <v>0.50177850651825184</v>
      </c>
      <c r="AE324" s="50">
        <v>52993</v>
      </c>
      <c r="AF324" s="51">
        <v>0.5208616972455995</v>
      </c>
    </row>
    <row r="325" spans="1:32" x14ac:dyDescent="0.25">
      <c r="A325" s="50">
        <v>53021</v>
      </c>
      <c r="B325" s="51">
        <v>0.47891744622985599</v>
      </c>
      <c r="C325" s="50">
        <v>53021</v>
      </c>
      <c r="D325" s="51">
        <v>0.47892722071092342</v>
      </c>
      <c r="E325" s="50">
        <v>53021</v>
      </c>
      <c r="F325" s="51">
        <v>0.70330212953972848</v>
      </c>
      <c r="G325" s="50">
        <v>53021</v>
      </c>
      <c r="H325" s="51">
        <v>0.6966008823681954</v>
      </c>
      <c r="I325" s="50">
        <v>53021</v>
      </c>
      <c r="J325" s="51">
        <v>0.15730619683199754</v>
      </c>
      <c r="K325" s="50">
        <v>53021</v>
      </c>
      <c r="L325" s="51">
        <v>0.15730861657567652</v>
      </c>
      <c r="M325" s="50">
        <v>53021</v>
      </c>
      <c r="N325" s="51">
        <v>7.3552747161841681E-2</v>
      </c>
      <c r="O325" s="50">
        <v>53021</v>
      </c>
      <c r="P325" s="51">
        <v>9.5713394201834653E-2</v>
      </c>
      <c r="Q325" s="50">
        <v>53021</v>
      </c>
      <c r="R325" s="51">
        <v>0.83431152030425404</v>
      </c>
      <c r="S325" s="50">
        <v>53021</v>
      </c>
      <c r="T325" s="51">
        <v>0.91400101541532852</v>
      </c>
      <c r="U325" s="50">
        <v>53021</v>
      </c>
      <c r="V325" s="51">
        <v>0.67377306053143626</v>
      </c>
      <c r="W325" s="50">
        <v>53021</v>
      </c>
      <c r="X325" s="51">
        <v>0.63770544968376364</v>
      </c>
      <c r="Y325" s="50">
        <v>53021</v>
      </c>
      <c r="Z325" s="51">
        <v>0.81345047086748046</v>
      </c>
      <c r="AA325" s="50">
        <v>53021</v>
      </c>
      <c r="AB325" s="51">
        <v>0.84469750327512605</v>
      </c>
      <c r="AC325" s="50">
        <v>53021</v>
      </c>
      <c r="AD325" s="51">
        <v>0.50074197183598135</v>
      </c>
      <c r="AE325" s="50">
        <v>53021</v>
      </c>
      <c r="AF325" s="51">
        <v>0.51983646890823854</v>
      </c>
    </row>
    <row r="326" spans="1:32" x14ac:dyDescent="0.25">
      <c r="A326" s="50">
        <v>53052</v>
      </c>
      <c r="B326" s="51">
        <v>0.47777320480364383</v>
      </c>
      <c r="C326" s="50">
        <v>53052</v>
      </c>
      <c r="D326" s="51">
        <v>0.47778295595564868</v>
      </c>
      <c r="E326" s="50">
        <v>53052</v>
      </c>
      <c r="F326" s="51">
        <v>0.7024935100342905</v>
      </c>
      <c r="G326" s="50">
        <v>53052</v>
      </c>
      <c r="H326" s="51">
        <v>0.69566073146258733</v>
      </c>
      <c r="I326" s="50">
        <v>53052</v>
      </c>
      <c r="J326" s="51">
        <v>0.15639606610277701</v>
      </c>
      <c r="K326" s="50">
        <v>53052</v>
      </c>
      <c r="L326" s="51">
        <v>0.15639847184647937</v>
      </c>
      <c r="M326" s="50">
        <v>53052</v>
      </c>
      <c r="N326" s="51">
        <v>7.2998597132431592E-2</v>
      </c>
      <c r="O326" s="50">
        <v>53052</v>
      </c>
      <c r="P326" s="51">
        <v>9.5053537183555803E-2</v>
      </c>
      <c r="Q326" s="50">
        <v>53052</v>
      </c>
      <c r="R326" s="51">
        <v>0.83354546962088361</v>
      </c>
      <c r="S326" s="50">
        <v>53052</v>
      </c>
      <c r="T326" s="51">
        <v>0.91326328160938153</v>
      </c>
      <c r="U326" s="50">
        <v>53052</v>
      </c>
      <c r="V326" s="51">
        <v>0.67291166401861457</v>
      </c>
      <c r="W326" s="50">
        <v>53052</v>
      </c>
      <c r="X326" s="51">
        <v>0.63668807200733035</v>
      </c>
      <c r="Y326" s="50">
        <v>53052</v>
      </c>
      <c r="Z326" s="51">
        <v>0.81295450693602045</v>
      </c>
      <c r="AA326" s="50">
        <v>53052</v>
      </c>
      <c r="AB326" s="51">
        <v>0.8441872969783083</v>
      </c>
      <c r="AC326" s="50">
        <v>53052</v>
      </c>
      <c r="AD326" s="51">
        <v>0.49959437986632471</v>
      </c>
      <c r="AE326" s="50">
        <v>53052</v>
      </c>
      <c r="AF326" s="51">
        <v>0.51870139467758902</v>
      </c>
    </row>
    <row r="327" spans="1:32" x14ac:dyDescent="0.25">
      <c r="A327" s="50">
        <v>53082</v>
      </c>
      <c r="B327" s="51">
        <v>0.47666587439118047</v>
      </c>
      <c r="C327" s="50">
        <v>53082</v>
      </c>
      <c r="D327" s="51">
        <v>0.47667560296667316</v>
      </c>
      <c r="E327" s="50">
        <v>53082</v>
      </c>
      <c r="F327" s="51">
        <v>0.70171097502902802</v>
      </c>
      <c r="G327" s="50">
        <v>53082</v>
      </c>
      <c r="H327" s="51">
        <v>0.69475090800554717</v>
      </c>
      <c r="I327" s="50">
        <v>53082</v>
      </c>
      <c r="J327" s="51">
        <v>0.15552969663736826</v>
      </c>
      <c r="K327" s="50">
        <v>53082</v>
      </c>
      <c r="L327" s="51">
        <v>0.15553208905424637</v>
      </c>
      <c r="M327" s="50">
        <v>53082</v>
      </c>
      <c r="N327" s="51">
        <v>7.2462322910421817E-2</v>
      </c>
      <c r="O327" s="50">
        <v>53082</v>
      </c>
      <c r="P327" s="51">
        <v>9.441496587554403E-2</v>
      </c>
      <c r="Q327" s="50">
        <v>53082</v>
      </c>
      <c r="R327" s="51">
        <v>0.83280413024987998</v>
      </c>
      <c r="S327" s="50">
        <v>53082</v>
      </c>
      <c r="T327" s="51">
        <v>0.9125493456681425</v>
      </c>
      <c r="U327" s="50">
        <v>53082</v>
      </c>
      <c r="V327" s="51">
        <v>0.67207805449007751</v>
      </c>
      <c r="W327" s="50">
        <v>53082</v>
      </c>
      <c r="X327" s="51">
        <v>0.63570351296562078</v>
      </c>
      <c r="Y327" s="50">
        <v>53082</v>
      </c>
      <c r="Z327" s="51">
        <v>0.81247454184105916</v>
      </c>
      <c r="AA327" s="50">
        <v>53082</v>
      </c>
      <c r="AB327" s="51">
        <v>0.84369354894912985</v>
      </c>
      <c r="AC327" s="50">
        <v>53082</v>
      </c>
      <c r="AD327" s="51">
        <v>0.49848380699246342</v>
      </c>
      <c r="AE327" s="50">
        <v>53082</v>
      </c>
      <c r="AF327" s="51">
        <v>0.5176029357447024</v>
      </c>
    </row>
    <row r="328" spans="1:32" x14ac:dyDescent="0.25">
      <c r="A328" s="50">
        <v>53113</v>
      </c>
      <c r="B328" s="51">
        <v>0.4755216329649683</v>
      </c>
      <c r="C328" s="50">
        <v>53113</v>
      </c>
      <c r="D328" s="51">
        <v>0.47553133821139842</v>
      </c>
      <c r="E328" s="50">
        <v>53113</v>
      </c>
      <c r="F328" s="51">
        <v>0.70090235552359004</v>
      </c>
      <c r="G328" s="50">
        <v>53113</v>
      </c>
      <c r="H328" s="51">
        <v>0.693810757099939</v>
      </c>
      <c r="I328" s="50">
        <v>53113</v>
      </c>
      <c r="J328" s="51">
        <v>0.15463496137190441</v>
      </c>
      <c r="K328" s="50">
        <v>53113</v>
      </c>
      <c r="L328" s="51">
        <v>0.15463734002562479</v>
      </c>
      <c r="M328" s="50">
        <v>53113</v>
      </c>
      <c r="N328" s="51">
        <v>7.1908172881011728E-2</v>
      </c>
      <c r="O328" s="50">
        <v>53113</v>
      </c>
      <c r="P328" s="51">
        <v>9.3755108857265193E-2</v>
      </c>
      <c r="Q328" s="50">
        <v>53113</v>
      </c>
      <c r="R328" s="51">
        <v>0.83203807956650955</v>
      </c>
      <c r="S328" s="50">
        <v>53113</v>
      </c>
      <c r="T328" s="51">
        <v>0.91181161186219539</v>
      </c>
      <c r="U328" s="50">
        <v>53113</v>
      </c>
      <c r="V328" s="51">
        <v>0.67121665797725583</v>
      </c>
      <c r="W328" s="50">
        <v>53113</v>
      </c>
      <c r="X328" s="51">
        <v>0.63468613528918749</v>
      </c>
      <c r="Y328" s="50">
        <v>53113</v>
      </c>
      <c r="Z328" s="51">
        <v>0.81197857790959915</v>
      </c>
      <c r="AA328" s="50">
        <v>53113</v>
      </c>
      <c r="AB328" s="51">
        <v>0.8431833426523121</v>
      </c>
      <c r="AC328" s="50">
        <v>53113</v>
      </c>
      <c r="AD328" s="51">
        <v>0.49733621502280678</v>
      </c>
      <c r="AE328" s="50">
        <v>53113</v>
      </c>
      <c r="AF328" s="51">
        <v>0.51646786151405277</v>
      </c>
    </row>
    <row r="329" spans="1:32" x14ac:dyDescent="0.25">
      <c r="A329" s="50">
        <v>53143</v>
      </c>
      <c r="B329" s="51">
        <v>0.47441430255250489</v>
      </c>
      <c r="C329" s="50">
        <v>53143</v>
      </c>
      <c r="D329" s="51">
        <v>0.47442398522242291</v>
      </c>
      <c r="E329" s="50">
        <v>53143</v>
      </c>
      <c r="F329" s="51">
        <v>0.70011982051832744</v>
      </c>
      <c r="G329" s="50">
        <v>53143</v>
      </c>
      <c r="H329" s="51">
        <v>0.69290093364289884</v>
      </c>
      <c r="I329" s="50">
        <v>53143</v>
      </c>
      <c r="J329" s="51">
        <v>0.15376908853435878</v>
      </c>
      <c r="K329" s="50">
        <v>53143</v>
      </c>
      <c r="L329" s="51">
        <v>0.15377145386889424</v>
      </c>
      <c r="M329" s="50">
        <v>53143</v>
      </c>
      <c r="N329" s="51">
        <v>7.1371898659001967E-2</v>
      </c>
      <c r="O329" s="50">
        <v>53143</v>
      </c>
      <c r="P329" s="51">
        <v>9.3116537549253406E-2</v>
      </c>
      <c r="Q329" s="50">
        <v>53143</v>
      </c>
      <c r="R329" s="51">
        <v>0.83129674019550592</v>
      </c>
      <c r="S329" s="50">
        <v>53143</v>
      </c>
      <c r="T329" s="51">
        <v>0.91109767592095636</v>
      </c>
      <c r="U329" s="50">
        <v>53143</v>
      </c>
      <c r="V329" s="51">
        <v>0.67038304844871865</v>
      </c>
      <c r="W329" s="50">
        <v>53143</v>
      </c>
      <c r="X329" s="51">
        <v>0.63370157624747792</v>
      </c>
      <c r="Y329" s="50">
        <v>53143</v>
      </c>
      <c r="Z329" s="51">
        <v>0.81149861281463787</v>
      </c>
      <c r="AA329" s="50">
        <v>53143</v>
      </c>
      <c r="AB329" s="51">
        <v>0.84268959462313364</v>
      </c>
      <c r="AC329" s="50">
        <v>53143</v>
      </c>
      <c r="AD329" s="51">
        <v>0.49622564214894554</v>
      </c>
      <c r="AE329" s="50">
        <v>53143</v>
      </c>
      <c r="AF329" s="51">
        <v>0.51536940258116615</v>
      </c>
    </row>
    <row r="330" spans="1:32" x14ac:dyDescent="0.25">
      <c r="A330" s="50">
        <v>53174</v>
      </c>
      <c r="B330" s="51">
        <v>0.47330321004855619</v>
      </c>
      <c r="C330" s="50">
        <v>53174</v>
      </c>
      <c r="D330" s="51">
        <v>0.47331287006564188</v>
      </c>
      <c r="E330" s="50">
        <v>53174</v>
      </c>
      <c r="F330" s="51">
        <v>0.69931120101288946</v>
      </c>
      <c r="G330" s="50">
        <v>53174</v>
      </c>
      <c r="H330" s="51">
        <v>0.69196078273729078</v>
      </c>
      <c r="I330" s="50">
        <v>53174</v>
      </c>
      <c r="J330" s="51">
        <v>0.15289815085028488</v>
      </c>
      <c r="K330" s="50">
        <v>53174</v>
      </c>
      <c r="L330" s="51">
        <v>0.15290050278772602</v>
      </c>
      <c r="M330" s="50">
        <v>53174</v>
      </c>
      <c r="N330" s="51">
        <v>7.0817748629591878E-2</v>
      </c>
      <c r="O330" s="50">
        <v>53174</v>
      </c>
      <c r="P330" s="51">
        <v>9.2456680530974569E-2</v>
      </c>
      <c r="Q330" s="50">
        <v>53174</v>
      </c>
      <c r="R330" s="51">
        <v>0.83053914931945361</v>
      </c>
      <c r="S330" s="50">
        <v>53174</v>
      </c>
      <c r="T330" s="51">
        <v>0.91035340949304511</v>
      </c>
      <c r="U330" s="50">
        <v>53174</v>
      </c>
      <c r="V330" s="51">
        <v>0.66955507990291396</v>
      </c>
      <c r="W330" s="50">
        <v>53174</v>
      </c>
      <c r="X330" s="51">
        <v>0.63271935743919905</v>
      </c>
      <c r="Y330" s="50">
        <v>53174</v>
      </c>
      <c r="Z330" s="51">
        <v>0.81100264888317786</v>
      </c>
      <c r="AA330" s="50">
        <v>53174</v>
      </c>
      <c r="AB330" s="51">
        <v>0.84217938832631589</v>
      </c>
      <c r="AC330" s="50">
        <v>53174</v>
      </c>
      <c r="AD330" s="51">
        <v>0.49512653188473549</v>
      </c>
      <c r="AE330" s="50">
        <v>53174</v>
      </c>
      <c r="AF330" s="51">
        <v>0.51428158926431278</v>
      </c>
    </row>
    <row r="331" spans="1:32" x14ac:dyDescent="0.25">
      <c r="A331" s="50">
        <v>53205</v>
      </c>
      <c r="B331" s="51">
        <v>0.4721932225086829</v>
      </c>
      <c r="C331" s="50">
        <v>53205</v>
      </c>
      <c r="D331" s="51">
        <v>0.47220285989547733</v>
      </c>
      <c r="E331" s="50">
        <v>53205</v>
      </c>
      <c r="F331" s="51">
        <v>0.69850258150745148</v>
      </c>
      <c r="G331" s="50">
        <v>53205</v>
      </c>
      <c r="H331" s="51">
        <v>0.69102063183168261</v>
      </c>
      <c r="I331" s="50">
        <v>53205</v>
      </c>
      <c r="J331" s="51">
        <v>0.152028006418924</v>
      </c>
      <c r="K331" s="50">
        <v>53205</v>
      </c>
      <c r="L331" s="51">
        <v>0.15203034497147291</v>
      </c>
      <c r="M331" s="50">
        <v>53205</v>
      </c>
      <c r="N331" s="51">
        <v>7.0263598600181776E-2</v>
      </c>
      <c r="O331" s="50">
        <v>53205</v>
      </c>
      <c r="P331" s="51">
        <v>9.1796823512695733E-2</v>
      </c>
      <c r="Q331" s="50">
        <v>53205</v>
      </c>
      <c r="R331" s="51">
        <v>0.82978184043697845</v>
      </c>
      <c r="S331" s="50">
        <v>53205</v>
      </c>
      <c r="T331" s="51">
        <v>0.90960892531106841</v>
      </c>
      <c r="U331" s="50">
        <v>53205</v>
      </c>
      <c r="V331" s="51">
        <v>0.66872822562267642</v>
      </c>
      <c r="W331" s="50">
        <v>53205</v>
      </c>
      <c r="X331" s="51">
        <v>0.63173831059319208</v>
      </c>
      <c r="Y331" s="50">
        <v>53205</v>
      </c>
      <c r="Z331" s="51">
        <v>0.81050668495171785</v>
      </c>
      <c r="AA331" s="50">
        <v>53205</v>
      </c>
      <c r="AB331" s="51">
        <v>0.84166918202949814</v>
      </c>
      <c r="AC331" s="50">
        <v>53205</v>
      </c>
      <c r="AD331" s="51">
        <v>0.49402903767737372</v>
      </c>
      <c r="AE331" s="50">
        <v>53205</v>
      </c>
      <c r="AF331" s="51">
        <v>0.5131953513112526</v>
      </c>
    </row>
    <row r="332" spans="1:32" x14ac:dyDescent="0.25">
      <c r="A332" s="50">
        <v>53235</v>
      </c>
      <c r="B332" s="51">
        <v>0.47111904101848295</v>
      </c>
      <c r="C332" s="50">
        <v>53235</v>
      </c>
      <c r="D332" s="51">
        <v>0.47112865650499547</v>
      </c>
      <c r="E332" s="50">
        <v>53235</v>
      </c>
      <c r="F332" s="51">
        <v>0.69772004650218888</v>
      </c>
      <c r="G332" s="50">
        <v>53235</v>
      </c>
      <c r="H332" s="51">
        <v>0.69011080837464245</v>
      </c>
      <c r="I332" s="50">
        <v>53235</v>
      </c>
      <c r="J332" s="51">
        <v>0.15118593116276829</v>
      </c>
      <c r="K332" s="50">
        <v>53235</v>
      </c>
      <c r="L332" s="51">
        <v>0.15118825676219572</v>
      </c>
      <c r="M332" s="50">
        <v>53235</v>
      </c>
      <c r="N332" s="51">
        <v>6.9727324378172015E-2</v>
      </c>
      <c r="O332" s="50">
        <v>53235</v>
      </c>
      <c r="P332" s="51">
        <v>9.1158252204683959E-2</v>
      </c>
      <c r="Q332" s="50">
        <v>53235</v>
      </c>
      <c r="R332" s="51">
        <v>0.82904896087329294</v>
      </c>
      <c r="S332" s="50">
        <v>53235</v>
      </c>
      <c r="T332" s="51">
        <v>0.90888845674786511</v>
      </c>
      <c r="U332" s="50">
        <v>53235</v>
      </c>
      <c r="V332" s="51">
        <v>0.66792804406115625</v>
      </c>
      <c r="W332" s="50">
        <v>53235</v>
      </c>
      <c r="X332" s="51">
        <v>0.63078891041963692</v>
      </c>
      <c r="Y332" s="50">
        <v>53235</v>
      </c>
      <c r="Z332" s="51">
        <v>0.81002671985675645</v>
      </c>
      <c r="AA332" s="50">
        <v>53235</v>
      </c>
      <c r="AB332" s="51">
        <v>0.8411754340003198</v>
      </c>
      <c r="AC332" s="50">
        <v>53235</v>
      </c>
      <c r="AD332" s="51">
        <v>0.49296694650895906</v>
      </c>
      <c r="AE332" s="50">
        <v>53235</v>
      </c>
      <c r="AF332" s="51">
        <v>0.51214415329216201</v>
      </c>
    </row>
    <row r="333" spans="1:32" x14ac:dyDescent="0.25">
      <c r="A333" s="50">
        <v>53266</v>
      </c>
      <c r="B333" s="51">
        <v>0.47000905347860966</v>
      </c>
      <c r="C333" s="50">
        <v>53266</v>
      </c>
      <c r="D333" s="51">
        <v>0.47001864633483093</v>
      </c>
      <c r="E333" s="50">
        <v>53266</v>
      </c>
      <c r="F333" s="51">
        <v>0.6969114269967509</v>
      </c>
      <c r="G333" s="50">
        <v>53266</v>
      </c>
      <c r="H333" s="51">
        <v>0.68917065746903428</v>
      </c>
      <c r="I333" s="50">
        <v>53266</v>
      </c>
      <c r="J333" s="51">
        <v>0.15034763365622431</v>
      </c>
      <c r="K333" s="50">
        <v>53266</v>
      </c>
      <c r="L333" s="51">
        <v>0.15034994636064106</v>
      </c>
      <c r="M333" s="50">
        <v>53266</v>
      </c>
      <c r="N333" s="51">
        <v>6.9173174348761926E-2</v>
      </c>
      <c r="O333" s="50">
        <v>53266</v>
      </c>
      <c r="P333" s="51">
        <v>9.0498395186405109E-2</v>
      </c>
      <c r="Q333" s="50">
        <v>53266</v>
      </c>
      <c r="R333" s="51">
        <v>0.82829165199081789</v>
      </c>
      <c r="S333" s="50">
        <v>53266</v>
      </c>
      <c r="T333" s="51">
        <v>0.90814397256588841</v>
      </c>
      <c r="U333" s="50">
        <v>53266</v>
      </c>
      <c r="V333" s="51">
        <v>0.6671011897809187</v>
      </c>
      <c r="W333" s="50">
        <v>53266</v>
      </c>
      <c r="X333" s="51">
        <v>0.62980786357362983</v>
      </c>
      <c r="Y333" s="50">
        <v>53266</v>
      </c>
      <c r="Z333" s="51">
        <v>0.80953075592529644</v>
      </c>
      <c r="AA333" s="50">
        <v>53266</v>
      </c>
      <c r="AB333" s="51">
        <v>0.84066522770350205</v>
      </c>
      <c r="AC333" s="50">
        <v>53266</v>
      </c>
      <c r="AD333" s="51">
        <v>0.49186945230159729</v>
      </c>
      <c r="AE333" s="50">
        <v>53266</v>
      </c>
      <c r="AF333" s="51">
        <v>0.51105791533910183</v>
      </c>
    </row>
    <row r="334" spans="1:32" x14ac:dyDescent="0.25">
      <c r="A334" s="50">
        <v>53296</v>
      </c>
      <c r="B334" s="51">
        <v>0.46893487198840972</v>
      </c>
      <c r="C334" s="50">
        <v>53296</v>
      </c>
      <c r="D334" s="51">
        <v>0.46894444294434906</v>
      </c>
      <c r="E334" s="50">
        <v>53296</v>
      </c>
      <c r="F334" s="51">
        <v>0.69612889199148831</v>
      </c>
      <c r="G334" s="50">
        <v>53296</v>
      </c>
      <c r="H334" s="51">
        <v>0.68826083401199423</v>
      </c>
      <c r="I334" s="50">
        <v>53296</v>
      </c>
      <c r="J334" s="51">
        <v>0.14953740532488552</v>
      </c>
      <c r="K334" s="50">
        <v>53296</v>
      </c>
      <c r="L334" s="51">
        <v>0.1495397055660623</v>
      </c>
      <c r="M334" s="50">
        <v>53296</v>
      </c>
      <c r="N334" s="51">
        <v>6.8636900126752151E-2</v>
      </c>
      <c r="O334" s="50">
        <v>53296</v>
      </c>
      <c r="P334" s="51">
        <v>8.9859823878393336E-2</v>
      </c>
      <c r="Q334" s="50">
        <v>53296</v>
      </c>
      <c r="R334" s="51">
        <v>0.82755877242713227</v>
      </c>
      <c r="S334" s="50">
        <v>53296</v>
      </c>
      <c r="T334" s="51">
        <v>0.90742350400268512</v>
      </c>
      <c r="U334" s="50">
        <v>53296</v>
      </c>
      <c r="V334" s="51">
        <v>0.66630100821939853</v>
      </c>
      <c r="W334" s="50">
        <v>53296</v>
      </c>
      <c r="X334" s="51">
        <v>0.62885846340007467</v>
      </c>
      <c r="Y334" s="50">
        <v>53296</v>
      </c>
      <c r="Z334" s="51">
        <v>0.80905079083033515</v>
      </c>
      <c r="AA334" s="50">
        <v>53296</v>
      </c>
      <c r="AB334" s="51">
        <v>0.8401714796743236</v>
      </c>
      <c r="AC334" s="50">
        <v>53296</v>
      </c>
      <c r="AD334" s="51">
        <v>0.49080736113318263</v>
      </c>
      <c r="AE334" s="50">
        <v>53296</v>
      </c>
      <c r="AF334" s="51">
        <v>0.51000671732001135</v>
      </c>
    </row>
    <row r="335" spans="1:32" x14ac:dyDescent="0.25">
      <c r="A335" s="50">
        <v>53327</v>
      </c>
      <c r="B335" s="51">
        <v>0.46782488444853643</v>
      </c>
      <c r="C335" s="50">
        <v>53327</v>
      </c>
      <c r="D335" s="51">
        <v>0.46783443277418452</v>
      </c>
      <c r="E335" s="50">
        <v>53327</v>
      </c>
      <c r="F335" s="51">
        <v>0.69532027248605033</v>
      </c>
      <c r="G335" s="50">
        <v>53327</v>
      </c>
      <c r="H335" s="51">
        <v>0.68732068310638605</v>
      </c>
      <c r="I335" s="50">
        <v>53327</v>
      </c>
      <c r="J335" s="51">
        <v>0.14870016938250211</v>
      </c>
      <c r="K335" s="50">
        <v>53327</v>
      </c>
      <c r="L335" s="51">
        <v>0.14870245674499757</v>
      </c>
      <c r="M335" s="50">
        <v>53327</v>
      </c>
      <c r="N335" s="51">
        <v>6.8082750097342062E-2</v>
      </c>
      <c r="O335" s="50">
        <v>53327</v>
      </c>
      <c r="P335" s="51">
        <v>8.9199966860114499E-2</v>
      </c>
      <c r="Q335" s="50">
        <v>53327</v>
      </c>
      <c r="R335" s="51">
        <v>0.82680146354465722</v>
      </c>
      <c r="S335" s="50">
        <v>53327</v>
      </c>
      <c r="T335" s="51">
        <v>0.90667901982070831</v>
      </c>
      <c r="U335" s="50">
        <v>53327</v>
      </c>
      <c r="V335" s="51">
        <v>0.66547415393916098</v>
      </c>
      <c r="W335" s="50">
        <v>53327</v>
      </c>
      <c r="X335" s="51">
        <v>0.6278774165540677</v>
      </c>
      <c r="Y335" s="50">
        <v>53327</v>
      </c>
      <c r="Z335" s="51">
        <v>0.80855482689887515</v>
      </c>
      <c r="AA335" s="50">
        <v>53327</v>
      </c>
      <c r="AB335" s="51">
        <v>0.83966127337750585</v>
      </c>
      <c r="AC335" s="50">
        <v>53327</v>
      </c>
      <c r="AD335" s="51">
        <v>0.48970986692582086</v>
      </c>
      <c r="AE335" s="50">
        <v>53327</v>
      </c>
      <c r="AF335" s="51">
        <v>0.50892047936695117</v>
      </c>
    </row>
    <row r="336" spans="1:32" x14ac:dyDescent="0.25">
      <c r="A336" s="50">
        <v>53358</v>
      </c>
      <c r="B336" s="51">
        <v>0.46671224510075821</v>
      </c>
      <c r="C336" s="50">
        <v>53358</v>
      </c>
      <c r="D336" s="51">
        <v>0.46672177074166105</v>
      </c>
      <c r="E336" s="50">
        <v>53358</v>
      </c>
      <c r="F336" s="51">
        <v>0.69451973711674519</v>
      </c>
      <c r="G336" s="50">
        <v>53358</v>
      </c>
      <c r="H336" s="51">
        <v>0.68638333439396593</v>
      </c>
      <c r="I336" s="50">
        <v>53358</v>
      </c>
      <c r="J336" s="51">
        <v>0.14784964177374624</v>
      </c>
      <c r="K336" s="50">
        <v>53358</v>
      </c>
      <c r="L336" s="51">
        <v>0.14785191605310291</v>
      </c>
      <c r="M336" s="50">
        <v>53358</v>
      </c>
      <c r="N336" s="51">
        <v>6.7528600067931974E-2</v>
      </c>
      <c r="O336" s="50">
        <v>53358</v>
      </c>
      <c r="P336" s="51">
        <v>8.8540109841835662E-2</v>
      </c>
      <c r="Q336" s="50">
        <v>53358</v>
      </c>
      <c r="R336" s="51">
        <v>0.82602236482513214</v>
      </c>
      <c r="S336" s="50">
        <v>53358</v>
      </c>
      <c r="T336" s="51">
        <v>0.9059113651492916</v>
      </c>
      <c r="U336" s="50">
        <v>53358</v>
      </c>
      <c r="V336" s="51">
        <v>0.66462674419087342</v>
      </c>
      <c r="W336" s="50">
        <v>53358</v>
      </c>
      <c r="X336" s="51">
        <v>0.62687337916202801</v>
      </c>
      <c r="Y336" s="50">
        <v>53358</v>
      </c>
      <c r="Z336" s="51">
        <v>0.80806448553827748</v>
      </c>
      <c r="AA336" s="50">
        <v>53358</v>
      </c>
      <c r="AB336" s="51">
        <v>0.83915004890781397</v>
      </c>
      <c r="AC336" s="50">
        <v>53358</v>
      </c>
      <c r="AD336" s="51">
        <v>0.48859139436588894</v>
      </c>
      <c r="AE336" s="50">
        <v>53358</v>
      </c>
      <c r="AF336" s="51">
        <v>0.50781279233168353</v>
      </c>
    </row>
    <row r="337" spans="1:32" x14ac:dyDescent="0.25">
      <c r="A337" s="50">
        <v>53386</v>
      </c>
      <c r="B337" s="51">
        <v>0.46570720068919369</v>
      </c>
      <c r="C337" s="50">
        <v>53386</v>
      </c>
      <c r="D337" s="51">
        <v>0.4657167058390097</v>
      </c>
      <c r="E337" s="50">
        <v>53386</v>
      </c>
      <c r="F337" s="51">
        <v>0.6937969163055574</v>
      </c>
      <c r="G337" s="50">
        <v>53386</v>
      </c>
      <c r="H337" s="51">
        <v>0.68553678121437056</v>
      </c>
      <c r="I337" s="50">
        <v>53386</v>
      </c>
      <c r="J337" s="51">
        <v>0.14708102310921575</v>
      </c>
      <c r="K337" s="50">
        <v>53386</v>
      </c>
      <c r="L337" s="51">
        <v>0.14708328556538813</v>
      </c>
      <c r="M337" s="50">
        <v>53386</v>
      </c>
      <c r="N337" s="51">
        <v>6.7028077460722854E-2</v>
      </c>
      <c r="O337" s="50">
        <v>53386</v>
      </c>
      <c r="P337" s="51">
        <v>8.7944109954358002E-2</v>
      </c>
      <c r="Q337" s="50">
        <v>53386</v>
      </c>
      <c r="R337" s="51">
        <v>0.825318006717779</v>
      </c>
      <c r="S337" s="50">
        <v>53386</v>
      </c>
      <c r="T337" s="51">
        <v>0.90521730203349127</v>
      </c>
      <c r="U337" s="50">
        <v>53386</v>
      </c>
      <c r="V337" s="51">
        <v>0.6638607229632747</v>
      </c>
      <c r="W337" s="50">
        <v>53386</v>
      </c>
      <c r="X337" s="51">
        <v>0.62596581449041278</v>
      </c>
      <c r="Y337" s="50">
        <v>53386</v>
      </c>
      <c r="Z337" s="51">
        <v>0.80762176584911849</v>
      </c>
      <c r="AA337" s="50">
        <v>53386</v>
      </c>
      <c r="AB337" s="51">
        <v>0.8386882671192315</v>
      </c>
      <c r="AC337" s="50">
        <v>53386</v>
      </c>
      <c r="AD337" s="51">
        <v>0.48758052947963648</v>
      </c>
      <c r="AE337" s="50">
        <v>53386</v>
      </c>
      <c r="AF337" s="51">
        <v>0.50681165503713876</v>
      </c>
    </row>
    <row r="338" spans="1:32" x14ac:dyDescent="0.25">
      <c r="A338" s="50">
        <v>53417</v>
      </c>
      <c r="B338" s="51">
        <v>0.46459447294781869</v>
      </c>
      <c r="C338" s="50">
        <v>53417</v>
      </c>
      <c r="D338" s="51">
        <v>0.4646039554110743</v>
      </c>
      <c r="E338" s="50">
        <v>53417</v>
      </c>
      <c r="F338" s="51">
        <v>0.69299665040745662</v>
      </c>
      <c r="G338" s="50">
        <v>53417</v>
      </c>
      <c r="H338" s="51">
        <v>0.68459952590839002</v>
      </c>
      <c r="I338" s="50">
        <v>53417</v>
      </c>
      <c r="J338" s="51">
        <v>0.14623005244491413</v>
      </c>
      <c r="K338" s="50">
        <v>53417</v>
      </c>
      <c r="L338" s="51">
        <v>0.14623230181113248</v>
      </c>
      <c r="M338" s="50">
        <v>53417</v>
      </c>
      <c r="N338" s="51">
        <v>6.6473927431312765E-2</v>
      </c>
      <c r="O338" s="50">
        <v>53417</v>
      </c>
      <c r="P338" s="51">
        <v>8.7284252936079165E-2</v>
      </c>
      <c r="Q338" s="50">
        <v>53417</v>
      </c>
      <c r="R338" s="51">
        <v>0.8245381816703522</v>
      </c>
      <c r="S338" s="50">
        <v>53417</v>
      </c>
      <c r="T338" s="51">
        <v>0.90444887501242655</v>
      </c>
      <c r="U338" s="50">
        <v>53417</v>
      </c>
      <c r="V338" s="51">
        <v>0.66301262803271888</v>
      </c>
      <c r="W338" s="50">
        <v>53417</v>
      </c>
      <c r="X338" s="51">
        <v>0.62496101074683863</v>
      </c>
      <c r="Y338" s="50">
        <v>53417</v>
      </c>
      <c r="Z338" s="51">
        <v>0.80713161190754956</v>
      </c>
      <c r="AA338" s="50">
        <v>53417</v>
      </c>
      <c r="AB338" s="51">
        <v>0.83817700871044387</v>
      </c>
      <c r="AC338" s="50">
        <v>53417</v>
      </c>
      <c r="AD338" s="51">
        <v>0.48646135764128562</v>
      </c>
      <c r="AE338" s="50">
        <v>53417</v>
      </c>
      <c r="AF338" s="51">
        <v>0.50570325303246422</v>
      </c>
    </row>
    <row r="339" spans="1:32" x14ac:dyDescent="0.25">
      <c r="A339" s="50">
        <v>53447</v>
      </c>
      <c r="B339" s="51">
        <v>0.46351763964971382</v>
      </c>
      <c r="C339" s="50">
        <v>53447</v>
      </c>
      <c r="D339" s="51">
        <v>0.46352710015823356</v>
      </c>
      <c r="E339" s="50">
        <v>53447</v>
      </c>
      <c r="F339" s="51">
        <v>0.69222219953832687</v>
      </c>
      <c r="G339" s="50">
        <v>53447</v>
      </c>
      <c r="H339" s="51">
        <v>0.6836925046445379</v>
      </c>
      <c r="I339" s="50">
        <v>53447</v>
      </c>
      <c r="J339" s="51">
        <v>0.1454199984869064</v>
      </c>
      <c r="K339" s="50">
        <v>53447</v>
      </c>
      <c r="L339" s="51">
        <v>0.14542223539256699</v>
      </c>
      <c r="M339" s="50">
        <v>53447</v>
      </c>
      <c r="N339" s="51">
        <v>6.5937653209303004E-2</v>
      </c>
      <c r="O339" s="50">
        <v>53447</v>
      </c>
      <c r="P339" s="51">
        <v>8.6645681628067378E-2</v>
      </c>
      <c r="Q339" s="50">
        <v>53447</v>
      </c>
      <c r="R339" s="51">
        <v>0.82378351226961666</v>
      </c>
      <c r="S339" s="50">
        <v>53447</v>
      </c>
      <c r="T339" s="51">
        <v>0.90370523595978325</v>
      </c>
      <c r="U339" s="50">
        <v>53447</v>
      </c>
      <c r="V339" s="51">
        <v>0.66219189100314868</v>
      </c>
      <c r="W339" s="50">
        <v>53447</v>
      </c>
      <c r="X339" s="51">
        <v>0.62398862002725075</v>
      </c>
      <c r="Y339" s="50">
        <v>53447</v>
      </c>
      <c r="Z339" s="51">
        <v>0.80665726938345061</v>
      </c>
      <c r="AA339" s="50">
        <v>53447</v>
      </c>
      <c r="AB339" s="51">
        <v>0.83768224250839129</v>
      </c>
      <c r="AC339" s="50">
        <v>53447</v>
      </c>
      <c r="AD339" s="51">
        <v>0.48537828812030087</v>
      </c>
      <c r="AE339" s="50">
        <v>53447</v>
      </c>
      <c r="AF339" s="51">
        <v>0.50463060593116615</v>
      </c>
    </row>
    <row r="340" spans="1:32" x14ac:dyDescent="0.25">
      <c r="A340" s="50">
        <v>53478</v>
      </c>
      <c r="B340" s="51">
        <v>0.46240491190833882</v>
      </c>
      <c r="C340" s="50">
        <v>53478</v>
      </c>
      <c r="D340" s="51">
        <v>0.4624143497302981</v>
      </c>
      <c r="E340" s="50">
        <v>53478</v>
      </c>
      <c r="F340" s="51">
        <v>0.69142193364022619</v>
      </c>
      <c r="G340" s="50">
        <v>53478</v>
      </c>
      <c r="H340" s="51">
        <v>0.68275524933855747</v>
      </c>
      <c r="I340" s="50">
        <v>53478</v>
      </c>
      <c r="J340" s="51">
        <v>0.14458342255470166</v>
      </c>
      <c r="K340" s="50">
        <v>53478</v>
      </c>
      <c r="L340" s="51">
        <v>0.14458564659183343</v>
      </c>
      <c r="M340" s="50">
        <v>53478</v>
      </c>
      <c r="N340" s="51">
        <v>6.5383503179892902E-2</v>
      </c>
      <c r="O340" s="50">
        <v>53478</v>
      </c>
      <c r="P340" s="51">
        <v>8.5985824609788541E-2</v>
      </c>
      <c r="Q340" s="50">
        <v>53478</v>
      </c>
      <c r="R340" s="51">
        <v>0.82300368722218986</v>
      </c>
      <c r="S340" s="50">
        <v>53478</v>
      </c>
      <c r="T340" s="51">
        <v>0.90293680893871853</v>
      </c>
      <c r="U340" s="50">
        <v>53478</v>
      </c>
      <c r="V340" s="51">
        <v>0.66134379607259286</v>
      </c>
      <c r="W340" s="50">
        <v>53478</v>
      </c>
      <c r="X340" s="51">
        <v>0.62298381628367672</v>
      </c>
      <c r="Y340" s="50">
        <v>53478</v>
      </c>
      <c r="Z340" s="51">
        <v>0.8061671154418818</v>
      </c>
      <c r="AA340" s="50">
        <v>53478</v>
      </c>
      <c r="AB340" s="51">
        <v>0.83717098409960355</v>
      </c>
      <c r="AC340" s="50">
        <v>53478</v>
      </c>
      <c r="AD340" s="51">
        <v>0.48425911628194995</v>
      </c>
      <c r="AE340" s="50">
        <v>53478</v>
      </c>
      <c r="AF340" s="51">
        <v>0.50352220392649161</v>
      </c>
    </row>
    <row r="341" spans="1:32" x14ac:dyDescent="0.25">
      <c r="A341" s="50">
        <v>53508</v>
      </c>
      <c r="B341" s="51">
        <v>0.461328078610234</v>
      </c>
      <c r="C341" s="50">
        <v>53508</v>
      </c>
      <c r="D341" s="51">
        <v>0.46133749447745737</v>
      </c>
      <c r="E341" s="50">
        <v>53508</v>
      </c>
      <c r="F341" s="51">
        <v>0.69064748277109644</v>
      </c>
      <c r="G341" s="50">
        <v>53508</v>
      </c>
      <c r="H341" s="51">
        <v>0.68184822807470524</v>
      </c>
      <c r="I341" s="50">
        <v>53508</v>
      </c>
      <c r="J341" s="51">
        <v>0.14377383294289059</v>
      </c>
      <c r="K341" s="50">
        <v>53508</v>
      </c>
      <c r="L341" s="51">
        <v>0.14377604452660736</v>
      </c>
      <c r="M341" s="50">
        <v>53508</v>
      </c>
      <c r="N341" s="51">
        <v>6.4847228957883141E-2</v>
      </c>
      <c r="O341" s="50">
        <v>53508</v>
      </c>
      <c r="P341" s="51">
        <v>8.5347253301776754E-2</v>
      </c>
      <c r="Q341" s="50">
        <v>53508</v>
      </c>
      <c r="R341" s="51">
        <v>0.82224901782145432</v>
      </c>
      <c r="S341" s="50">
        <v>53508</v>
      </c>
      <c r="T341" s="51">
        <v>0.90219316988607523</v>
      </c>
      <c r="U341" s="50">
        <v>53508</v>
      </c>
      <c r="V341" s="51">
        <v>0.66052305904302266</v>
      </c>
      <c r="W341" s="50">
        <v>53508</v>
      </c>
      <c r="X341" s="51">
        <v>0.62201142556408884</v>
      </c>
      <c r="Y341" s="50">
        <v>53508</v>
      </c>
      <c r="Z341" s="51">
        <v>0.80569277291778285</v>
      </c>
      <c r="AA341" s="50">
        <v>53508</v>
      </c>
      <c r="AB341" s="51">
        <v>0.83667621789755098</v>
      </c>
      <c r="AC341" s="50">
        <v>53508</v>
      </c>
      <c r="AD341" s="51">
        <v>0.48317604676096521</v>
      </c>
      <c r="AE341" s="50">
        <v>53508</v>
      </c>
      <c r="AF341" s="51">
        <v>0.50244955682519366</v>
      </c>
    </row>
    <row r="342" spans="1:32" x14ac:dyDescent="0.25">
      <c r="A342" s="50">
        <v>53539</v>
      </c>
      <c r="B342" s="51">
        <v>0.4602475865224836</v>
      </c>
      <c r="C342" s="50">
        <v>53539</v>
      </c>
      <c r="D342" s="51">
        <v>0.46025698036075713</v>
      </c>
      <c r="E342" s="50">
        <v>53539</v>
      </c>
      <c r="F342" s="51">
        <v>0.68984721687299566</v>
      </c>
      <c r="G342" s="50">
        <v>53539</v>
      </c>
      <c r="H342" s="51">
        <v>0.68091097276872481</v>
      </c>
      <c r="I342" s="50">
        <v>53539</v>
      </c>
      <c r="J342" s="51">
        <v>0.14295950770829879</v>
      </c>
      <c r="K342" s="50">
        <v>53539</v>
      </c>
      <c r="L342" s="51">
        <v>0.14296170676575543</v>
      </c>
      <c r="M342" s="50">
        <v>53539</v>
      </c>
      <c r="N342" s="51">
        <v>6.4293078928473052E-2</v>
      </c>
      <c r="O342" s="50">
        <v>53539</v>
      </c>
      <c r="P342" s="51">
        <v>8.4687396283497918E-2</v>
      </c>
      <c r="Q342" s="50">
        <v>53539</v>
      </c>
      <c r="R342" s="51">
        <v>0.82147798080671308</v>
      </c>
      <c r="S342" s="50">
        <v>53539</v>
      </c>
      <c r="T342" s="51">
        <v>0.90141893920949712</v>
      </c>
      <c r="U342" s="50">
        <v>53539</v>
      </c>
      <c r="V342" s="51">
        <v>0.6597078861976563</v>
      </c>
      <c r="W342" s="50">
        <v>53539</v>
      </c>
      <c r="X342" s="51">
        <v>0.62104127669670217</v>
      </c>
      <c r="Y342" s="50">
        <v>53539</v>
      </c>
      <c r="Z342" s="51">
        <v>0.80520261897621392</v>
      </c>
      <c r="AA342" s="50">
        <v>53539</v>
      </c>
      <c r="AB342" s="51">
        <v>0.83616495948876335</v>
      </c>
      <c r="AC342" s="50">
        <v>53539</v>
      </c>
      <c r="AD342" s="51">
        <v>0.48210412865325586</v>
      </c>
      <c r="AE342" s="50">
        <v>53539</v>
      </c>
      <c r="AF342" s="51">
        <v>0.5013872778472509</v>
      </c>
    </row>
    <row r="343" spans="1:32" x14ac:dyDescent="0.25">
      <c r="A343" s="50">
        <v>53570</v>
      </c>
      <c r="B343" s="51">
        <v>0.45916816895652074</v>
      </c>
      <c r="C343" s="50">
        <v>53570</v>
      </c>
      <c r="D343" s="51">
        <v>0.45917754078776468</v>
      </c>
      <c r="E343" s="50">
        <v>53570</v>
      </c>
      <c r="F343" s="51">
        <v>0.68904695097489488</v>
      </c>
      <c r="G343" s="50">
        <v>53570</v>
      </c>
      <c r="H343" s="51">
        <v>0.67997371746274426</v>
      </c>
      <c r="I343" s="50">
        <v>53570</v>
      </c>
      <c r="J343" s="51">
        <v>0.14214592416362745</v>
      </c>
      <c r="K343" s="50">
        <v>53570</v>
      </c>
      <c r="L343" s="51">
        <v>0.1421481107062329</v>
      </c>
      <c r="M343" s="50">
        <v>53570</v>
      </c>
      <c r="N343" s="51">
        <v>6.3738928899062949E-2</v>
      </c>
      <c r="O343" s="50">
        <v>53570</v>
      </c>
      <c r="P343" s="51">
        <v>8.4027539265219081E-2</v>
      </c>
      <c r="Q343" s="50">
        <v>53570</v>
      </c>
      <c r="R343" s="51">
        <v>0.82070723672639478</v>
      </c>
      <c r="S343" s="50">
        <v>53570</v>
      </c>
      <c r="T343" s="51">
        <v>0.90064451507773524</v>
      </c>
      <c r="U343" s="50">
        <v>53570</v>
      </c>
      <c r="V343" s="51">
        <v>0.65889381075512954</v>
      </c>
      <c r="W343" s="50">
        <v>53570</v>
      </c>
      <c r="X343" s="51">
        <v>0.62007228299185513</v>
      </c>
      <c r="Y343" s="50">
        <v>53570</v>
      </c>
      <c r="Z343" s="51">
        <v>0.804712465034645</v>
      </c>
      <c r="AA343" s="50">
        <v>53570</v>
      </c>
      <c r="AB343" s="51">
        <v>0.83565370107997561</v>
      </c>
      <c r="AC343" s="50">
        <v>53570</v>
      </c>
      <c r="AD343" s="51">
        <v>0.48103378566990124</v>
      </c>
      <c r="AE343" s="50">
        <v>53570</v>
      </c>
      <c r="AF343" s="51">
        <v>0.50032653630353252</v>
      </c>
    </row>
    <row r="344" spans="1:32" x14ac:dyDescent="0.25">
      <c r="A344" s="50">
        <v>53600</v>
      </c>
      <c r="B344" s="51">
        <v>0.45812357131204051</v>
      </c>
      <c r="C344" s="50">
        <v>53600</v>
      </c>
      <c r="D344" s="51">
        <v>0.45813292184615906</v>
      </c>
      <c r="E344" s="50">
        <v>53600</v>
      </c>
      <c r="F344" s="51">
        <v>0.68827250010576513</v>
      </c>
      <c r="G344" s="50">
        <v>53600</v>
      </c>
      <c r="H344" s="51">
        <v>0.67906669619889215</v>
      </c>
      <c r="I344" s="50">
        <v>53600</v>
      </c>
      <c r="J344" s="51">
        <v>0.14135858524942935</v>
      </c>
      <c r="K344" s="50">
        <v>53600</v>
      </c>
      <c r="L344" s="51">
        <v>0.14136075968088849</v>
      </c>
      <c r="M344" s="50">
        <v>53600</v>
      </c>
      <c r="N344" s="51">
        <v>6.3202654677053188E-2</v>
      </c>
      <c r="O344" s="50">
        <v>53600</v>
      </c>
      <c r="P344" s="51">
        <v>8.3388967957207294E-2</v>
      </c>
      <c r="Q344" s="50">
        <v>53600</v>
      </c>
      <c r="R344" s="51">
        <v>0.81996135535834469</v>
      </c>
      <c r="S344" s="50">
        <v>53600</v>
      </c>
      <c r="T344" s="51">
        <v>0.89989507236957866</v>
      </c>
      <c r="U344" s="50">
        <v>53600</v>
      </c>
      <c r="V344" s="51">
        <v>0.6581059958107488</v>
      </c>
      <c r="W344" s="50">
        <v>53600</v>
      </c>
      <c r="X344" s="51">
        <v>0.61913454714845473</v>
      </c>
      <c r="Y344" s="50">
        <v>53600</v>
      </c>
      <c r="Z344" s="51">
        <v>0.80423812251054605</v>
      </c>
      <c r="AA344" s="50">
        <v>53600</v>
      </c>
      <c r="AB344" s="51">
        <v>0.83515893487792303</v>
      </c>
      <c r="AC344" s="50">
        <v>53600</v>
      </c>
      <c r="AD344" s="51">
        <v>0.47999796987955801</v>
      </c>
      <c r="AE344" s="50">
        <v>53600</v>
      </c>
      <c r="AF344" s="51">
        <v>0.49930001222896636</v>
      </c>
    </row>
    <row r="345" spans="1:32" x14ac:dyDescent="0.25">
      <c r="A345" s="50">
        <v>53631</v>
      </c>
      <c r="B345" s="51">
        <v>0.4570441537460776</v>
      </c>
      <c r="C345" s="50">
        <v>53631</v>
      </c>
      <c r="D345" s="51">
        <v>0.45705348227316661</v>
      </c>
      <c r="E345" s="50">
        <v>53631</v>
      </c>
      <c r="F345" s="51">
        <v>0.68747223420766435</v>
      </c>
      <c r="G345" s="50">
        <v>53631</v>
      </c>
      <c r="H345" s="51">
        <v>0.67812944089291161</v>
      </c>
      <c r="I345" s="50">
        <v>53631</v>
      </c>
      <c r="J345" s="51">
        <v>0.14057477852461184</v>
      </c>
      <c r="K345" s="50">
        <v>53631</v>
      </c>
      <c r="L345" s="51">
        <v>0.14057694089925821</v>
      </c>
      <c r="M345" s="50">
        <v>53631</v>
      </c>
      <c r="N345" s="51">
        <v>6.26485046476431E-2</v>
      </c>
      <c r="O345" s="50">
        <v>53631</v>
      </c>
      <c r="P345" s="51">
        <v>8.2729110938928457E-2</v>
      </c>
      <c r="Q345" s="50">
        <v>53631</v>
      </c>
      <c r="R345" s="51">
        <v>0.81919061127802628</v>
      </c>
      <c r="S345" s="50">
        <v>53631</v>
      </c>
      <c r="T345" s="51">
        <v>0.89912064823781679</v>
      </c>
      <c r="U345" s="50">
        <v>53631</v>
      </c>
      <c r="V345" s="51">
        <v>0.65729192036822215</v>
      </c>
      <c r="W345" s="50">
        <v>53631</v>
      </c>
      <c r="X345" s="51">
        <v>0.61816555344360768</v>
      </c>
      <c r="Y345" s="50">
        <v>53631</v>
      </c>
      <c r="Z345" s="51">
        <v>0.80374796856897723</v>
      </c>
      <c r="AA345" s="50">
        <v>53631</v>
      </c>
      <c r="AB345" s="51">
        <v>0.8346476764691354</v>
      </c>
      <c r="AC345" s="50">
        <v>53631</v>
      </c>
      <c r="AD345" s="51">
        <v>0.47892762689620338</v>
      </c>
      <c r="AE345" s="50">
        <v>53631</v>
      </c>
      <c r="AF345" s="51">
        <v>0.49823927068524798</v>
      </c>
    </row>
    <row r="346" spans="1:32" x14ac:dyDescent="0.25">
      <c r="A346" s="50">
        <v>53661</v>
      </c>
      <c r="B346" s="51">
        <v>0.45599955610159737</v>
      </c>
      <c r="C346" s="50">
        <v>53661</v>
      </c>
      <c r="D346" s="51">
        <v>0.45600886333156104</v>
      </c>
      <c r="E346" s="50">
        <v>53661</v>
      </c>
      <c r="F346" s="51">
        <v>0.6866977833385346</v>
      </c>
      <c r="G346" s="50">
        <v>53661</v>
      </c>
      <c r="H346" s="51">
        <v>0.67722241962905949</v>
      </c>
      <c r="I346" s="50">
        <v>53661</v>
      </c>
      <c r="J346" s="51">
        <v>0.13981721643026759</v>
      </c>
      <c r="K346" s="50">
        <v>53661</v>
      </c>
      <c r="L346" s="51">
        <v>0.13981936715180607</v>
      </c>
      <c r="M346" s="50">
        <v>53661</v>
      </c>
      <c r="N346" s="51">
        <v>6.2112230425633325E-2</v>
      </c>
      <c r="O346" s="50">
        <v>53661</v>
      </c>
      <c r="P346" s="51">
        <v>8.2090539630916684E-2</v>
      </c>
      <c r="Q346" s="50">
        <v>53661</v>
      </c>
      <c r="R346" s="51">
        <v>0.8184447299099763</v>
      </c>
      <c r="S346" s="50">
        <v>53661</v>
      </c>
      <c r="T346" s="51">
        <v>0.8983712055296601</v>
      </c>
      <c r="U346" s="50">
        <v>53661</v>
      </c>
      <c r="V346" s="51">
        <v>0.65650410542384141</v>
      </c>
      <c r="W346" s="50">
        <v>53661</v>
      </c>
      <c r="X346" s="51">
        <v>0.61722781760020728</v>
      </c>
      <c r="Y346" s="50">
        <v>53661</v>
      </c>
      <c r="Z346" s="51">
        <v>0.80327362604487829</v>
      </c>
      <c r="AA346" s="50">
        <v>53661</v>
      </c>
      <c r="AB346" s="51">
        <v>0.83415291026708283</v>
      </c>
      <c r="AC346" s="50">
        <v>53661</v>
      </c>
      <c r="AD346" s="51">
        <v>0.47789181110586021</v>
      </c>
      <c r="AE346" s="50">
        <v>53661</v>
      </c>
      <c r="AF346" s="51">
        <v>0.49721274661068182</v>
      </c>
    </row>
    <row r="347" spans="1:32" x14ac:dyDescent="0.25">
      <c r="A347" s="50">
        <v>53692</v>
      </c>
      <c r="B347" s="51">
        <v>0.45492013853563451</v>
      </c>
      <c r="C347" s="50">
        <v>53692</v>
      </c>
      <c r="D347" s="51">
        <v>0.4549294237585686</v>
      </c>
      <c r="E347" s="50">
        <v>53692</v>
      </c>
      <c r="F347" s="51">
        <v>0.68589751744043392</v>
      </c>
      <c r="G347" s="50">
        <v>53692</v>
      </c>
      <c r="H347" s="51">
        <v>0.67628516432307895</v>
      </c>
      <c r="I347" s="50">
        <v>53692</v>
      </c>
      <c r="J347" s="51">
        <v>0.13903440226611186</v>
      </c>
      <c r="K347" s="50">
        <v>53692</v>
      </c>
      <c r="L347" s="51">
        <v>0.13903654094610551</v>
      </c>
      <c r="M347" s="50">
        <v>53692</v>
      </c>
      <c r="N347" s="51">
        <v>6.1558080396223236E-2</v>
      </c>
      <c r="O347" s="50">
        <v>53692</v>
      </c>
      <c r="P347" s="51">
        <v>8.1430682612637834E-2</v>
      </c>
      <c r="Q347" s="50">
        <v>53692</v>
      </c>
      <c r="R347" s="51">
        <v>0.81767398582965789</v>
      </c>
      <c r="S347" s="50">
        <v>53692</v>
      </c>
      <c r="T347" s="51">
        <v>0.89759678139789822</v>
      </c>
      <c r="U347" s="50">
        <v>53692</v>
      </c>
      <c r="V347" s="51">
        <v>0.65569002998131465</v>
      </c>
      <c r="W347" s="50">
        <v>53692</v>
      </c>
      <c r="X347" s="51">
        <v>0.61625882389536024</v>
      </c>
      <c r="Y347" s="50">
        <v>53692</v>
      </c>
      <c r="Z347" s="51">
        <v>0.80278347210330936</v>
      </c>
      <c r="AA347" s="50">
        <v>53692</v>
      </c>
      <c r="AB347" s="51">
        <v>0.83364165185829509</v>
      </c>
      <c r="AC347" s="50">
        <v>53692</v>
      </c>
      <c r="AD347" s="51">
        <v>0.47682146812250559</v>
      </c>
      <c r="AE347" s="50">
        <v>53692</v>
      </c>
      <c r="AF347" s="51">
        <v>0.4961520050669635</v>
      </c>
    </row>
    <row r="348" spans="1:32" x14ac:dyDescent="0.25">
      <c r="A348" s="50">
        <v>53723</v>
      </c>
      <c r="B348" s="51">
        <v>0.45383814292707664</v>
      </c>
      <c r="C348" s="50">
        <v>53723</v>
      </c>
      <c r="D348" s="51">
        <v>0.45384740609003105</v>
      </c>
      <c r="E348" s="50">
        <v>53723</v>
      </c>
      <c r="F348" s="51">
        <v>0.68510527252334774</v>
      </c>
      <c r="G348" s="50">
        <v>53723</v>
      </c>
      <c r="H348" s="51">
        <v>0.6753508969442551</v>
      </c>
      <c r="I348" s="50">
        <v>53723</v>
      </c>
      <c r="J348" s="51">
        <v>0.13823916041679007</v>
      </c>
      <c r="K348" s="50">
        <v>53723</v>
      </c>
      <c r="L348" s="51">
        <v>0.1382412868640715</v>
      </c>
      <c r="M348" s="50">
        <v>53723</v>
      </c>
      <c r="N348" s="51">
        <v>6.1003930366813147E-2</v>
      </c>
      <c r="O348" s="50">
        <v>53723</v>
      </c>
      <c r="P348" s="51">
        <v>8.0770825594358997E-2</v>
      </c>
      <c r="Q348" s="50">
        <v>53723</v>
      </c>
      <c r="R348" s="51">
        <v>0.81688152077066245</v>
      </c>
      <c r="S348" s="50">
        <v>53723</v>
      </c>
      <c r="T348" s="51">
        <v>0.89679904800232013</v>
      </c>
      <c r="U348" s="50">
        <v>53723</v>
      </c>
      <c r="V348" s="51">
        <v>0.65485570284577388</v>
      </c>
      <c r="W348" s="50">
        <v>53723</v>
      </c>
      <c r="X348" s="51">
        <v>0.61526726410108479</v>
      </c>
      <c r="Y348" s="50">
        <v>53723</v>
      </c>
      <c r="Z348" s="51">
        <v>0.80229887694134283</v>
      </c>
      <c r="AA348" s="50">
        <v>53723</v>
      </c>
      <c r="AB348" s="51">
        <v>0.83312942588342687</v>
      </c>
      <c r="AC348" s="50">
        <v>53723</v>
      </c>
      <c r="AD348" s="51">
        <v>0.47573071040748893</v>
      </c>
      <c r="AE348" s="50">
        <v>53723</v>
      </c>
      <c r="AF348" s="51">
        <v>0.4950703625414109</v>
      </c>
    </row>
    <row r="349" spans="1:32" x14ac:dyDescent="0.25">
      <c r="A349" s="50">
        <v>53751</v>
      </c>
      <c r="B349" s="51">
        <v>0.45286077895247312</v>
      </c>
      <c r="C349" s="50">
        <v>53751</v>
      </c>
      <c r="D349" s="51">
        <v>0.45287002218869044</v>
      </c>
      <c r="E349" s="50">
        <v>53751</v>
      </c>
      <c r="F349" s="51">
        <v>0.68438993796110692</v>
      </c>
      <c r="G349" s="50">
        <v>53751</v>
      </c>
      <c r="H349" s="51">
        <v>0.67450713249667271</v>
      </c>
      <c r="I349" s="50">
        <v>53751</v>
      </c>
      <c r="J349" s="51">
        <v>0.13752050328924714</v>
      </c>
      <c r="K349" s="50">
        <v>53751</v>
      </c>
      <c r="L349" s="51">
        <v>0.1375226186818716</v>
      </c>
      <c r="M349" s="50">
        <v>53751</v>
      </c>
      <c r="N349" s="51">
        <v>6.0503407759604028E-2</v>
      </c>
      <c r="O349" s="50">
        <v>53751</v>
      </c>
      <c r="P349" s="51">
        <v>8.0174825706881336E-2</v>
      </c>
      <c r="Q349" s="50">
        <v>53751</v>
      </c>
      <c r="R349" s="51">
        <v>0.81616509191371722</v>
      </c>
      <c r="S349" s="50">
        <v>53751</v>
      </c>
      <c r="T349" s="51">
        <v>0.89607781282847865</v>
      </c>
      <c r="U349" s="50">
        <v>53751</v>
      </c>
      <c r="V349" s="51">
        <v>0.65410150731753891</v>
      </c>
      <c r="W349" s="50">
        <v>53751</v>
      </c>
      <c r="X349" s="51">
        <v>0.61437098229711118</v>
      </c>
      <c r="Y349" s="50">
        <v>53751</v>
      </c>
      <c r="Z349" s="51">
        <v>0.80186134544647936</v>
      </c>
      <c r="AA349" s="50">
        <v>53751</v>
      </c>
      <c r="AB349" s="51">
        <v>0.83266674103316918</v>
      </c>
      <c r="AC349" s="50">
        <v>53751</v>
      </c>
      <c r="AD349" s="51">
        <v>0.47474489525361735</v>
      </c>
      <c r="AE349" s="50">
        <v>53751</v>
      </c>
      <c r="AF349" s="51">
        <v>0.49409276582210393</v>
      </c>
    </row>
    <row r="350" spans="1:32" x14ac:dyDescent="0.25">
      <c r="A350" s="50">
        <v>53782</v>
      </c>
      <c r="B350" s="51">
        <v>0.45177869740916204</v>
      </c>
      <c r="C350" s="50">
        <v>53782</v>
      </c>
      <c r="D350" s="51">
        <v>0.45178791858363476</v>
      </c>
      <c r="E350" s="50">
        <v>53782</v>
      </c>
      <c r="F350" s="51">
        <v>0.68359796041005461</v>
      </c>
      <c r="G350" s="50">
        <v>53782</v>
      </c>
      <c r="H350" s="51">
        <v>0.67357296471542072</v>
      </c>
      <c r="I350" s="50">
        <v>53782</v>
      </c>
      <c r="J350" s="51">
        <v>0.13672484718375313</v>
      </c>
      <c r="K350" s="50">
        <v>53782</v>
      </c>
      <c r="L350" s="51">
        <v>0.13672695033729312</v>
      </c>
      <c r="M350" s="50">
        <v>53782</v>
      </c>
      <c r="N350" s="51">
        <v>5.9949257730193939E-2</v>
      </c>
      <c r="O350" s="50">
        <v>53782</v>
      </c>
      <c r="P350" s="51">
        <v>7.95149686886025E-2</v>
      </c>
      <c r="Q350" s="50">
        <v>53782</v>
      </c>
      <c r="R350" s="51">
        <v>0.81537190282209926</v>
      </c>
      <c r="S350" s="50">
        <v>53782</v>
      </c>
      <c r="T350" s="51">
        <v>0.89527930245744003</v>
      </c>
      <c r="U350" s="50">
        <v>53782</v>
      </c>
      <c r="V350" s="51">
        <v>0.65326650512556439</v>
      </c>
      <c r="W350" s="50">
        <v>53782</v>
      </c>
      <c r="X350" s="51">
        <v>0.61337867029985471</v>
      </c>
      <c r="Y350" s="50">
        <v>53782</v>
      </c>
      <c r="Z350" s="51">
        <v>0.80137693557716616</v>
      </c>
      <c r="AA350" s="50">
        <v>53782</v>
      </c>
      <c r="AB350" s="51">
        <v>0.83215448280609827</v>
      </c>
      <c r="AC350" s="50">
        <v>53782</v>
      </c>
      <c r="AD350" s="51">
        <v>0.4736534570475453</v>
      </c>
      <c r="AE350" s="50">
        <v>53782</v>
      </c>
      <c r="AF350" s="51">
        <v>0.49301042659715688</v>
      </c>
    </row>
    <row r="351" spans="1:32" x14ac:dyDescent="0.25">
      <c r="A351" s="50">
        <v>53812</v>
      </c>
      <c r="B351" s="51">
        <v>0.45073152172208686</v>
      </c>
      <c r="C351" s="50">
        <v>53812</v>
      </c>
      <c r="D351" s="51">
        <v>0.45074072154648409</v>
      </c>
      <c r="E351" s="50">
        <v>53812</v>
      </c>
      <c r="F351" s="51">
        <v>0.68283153052193946</v>
      </c>
      <c r="G351" s="50">
        <v>53812</v>
      </c>
      <c r="H351" s="51">
        <v>0.6726689313787253</v>
      </c>
      <c r="I351" s="50">
        <v>53812</v>
      </c>
      <c r="J351" s="51">
        <v>0.13596744812817305</v>
      </c>
      <c r="K351" s="50">
        <v>53812</v>
      </c>
      <c r="L351" s="51">
        <v>0.13596953963111305</v>
      </c>
      <c r="M351" s="50">
        <v>53812</v>
      </c>
      <c r="N351" s="51">
        <v>5.9412983508184171E-2</v>
      </c>
      <c r="O351" s="50">
        <v>53812</v>
      </c>
      <c r="P351" s="51">
        <v>7.8876397380590726E-2</v>
      </c>
      <c r="Q351" s="50">
        <v>53812</v>
      </c>
      <c r="R351" s="51">
        <v>0.81460430047537213</v>
      </c>
      <c r="S351" s="50">
        <v>53812</v>
      </c>
      <c r="T351" s="51">
        <v>0.89450655048546701</v>
      </c>
      <c r="U351" s="50">
        <v>53812</v>
      </c>
      <c r="V351" s="51">
        <v>0.65245843848816965</v>
      </c>
      <c r="W351" s="50">
        <v>53812</v>
      </c>
      <c r="X351" s="51">
        <v>0.61241836836702579</v>
      </c>
      <c r="Y351" s="50">
        <v>53812</v>
      </c>
      <c r="Z351" s="51">
        <v>0.80090815183266961</v>
      </c>
      <c r="AA351" s="50">
        <v>53812</v>
      </c>
      <c r="AB351" s="51">
        <v>0.83165874903796499</v>
      </c>
      <c r="AC351" s="50">
        <v>53812</v>
      </c>
      <c r="AD351" s="51">
        <v>0.47259722652554009</v>
      </c>
      <c r="AE351" s="50">
        <v>53812</v>
      </c>
      <c r="AF351" s="51">
        <v>0.49196300154075651</v>
      </c>
    </row>
    <row r="352" spans="1:32" x14ac:dyDescent="0.25">
      <c r="A352" s="50">
        <v>53843</v>
      </c>
      <c r="B352" s="51">
        <v>0.44964944017877578</v>
      </c>
      <c r="C352" s="50">
        <v>53843</v>
      </c>
      <c r="D352" s="51">
        <v>0.44965861794142842</v>
      </c>
      <c r="E352" s="50">
        <v>53843</v>
      </c>
      <c r="F352" s="51">
        <v>0.68203955297088703</v>
      </c>
      <c r="G352" s="50">
        <v>53843</v>
      </c>
      <c r="H352" s="51">
        <v>0.67173476359747331</v>
      </c>
      <c r="I352" s="50">
        <v>53843</v>
      </c>
      <c r="J352" s="51">
        <v>0.13518525107239759</v>
      </c>
      <c r="K352" s="50">
        <v>53843</v>
      </c>
      <c r="L352" s="51">
        <v>0.13518733054328536</v>
      </c>
      <c r="M352" s="50">
        <v>53843</v>
      </c>
      <c r="N352" s="51">
        <v>5.8858833478774075E-2</v>
      </c>
      <c r="O352" s="50">
        <v>53843</v>
      </c>
      <c r="P352" s="51">
        <v>7.821654036231189E-2</v>
      </c>
      <c r="Q352" s="50">
        <v>53843</v>
      </c>
      <c r="R352" s="51">
        <v>0.81381111138375417</v>
      </c>
      <c r="S352" s="50">
        <v>53843</v>
      </c>
      <c r="T352" s="51">
        <v>0.89370804011442839</v>
      </c>
      <c r="U352" s="50">
        <v>53843</v>
      </c>
      <c r="V352" s="51">
        <v>0.65162343629619512</v>
      </c>
      <c r="W352" s="50">
        <v>53843</v>
      </c>
      <c r="X352" s="51">
        <v>0.61142605636976932</v>
      </c>
      <c r="Y352" s="50">
        <v>53843</v>
      </c>
      <c r="Z352" s="51">
        <v>0.80042374196335653</v>
      </c>
      <c r="AA352" s="50">
        <v>53843</v>
      </c>
      <c r="AB352" s="51">
        <v>0.83114649081089409</v>
      </c>
      <c r="AC352" s="50">
        <v>53843</v>
      </c>
      <c r="AD352" s="51">
        <v>0.47150578831946799</v>
      </c>
      <c r="AE352" s="50">
        <v>53843</v>
      </c>
      <c r="AF352" s="51">
        <v>0.49088066231580946</v>
      </c>
    </row>
    <row r="353" spans="1:32" x14ac:dyDescent="0.25">
      <c r="A353" s="50">
        <v>53873</v>
      </c>
      <c r="B353" s="51">
        <v>0.4486022644917006</v>
      </c>
      <c r="C353" s="50">
        <v>53873</v>
      </c>
      <c r="D353" s="51">
        <v>0.44861142090427775</v>
      </c>
      <c r="E353" s="50">
        <v>53873</v>
      </c>
      <c r="F353" s="51">
        <v>0.68127312308277188</v>
      </c>
      <c r="G353" s="50">
        <v>53873</v>
      </c>
      <c r="H353" s="51">
        <v>0.67083073026077789</v>
      </c>
      <c r="I353" s="50">
        <v>53873</v>
      </c>
      <c r="J353" s="51">
        <v>0.13442828617971164</v>
      </c>
      <c r="K353" s="50">
        <v>53873</v>
      </c>
      <c r="L353" s="51">
        <v>0.13443035400667788</v>
      </c>
      <c r="M353" s="50">
        <v>53873</v>
      </c>
      <c r="N353" s="51">
        <v>5.8322559256764314E-2</v>
      </c>
      <c r="O353" s="50">
        <v>53873</v>
      </c>
      <c r="P353" s="51">
        <v>7.7577969054300103E-2</v>
      </c>
      <c r="Q353" s="50">
        <v>53873</v>
      </c>
      <c r="R353" s="51">
        <v>0.81304350903702716</v>
      </c>
      <c r="S353" s="50">
        <v>53873</v>
      </c>
      <c r="T353" s="51">
        <v>0.89293528814245537</v>
      </c>
      <c r="U353" s="50">
        <v>53873</v>
      </c>
      <c r="V353" s="51">
        <v>0.65081536965880038</v>
      </c>
      <c r="W353" s="50">
        <v>53873</v>
      </c>
      <c r="X353" s="51">
        <v>0.61046575443694051</v>
      </c>
      <c r="Y353" s="50">
        <v>53873</v>
      </c>
      <c r="Z353" s="51">
        <v>0.79995495821885987</v>
      </c>
      <c r="AA353" s="50">
        <v>53873</v>
      </c>
      <c r="AB353" s="51">
        <v>0.83065075704276092</v>
      </c>
      <c r="AC353" s="50">
        <v>53873</v>
      </c>
      <c r="AD353" s="51">
        <v>0.47044955779746278</v>
      </c>
      <c r="AE353" s="50">
        <v>53873</v>
      </c>
      <c r="AF353" s="51">
        <v>0.48983323725940908</v>
      </c>
    </row>
    <row r="354" spans="1:32" x14ac:dyDescent="0.25">
      <c r="A354" s="50">
        <v>53904</v>
      </c>
      <c r="B354" s="51">
        <v>0.44755153046753615</v>
      </c>
      <c r="C354" s="50">
        <v>53904</v>
      </c>
      <c r="D354" s="51">
        <v>0.44756066545787188</v>
      </c>
      <c r="E354" s="50">
        <v>53904</v>
      </c>
      <c r="F354" s="51">
        <v>0.68048114553171957</v>
      </c>
      <c r="G354" s="50">
        <v>53904</v>
      </c>
      <c r="H354" s="51">
        <v>0.66989656247952589</v>
      </c>
      <c r="I354" s="50">
        <v>53904</v>
      </c>
      <c r="J354" s="51">
        <v>0.13366689348788191</v>
      </c>
      <c r="K354" s="50">
        <v>53904</v>
      </c>
      <c r="L354" s="51">
        <v>0.13366894960281647</v>
      </c>
      <c r="M354" s="50">
        <v>53904</v>
      </c>
      <c r="N354" s="51">
        <v>5.7768409227354225E-2</v>
      </c>
      <c r="O354" s="50">
        <v>53904</v>
      </c>
      <c r="P354" s="51">
        <v>7.6918112036021266E-2</v>
      </c>
      <c r="Q354" s="50">
        <v>53904</v>
      </c>
      <c r="R354" s="51">
        <v>0.8122568749436293</v>
      </c>
      <c r="S354" s="50">
        <v>53904</v>
      </c>
      <c r="T354" s="51">
        <v>0.89213015340109458</v>
      </c>
      <c r="U354" s="50">
        <v>53904</v>
      </c>
      <c r="V354" s="51">
        <v>0.65000849108848857</v>
      </c>
      <c r="W354" s="50">
        <v>53904</v>
      </c>
      <c r="X354" s="51">
        <v>0.60950297305277068</v>
      </c>
      <c r="Y354" s="50">
        <v>53904</v>
      </c>
      <c r="Z354" s="51">
        <v>0.79947054834954678</v>
      </c>
      <c r="AA354" s="50">
        <v>53904</v>
      </c>
      <c r="AB354" s="51">
        <v>0.83013849881568991</v>
      </c>
      <c r="AC354" s="50">
        <v>53904</v>
      </c>
      <c r="AD354" s="51">
        <v>0.46939879219438208</v>
      </c>
      <c r="AE354" s="50">
        <v>53904</v>
      </c>
      <c r="AF354" s="51">
        <v>0.4887905668894082</v>
      </c>
    </row>
    <row r="355" spans="1:32" x14ac:dyDescent="0.25">
      <c r="A355" s="50">
        <v>53935</v>
      </c>
      <c r="B355" s="51">
        <v>0.44650184136067655</v>
      </c>
      <c r="C355" s="50">
        <v>53935</v>
      </c>
      <c r="D355" s="51">
        <v>0.44651095495008758</v>
      </c>
      <c r="E355" s="50">
        <v>53935</v>
      </c>
      <c r="F355" s="51">
        <v>0.67968916798066725</v>
      </c>
      <c r="G355" s="50">
        <v>53935</v>
      </c>
      <c r="H355" s="51">
        <v>0.6689623946982739</v>
      </c>
      <c r="I355" s="50">
        <v>53935</v>
      </c>
      <c r="J355" s="51">
        <v>0.13290619427485037</v>
      </c>
      <c r="K355" s="50">
        <v>53935</v>
      </c>
      <c r="L355" s="51">
        <v>0.13290823868842058</v>
      </c>
      <c r="M355" s="50">
        <v>53935</v>
      </c>
      <c r="N355" s="51">
        <v>5.721425919794413E-2</v>
      </c>
      <c r="O355" s="50">
        <v>53935</v>
      </c>
      <c r="P355" s="51">
        <v>7.625825501774243E-2</v>
      </c>
      <c r="Q355" s="50">
        <v>53935</v>
      </c>
      <c r="R355" s="51">
        <v>0.81147045935017215</v>
      </c>
      <c r="S355" s="50">
        <v>53935</v>
      </c>
      <c r="T355" s="51">
        <v>0.8913247978473896</v>
      </c>
      <c r="U355" s="50">
        <v>53935</v>
      </c>
      <c r="V355" s="51">
        <v>0.64920254997223226</v>
      </c>
      <c r="W355" s="50">
        <v>53935</v>
      </c>
      <c r="X355" s="51">
        <v>0.60854117602237034</v>
      </c>
      <c r="Y355" s="50">
        <v>53935</v>
      </c>
      <c r="Z355" s="51">
        <v>0.7989861384802337</v>
      </c>
      <c r="AA355" s="50">
        <v>53935</v>
      </c>
      <c r="AB355" s="51">
        <v>0.829626240588619</v>
      </c>
      <c r="AC355" s="50">
        <v>53935</v>
      </c>
      <c r="AD355" s="51">
        <v>0.46834938234473439</v>
      </c>
      <c r="AE355" s="50">
        <v>53935</v>
      </c>
      <c r="AF355" s="51">
        <v>0.48774921881457223</v>
      </c>
    </row>
    <row r="356" spans="1:32" x14ac:dyDescent="0.25">
      <c r="A356" s="50">
        <v>53965</v>
      </c>
      <c r="B356" s="51">
        <v>0.44548601319274794</v>
      </c>
      <c r="C356" s="50">
        <v>53965</v>
      </c>
      <c r="D356" s="51">
        <v>0.44549510607158671</v>
      </c>
      <c r="E356" s="50">
        <v>53965</v>
      </c>
      <c r="F356" s="51">
        <v>0.6789227380925521</v>
      </c>
      <c r="G356" s="50">
        <v>53965</v>
      </c>
      <c r="H356" s="51">
        <v>0.66805836136157848</v>
      </c>
      <c r="I356" s="50">
        <v>53965</v>
      </c>
      <c r="J356" s="51">
        <v>0.13217003374611017</v>
      </c>
      <c r="K356" s="50">
        <v>53965</v>
      </c>
      <c r="L356" s="51">
        <v>0.13217206683577942</v>
      </c>
      <c r="M356" s="50">
        <v>53965</v>
      </c>
      <c r="N356" s="51">
        <v>5.6677984975934362E-2</v>
      </c>
      <c r="O356" s="50">
        <v>53965</v>
      </c>
      <c r="P356" s="51">
        <v>7.5619683709730656E-2</v>
      </c>
      <c r="Q356" s="50">
        <v>53965</v>
      </c>
      <c r="R356" s="51">
        <v>0.81070941200166524</v>
      </c>
      <c r="S356" s="50">
        <v>53965</v>
      </c>
      <c r="T356" s="51">
        <v>0.89054542150509453</v>
      </c>
      <c r="U356" s="50">
        <v>53965</v>
      </c>
      <c r="V356" s="51">
        <v>0.64842260695650022</v>
      </c>
      <c r="W356" s="50">
        <v>53965</v>
      </c>
      <c r="X356" s="51">
        <v>0.60761040470262817</v>
      </c>
      <c r="Y356" s="50">
        <v>53965</v>
      </c>
      <c r="Z356" s="51">
        <v>0.79851735473573704</v>
      </c>
      <c r="AA356" s="50">
        <v>53965</v>
      </c>
      <c r="AB356" s="51">
        <v>0.82913050682048584</v>
      </c>
      <c r="AC356" s="50">
        <v>53965</v>
      </c>
      <c r="AD356" s="51">
        <v>0.46733382442572047</v>
      </c>
      <c r="AE356" s="50">
        <v>53965</v>
      </c>
      <c r="AF356" s="51">
        <v>0.48674146261311801</v>
      </c>
    </row>
    <row r="357" spans="1:32" x14ac:dyDescent="0.25">
      <c r="A357" s="50">
        <v>53996</v>
      </c>
      <c r="B357" s="51">
        <v>0.4444363240858884</v>
      </c>
      <c r="C357" s="50">
        <v>53996</v>
      </c>
      <c r="D357" s="51">
        <v>0.44444539556380247</v>
      </c>
      <c r="E357" s="50">
        <v>53996</v>
      </c>
      <c r="F357" s="51">
        <v>0.67813076054149968</v>
      </c>
      <c r="G357" s="50">
        <v>53996</v>
      </c>
      <c r="H357" s="51">
        <v>0.66712419358032649</v>
      </c>
      <c r="I357" s="50">
        <v>53996</v>
      </c>
      <c r="J357" s="51">
        <v>0.13142943637684848</v>
      </c>
      <c r="K357" s="50">
        <v>53996</v>
      </c>
      <c r="L357" s="51">
        <v>0.13143145807436771</v>
      </c>
      <c r="M357" s="50">
        <v>53996</v>
      </c>
      <c r="N357" s="51">
        <v>5.6123834946524273E-2</v>
      </c>
      <c r="O357" s="50">
        <v>53996</v>
      </c>
      <c r="P357" s="51">
        <v>7.4959826691451806E-2</v>
      </c>
      <c r="Q357" s="50">
        <v>53996</v>
      </c>
      <c r="R357" s="51">
        <v>0.8099229964082082</v>
      </c>
      <c r="S357" s="50">
        <v>53996</v>
      </c>
      <c r="T357" s="51">
        <v>0.88974006595138966</v>
      </c>
      <c r="U357" s="50">
        <v>53996</v>
      </c>
      <c r="V357" s="51">
        <v>0.6476166658402438</v>
      </c>
      <c r="W357" s="50">
        <v>53996</v>
      </c>
      <c r="X357" s="51">
        <v>0.60664860767222795</v>
      </c>
      <c r="Y357" s="50">
        <v>53996</v>
      </c>
      <c r="Z357" s="51">
        <v>0.79803294486642395</v>
      </c>
      <c r="AA357" s="50">
        <v>53996</v>
      </c>
      <c r="AB357" s="51">
        <v>0.82861824859341482</v>
      </c>
      <c r="AC357" s="50">
        <v>53996</v>
      </c>
      <c r="AD357" s="51">
        <v>0.46628441457607278</v>
      </c>
      <c r="AE357" s="50">
        <v>53996</v>
      </c>
      <c r="AF357" s="51">
        <v>0.48570011453828199</v>
      </c>
    </row>
    <row r="358" spans="1:32" x14ac:dyDescent="0.25">
      <c r="A358" s="50">
        <v>54026</v>
      </c>
      <c r="B358" s="51">
        <v>0.44342049591795979</v>
      </c>
      <c r="C358" s="50">
        <v>54026</v>
      </c>
      <c r="D358" s="51">
        <v>0.44342954668530155</v>
      </c>
      <c r="E358" s="50">
        <v>54026</v>
      </c>
      <c r="F358" s="51">
        <v>0.67736433065338453</v>
      </c>
      <c r="G358" s="50">
        <v>54026</v>
      </c>
      <c r="H358" s="51">
        <v>0.66622016024363107</v>
      </c>
      <c r="I358" s="50">
        <v>54026</v>
      </c>
      <c r="J358" s="51">
        <v>0.13071337769187813</v>
      </c>
      <c r="K358" s="50">
        <v>54026</v>
      </c>
      <c r="L358" s="51">
        <v>0.13071538837471067</v>
      </c>
      <c r="M358" s="50">
        <v>54026</v>
      </c>
      <c r="N358" s="51">
        <v>5.5587560724514505E-2</v>
      </c>
      <c r="O358" s="50">
        <v>54026</v>
      </c>
      <c r="P358" s="51">
        <v>7.4321255383440032E-2</v>
      </c>
      <c r="Q358" s="50">
        <v>54026</v>
      </c>
      <c r="R358" s="51">
        <v>0.80916194905970129</v>
      </c>
      <c r="S358" s="50">
        <v>54026</v>
      </c>
      <c r="T358" s="51">
        <v>0.88896068960909458</v>
      </c>
      <c r="U358" s="50">
        <v>54026</v>
      </c>
      <c r="V358" s="51">
        <v>0.64683672282451188</v>
      </c>
      <c r="W358" s="50">
        <v>54026</v>
      </c>
      <c r="X358" s="51">
        <v>0.60571783635248577</v>
      </c>
      <c r="Y358" s="50">
        <v>54026</v>
      </c>
      <c r="Z358" s="51">
        <v>0.79756416112192741</v>
      </c>
      <c r="AA358" s="50">
        <v>54026</v>
      </c>
      <c r="AB358" s="51">
        <v>0.82812251482528165</v>
      </c>
      <c r="AC358" s="50">
        <v>54026</v>
      </c>
      <c r="AD358" s="51">
        <v>0.46526885665705892</v>
      </c>
      <c r="AE358" s="50">
        <v>54026</v>
      </c>
      <c r="AF358" s="51">
        <v>0.48469235833682783</v>
      </c>
    </row>
    <row r="359" spans="1:32" x14ac:dyDescent="0.25">
      <c r="A359" s="50">
        <v>54057</v>
      </c>
      <c r="B359" s="51">
        <v>0.44237080681110019</v>
      </c>
      <c r="C359" s="50">
        <v>54057</v>
      </c>
      <c r="D359" s="51">
        <v>0.4423798361775173</v>
      </c>
      <c r="E359" s="50">
        <v>54057</v>
      </c>
      <c r="F359" s="51">
        <v>0.67657235310233221</v>
      </c>
      <c r="G359" s="50">
        <v>54057</v>
      </c>
      <c r="H359" s="51">
        <v>0.66528599246237907</v>
      </c>
      <c r="I359" s="50">
        <v>54057</v>
      </c>
      <c r="J359" s="51">
        <v>0.12997345038407546</v>
      </c>
      <c r="K359" s="50">
        <v>54057</v>
      </c>
      <c r="L359" s="51">
        <v>0.12997544968506508</v>
      </c>
      <c r="M359" s="50">
        <v>54057</v>
      </c>
      <c r="N359" s="51">
        <v>5.5033410695104409E-2</v>
      </c>
      <c r="O359" s="50">
        <v>54057</v>
      </c>
      <c r="P359" s="51">
        <v>7.3661398365161196E-2</v>
      </c>
      <c r="Q359" s="50">
        <v>54057</v>
      </c>
      <c r="R359" s="51">
        <v>0.80837553346624413</v>
      </c>
      <c r="S359" s="50">
        <v>54057</v>
      </c>
      <c r="T359" s="51">
        <v>0.8881553340553896</v>
      </c>
      <c r="U359" s="50">
        <v>54057</v>
      </c>
      <c r="V359" s="51">
        <v>0.64603078170825545</v>
      </c>
      <c r="W359" s="50">
        <v>54057</v>
      </c>
      <c r="X359" s="51">
        <v>0.60475603932208544</v>
      </c>
      <c r="Y359" s="50">
        <v>54057</v>
      </c>
      <c r="Z359" s="51">
        <v>0.79707975125261421</v>
      </c>
      <c r="AA359" s="50">
        <v>54057</v>
      </c>
      <c r="AB359" s="51">
        <v>0.82761025659821064</v>
      </c>
      <c r="AC359" s="50">
        <v>54057</v>
      </c>
      <c r="AD359" s="51">
        <v>0.46421944680741123</v>
      </c>
      <c r="AE359" s="50">
        <v>54057</v>
      </c>
      <c r="AF359" s="51">
        <v>0.48365101026199181</v>
      </c>
    </row>
    <row r="360" spans="1:32" x14ac:dyDescent="0.25">
      <c r="A360" s="50">
        <v>54088</v>
      </c>
      <c r="B360" s="51">
        <v>0.44132420307155718</v>
      </c>
      <c r="C360" s="50">
        <v>54088</v>
      </c>
      <c r="D360" s="51">
        <v>0.44133321109969548</v>
      </c>
      <c r="E360" s="50">
        <v>54088</v>
      </c>
      <c r="F360" s="51">
        <v>0.67579030406504337</v>
      </c>
      <c r="G360" s="50">
        <v>54088</v>
      </c>
      <c r="H360" s="51">
        <v>0.66435698846195845</v>
      </c>
      <c r="I360" s="50">
        <v>54088</v>
      </c>
      <c r="J360" s="51">
        <v>0.12923768408487468</v>
      </c>
      <c r="K360" s="50">
        <v>54088</v>
      </c>
      <c r="L360" s="51">
        <v>0.12923967206802753</v>
      </c>
      <c r="M360" s="50">
        <v>54088</v>
      </c>
      <c r="N360" s="51">
        <v>5.4479260665694321E-2</v>
      </c>
      <c r="O360" s="50">
        <v>54088</v>
      </c>
      <c r="P360" s="51">
        <v>7.3001541346882359E-2</v>
      </c>
      <c r="Q360" s="50">
        <v>54088</v>
      </c>
      <c r="R360" s="51">
        <v>0.80757264072967305</v>
      </c>
      <c r="S360" s="50">
        <v>54088</v>
      </c>
      <c r="T360" s="51">
        <v>0.88732965333903147</v>
      </c>
      <c r="U360" s="50">
        <v>54088</v>
      </c>
      <c r="V360" s="51">
        <v>0.64521364130016057</v>
      </c>
      <c r="W360" s="50">
        <v>54088</v>
      </c>
      <c r="X360" s="51">
        <v>0.60378150632727012</v>
      </c>
      <c r="Y360" s="50">
        <v>54088</v>
      </c>
      <c r="Z360" s="51">
        <v>0.79660219434282975</v>
      </c>
      <c r="AA360" s="50">
        <v>54088</v>
      </c>
      <c r="AB360" s="51">
        <v>0.82709825060651732</v>
      </c>
      <c r="AC360" s="50">
        <v>54088</v>
      </c>
      <c r="AD360" s="51">
        <v>0.46316115567830046</v>
      </c>
      <c r="AE360" s="50">
        <v>54088</v>
      </c>
      <c r="AF360" s="51">
        <v>0.48260019417166239</v>
      </c>
    </row>
    <row r="361" spans="1:32" x14ac:dyDescent="0.25">
      <c r="A361" s="50">
        <v>54117</v>
      </c>
      <c r="B361" s="51">
        <v>0.44034521836429885</v>
      </c>
      <c r="C361" s="50">
        <v>54117</v>
      </c>
      <c r="D361" s="51">
        <v>0.44035420643277501</v>
      </c>
      <c r="E361" s="50">
        <v>54117</v>
      </c>
      <c r="F361" s="51">
        <v>0.67505901940317015</v>
      </c>
      <c r="G361" s="50">
        <v>54117</v>
      </c>
      <c r="H361" s="51">
        <v>0.66348808122462311</v>
      </c>
      <c r="I361" s="50">
        <v>54117</v>
      </c>
      <c r="J361" s="51">
        <v>0.12854951633105186</v>
      </c>
      <c r="K361" s="50">
        <v>54117</v>
      </c>
      <c r="L361" s="51">
        <v>0.12855149372854685</v>
      </c>
      <c r="M361" s="50">
        <v>54117</v>
      </c>
      <c r="N361" s="51">
        <v>5.396086225108488E-2</v>
      </c>
      <c r="O361" s="50">
        <v>54117</v>
      </c>
      <c r="P361" s="51">
        <v>7.2384255749137635E-2</v>
      </c>
      <c r="Q361" s="50">
        <v>54117</v>
      </c>
      <c r="R361" s="51">
        <v>0.80682103372110636</v>
      </c>
      <c r="S361" s="50">
        <v>54117</v>
      </c>
      <c r="T361" s="51">
        <v>0.88655660855091467</v>
      </c>
      <c r="U361" s="50">
        <v>54117</v>
      </c>
      <c r="V361" s="51">
        <v>0.64444887040284238</v>
      </c>
      <c r="W361" s="50">
        <v>54117</v>
      </c>
      <c r="X361" s="51">
        <v>0.60286944928591812</v>
      </c>
      <c r="Y361" s="50">
        <v>54117</v>
      </c>
      <c r="Z361" s="51">
        <v>0.79615566125069404</v>
      </c>
      <c r="AA361" s="50">
        <v>54117</v>
      </c>
      <c r="AB361" s="51">
        <v>0.8266192851248535</v>
      </c>
      <c r="AC361" s="50">
        <v>54117</v>
      </c>
      <c r="AD361" s="51">
        <v>0.46217086445310612</v>
      </c>
      <c r="AE361" s="50">
        <v>54117</v>
      </c>
      <c r="AF361" s="51">
        <v>0.48161687742861303</v>
      </c>
    </row>
    <row r="362" spans="1:32" x14ac:dyDescent="0.25">
      <c r="A362" s="50">
        <v>54148</v>
      </c>
      <c r="B362" s="51">
        <v>0.43929871747033306</v>
      </c>
      <c r="C362" s="50">
        <v>54148</v>
      </c>
      <c r="D362" s="51">
        <v>0.43930768420261862</v>
      </c>
      <c r="E362" s="50">
        <v>54148</v>
      </c>
      <c r="F362" s="51">
        <v>0.67427730131634012</v>
      </c>
      <c r="G362" s="50">
        <v>54148</v>
      </c>
      <c r="H362" s="51">
        <v>0.66255924935023025</v>
      </c>
      <c r="I362" s="50">
        <v>54148</v>
      </c>
      <c r="J362" s="51">
        <v>0.12781388873213784</v>
      </c>
      <c r="K362" s="50">
        <v>54148</v>
      </c>
      <c r="L362" s="51">
        <v>0.1278158548139296</v>
      </c>
      <c r="M362" s="50">
        <v>54148</v>
      </c>
      <c r="N362" s="51">
        <v>5.3406712221674785E-2</v>
      </c>
      <c r="O362" s="50">
        <v>54148</v>
      </c>
      <c r="P362" s="51">
        <v>7.1724398730858785E-2</v>
      </c>
      <c r="Q362" s="50">
        <v>54148</v>
      </c>
      <c r="R362" s="51">
        <v>0.80601759174643151</v>
      </c>
      <c r="S362" s="50">
        <v>54148</v>
      </c>
      <c r="T362" s="51">
        <v>0.88573025032913466</v>
      </c>
      <c r="U362" s="50">
        <v>54148</v>
      </c>
      <c r="V362" s="51">
        <v>0.64363135668501947</v>
      </c>
      <c r="W362" s="50">
        <v>54148</v>
      </c>
      <c r="X362" s="51">
        <v>0.60189449175895571</v>
      </c>
      <c r="Y362" s="50">
        <v>54148</v>
      </c>
      <c r="Z362" s="51">
        <v>0.79567833277289379</v>
      </c>
      <c r="AA362" s="50">
        <v>54148</v>
      </c>
      <c r="AB362" s="51">
        <v>0.82610728754100604</v>
      </c>
      <c r="AC362" s="50">
        <v>54148</v>
      </c>
      <c r="AD362" s="51">
        <v>0.46111227728134663</v>
      </c>
      <c r="AE362" s="50">
        <v>54148</v>
      </c>
      <c r="AF362" s="51">
        <v>0.48056574573776717</v>
      </c>
    </row>
    <row r="363" spans="1:32" x14ac:dyDescent="0.25">
      <c r="A363" s="50">
        <v>54178</v>
      </c>
      <c r="B363" s="51">
        <v>0.43828597466972102</v>
      </c>
      <c r="C363" s="50">
        <v>54178</v>
      </c>
      <c r="D363" s="51">
        <v>0.43829492075408016</v>
      </c>
      <c r="E363" s="50">
        <v>54178</v>
      </c>
      <c r="F363" s="51">
        <v>0.67352079994198844</v>
      </c>
      <c r="G363" s="50">
        <v>54178</v>
      </c>
      <c r="H363" s="51">
        <v>0.66166037979436609</v>
      </c>
      <c r="I363" s="50">
        <v>54178</v>
      </c>
      <c r="J363" s="51">
        <v>0.12710611490285811</v>
      </c>
      <c r="K363" s="50">
        <v>54178</v>
      </c>
      <c r="L363" s="51">
        <v>0.12710807009740396</v>
      </c>
      <c r="M363" s="50">
        <v>54178</v>
      </c>
      <c r="N363" s="51">
        <v>5.2870437999665017E-2</v>
      </c>
      <c r="O363" s="50">
        <v>54178</v>
      </c>
      <c r="P363" s="51">
        <v>7.1085827422847012E-2</v>
      </c>
      <c r="Q363" s="50">
        <v>54178</v>
      </c>
      <c r="R363" s="51">
        <v>0.80524006725481068</v>
      </c>
      <c r="S363" s="50">
        <v>54178</v>
      </c>
      <c r="T363" s="51">
        <v>0.8849305488241862</v>
      </c>
      <c r="U363" s="50">
        <v>54178</v>
      </c>
      <c r="V363" s="51">
        <v>0.64284021437744898</v>
      </c>
      <c r="W363" s="50">
        <v>54178</v>
      </c>
      <c r="X363" s="51">
        <v>0.60095098447479844</v>
      </c>
      <c r="Y363" s="50">
        <v>54178</v>
      </c>
      <c r="Z363" s="51">
        <v>0.79521640198792587</v>
      </c>
      <c r="AA363" s="50">
        <v>54178</v>
      </c>
      <c r="AB363" s="51">
        <v>0.82561180600825035</v>
      </c>
      <c r="AC363" s="50">
        <v>54178</v>
      </c>
      <c r="AD363" s="51">
        <v>0.46008783808286974</v>
      </c>
      <c r="AE363" s="50">
        <v>54178</v>
      </c>
      <c r="AF363" s="51">
        <v>0.47954852152081962</v>
      </c>
    </row>
    <row r="364" spans="1:32" x14ac:dyDescent="0.25">
      <c r="A364" s="50">
        <v>54209</v>
      </c>
      <c r="B364" s="51">
        <v>0.43723947377575523</v>
      </c>
      <c r="C364" s="50">
        <v>54209</v>
      </c>
      <c r="D364" s="51">
        <v>0.43724839852392378</v>
      </c>
      <c r="E364" s="50">
        <v>54209</v>
      </c>
      <c r="F364" s="51">
        <v>0.67273908185515841</v>
      </c>
      <c r="G364" s="50">
        <v>54209</v>
      </c>
      <c r="H364" s="51">
        <v>0.66073154791997313</v>
      </c>
      <c r="I364" s="50">
        <v>54209</v>
      </c>
      <c r="J364" s="51">
        <v>0.1263748955542803</v>
      </c>
      <c r="K364" s="50">
        <v>54209</v>
      </c>
      <c r="L364" s="51">
        <v>0.12637683950093234</v>
      </c>
      <c r="M364" s="50">
        <v>54209</v>
      </c>
      <c r="N364" s="51">
        <v>5.2316287970254928E-2</v>
      </c>
      <c r="O364" s="50">
        <v>54209</v>
      </c>
      <c r="P364" s="51">
        <v>7.0425970404568175E-2</v>
      </c>
      <c r="Q364" s="50">
        <v>54209</v>
      </c>
      <c r="R364" s="51">
        <v>0.80443662528013593</v>
      </c>
      <c r="S364" s="50">
        <v>54209</v>
      </c>
      <c r="T364" s="51">
        <v>0.88410419060240619</v>
      </c>
      <c r="U364" s="50">
        <v>54209</v>
      </c>
      <c r="V364" s="51">
        <v>0.64202270065962608</v>
      </c>
      <c r="W364" s="50">
        <v>54209</v>
      </c>
      <c r="X364" s="51">
        <v>0.59997602694783603</v>
      </c>
      <c r="Y364" s="50">
        <v>54209</v>
      </c>
      <c r="Z364" s="51">
        <v>0.79473907351012563</v>
      </c>
      <c r="AA364" s="50">
        <v>54209</v>
      </c>
      <c r="AB364" s="51">
        <v>0.82509980842440289</v>
      </c>
      <c r="AC364" s="50">
        <v>54209</v>
      </c>
      <c r="AD364" s="51">
        <v>0.45902925091111024</v>
      </c>
      <c r="AE364" s="50">
        <v>54209</v>
      </c>
      <c r="AF364" s="51">
        <v>0.47849738982997375</v>
      </c>
    </row>
    <row r="365" spans="1:32" x14ac:dyDescent="0.25">
      <c r="A365" s="50">
        <v>54239</v>
      </c>
      <c r="B365" s="51">
        <v>0.43622673097514314</v>
      </c>
      <c r="C365" s="50">
        <v>54239</v>
      </c>
      <c r="D365" s="51">
        <v>0.43623563507538532</v>
      </c>
      <c r="E365" s="50">
        <v>54239</v>
      </c>
      <c r="F365" s="51">
        <v>0.67198258048080683</v>
      </c>
      <c r="G365" s="50">
        <v>54239</v>
      </c>
      <c r="H365" s="51">
        <v>0.65983267836410897</v>
      </c>
      <c r="I365" s="50">
        <v>54239</v>
      </c>
      <c r="J365" s="51">
        <v>0.12566726392662433</v>
      </c>
      <c r="K365" s="50">
        <v>54239</v>
      </c>
      <c r="L365" s="51">
        <v>0.12566919698821788</v>
      </c>
      <c r="M365" s="50">
        <v>54239</v>
      </c>
      <c r="N365" s="51">
        <v>5.178001374824516E-2</v>
      </c>
      <c r="O365" s="50">
        <v>54239</v>
      </c>
      <c r="P365" s="51">
        <v>6.9787399096556388E-2</v>
      </c>
      <c r="Q365" s="50">
        <v>54239</v>
      </c>
      <c r="R365" s="51">
        <v>0.8036591007885151</v>
      </c>
      <c r="S365" s="50">
        <v>54239</v>
      </c>
      <c r="T365" s="51">
        <v>0.88330448909745785</v>
      </c>
      <c r="U365" s="50">
        <v>54239</v>
      </c>
      <c r="V365" s="51">
        <v>0.64123155835205548</v>
      </c>
      <c r="W365" s="50">
        <v>54239</v>
      </c>
      <c r="X365" s="51">
        <v>0.59903251966367876</v>
      </c>
      <c r="Y365" s="50">
        <v>54239</v>
      </c>
      <c r="Z365" s="51">
        <v>0.7942771427251577</v>
      </c>
      <c r="AA365" s="50">
        <v>54239</v>
      </c>
      <c r="AB365" s="51">
        <v>0.82460432689164731</v>
      </c>
      <c r="AC365" s="50">
        <v>54239</v>
      </c>
      <c r="AD365" s="51">
        <v>0.4580048117126333</v>
      </c>
      <c r="AE365" s="50">
        <v>54239</v>
      </c>
      <c r="AF365" s="51">
        <v>0.47748016561302614</v>
      </c>
    </row>
    <row r="366" spans="1:32" x14ac:dyDescent="0.25">
      <c r="A366" s="50">
        <v>54270</v>
      </c>
      <c r="B366" s="51">
        <v>0.43520512223882257</v>
      </c>
      <c r="C366" s="50">
        <v>54270</v>
      </c>
      <c r="D366" s="51">
        <v>0.43521400551063327</v>
      </c>
      <c r="E366" s="50">
        <v>54270</v>
      </c>
      <c r="F366" s="51">
        <v>0.6712008623939768</v>
      </c>
      <c r="G366" s="50">
        <v>54270</v>
      </c>
      <c r="H366" s="51">
        <v>0.65890384648971612</v>
      </c>
      <c r="I366" s="50">
        <v>54270</v>
      </c>
      <c r="J366" s="51">
        <v>0.12495549307039207</v>
      </c>
      <c r="K366" s="50">
        <v>54270</v>
      </c>
      <c r="L366" s="51">
        <v>0.12495741518325588</v>
      </c>
      <c r="M366" s="50">
        <v>54270</v>
      </c>
      <c r="N366" s="51">
        <v>5.1225863718835071E-2</v>
      </c>
      <c r="O366" s="50">
        <v>54270</v>
      </c>
      <c r="P366" s="51">
        <v>6.9127542078277565E-2</v>
      </c>
      <c r="Q366" s="50">
        <v>54270</v>
      </c>
      <c r="R366" s="51">
        <v>0.80286243819730818</v>
      </c>
      <c r="S366" s="50">
        <v>54270</v>
      </c>
      <c r="T366" s="51">
        <v>0.88247215046335803</v>
      </c>
      <c r="U366" s="50">
        <v>54270</v>
      </c>
      <c r="V366" s="51">
        <v>0.64044155838380423</v>
      </c>
      <c r="W366" s="50">
        <v>54270</v>
      </c>
      <c r="X366" s="51">
        <v>0.59808646487570039</v>
      </c>
      <c r="Y366" s="50">
        <v>54270</v>
      </c>
      <c r="Z366" s="51">
        <v>0.79379981424735746</v>
      </c>
      <c r="AA366" s="50">
        <v>54270</v>
      </c>
      <c r="AB366" s="51">
        <v>0.82409232930779974</v>
      </c>
      <c r="AC366" s="50">
        <v>54270</v>
      </c>
      <c r="AD366" s="51">
        <v>0.45698557643682886</v>
      </c>
      <c r="AE366" s="50">
        <v>54270</v>
      </c>
      <c r="AF366" s="51">
        <v>0.47646746613646745</v>
      </c>
    </row>
    <row r="367" spans="1:32" x14ac:dyDescent="0.25">
      <c r="A367" s="50">
        <v>54301</v>
      </c>
      <c r="B367" s="51">
        <v>0.43418434324109012</v>
      </c>
      <c r="C367" s="50">
        <v>54301</v>
      </c>
      <c r="D367" s="51">
        <v>0.43419320570139469</v>
      </c>
      <c r="E367" s="50">
        <v>54301</v>
      </c>
      <c r="F367" s="51">
        <v>0.67041914430714677</v>
      </c>
      <c r="G367" s="50">
        <v>54301</v>
      </c>
      <c r="H367" s="51">
        <v>0.65797501461532315</v>
      </c>
      <c r="I367" s="50">
        <v>54301</v>
      </c>
      <c r="J367" s="51">
        <v>0.12424437049723798</v>
      </c>
      <c r="K367" s="50">
        <v>54301</v>
      </c>
      <c r="L367" s="51">
        <v>0.12424628167134423</v>
      </c>
      <c r="M367" s="50">
        <v>54301</v>
      </c>
      <c r="N367" s="51">
        <v>5.0671713689424983E-2</v>
      </c>
      <c r="O367" s="50">
        <v>54301</v>
      </c>
      <c r="P367" s="51">
        <v>6.8467685059998715E-2</v>
      </c>
      <c r="Q367" s="50">
        <v>54301</v>
      </c>
      <c r="R367" s="51">
        <v>0.80206600158555019</v>
      </c>
      <c r="S367" s="50">
        <v>54301</v>
      </c>
      <c r="T367" s="51">
        <v>0.88163961248218081</v>
      </c>
      <c r="U367" s="50">
        <v>54301</v>
      </c>
      <c r="V367" s="51">
        <v>0.63965247554053872</v>
      </c>
      <c r="W367" s="50">
        <v>54301</v>
      </c>
      <c r="X367" s="51">
        <v>0.59714137351235486</v>
      </c>
      <c r="Y367" s="50">
        <v>54301</v>
      </c>
      <c r="Z367" s="51">
        <v>0.79332248576955722</v>
      </c>
      <c r="AA367" s="50">
        <v>54301</v>
      </c>
      <c r="AB367" s="51">
        <v>0.82358033172395229</v>
      </c>
      <c r="AC367" s="50">
        <v>54301</v>
      </c>
      <c r="AD367" s="51">
        <v>0.45596765289088959</v>
      </c>
      <c r="AE367" s="50">
        <v>54301</v>
      </c>
      <c r="AF367" s="51">
        <v>0.4754560477337183</v>
      </c>
    </row>
    <row r="368" spans="1:32" x14ac:dyDescent="0.25">
      <c r="A368" s="50">
        <v>54331</v>
      </c>
      <c r="B368" s="51">
        <v>0.43319649259812326</v>
      </c>
      <c r="C368" s="50">
        <v>54331</v>
      </c>
      <c r="D368" s="51">
        <v>0.43320533491826058</v>
      </c>
      <c r="E368" s="50">
        <v>54331</v>
      </c>
      <c r="F368" s="51">
        <v>0.66966264293279509</v>
      </c>
      <c r="G368" s="50">
        <v>54331</v>
      </c>
      <c r="H368" s="51">
        <v>0.65707614505945899</v>
      </c>
      <c r="I368" s="50">
        <v>54331</v>
      </c>
      <c r="J368" s="51">
        <v>0.12355618736192758</v>
      </c>
      <c r="K368" s="50">
        <v>54331</v>
      </c>
      <c r="L368" s="51">
        <v>0.12355808795013941</v>
      </c>
      <c r="M368" s="50">
        <v>54331</v>
      </c>
      <c r="N368" s="51">
        <v>5.0135439467415208E-2</v>
      </c>
      <c r="O368" s="50">
        <v>54331</v>
      </c>
      <c r="P368" s="51">
        <v>6.7829113751986941E-2</v>
      </c>
      <c r="Q368" s="50">
        <v>54331</v>
      </c>
      <c r="R368" s="51">
        <v>0.8012952564773973</v>
      </c>
      <c r="S368" s="50">
        <v>54331</v>
      </c>
      <c r="T368" s="51">
        <v>0.88083393056491266</v>
      </c>
      <c r="U368" s="50">
        <v>54331</v>
      </c>
      <c r="V368" s="51">
        <v>0.63888884698253978</v>
      </c>
      <c r="W368" s="50">
        <v>54331</v>
      </c>
      <c r="X368" s="51">
        <v>0.59622676896718174</v>
      </c>
      <c r="Y368" s="50">
        <v>54331</v>
      </c>
      <c r="Z368" s="51">
        <v>0.79286055498458929</v>
      </c>
      <c r="AA368" s="50">
        <v>54331</v>
      </c>
      <c r="AB368" s="51">
        <v>0.8230848501911967</v>
      </c>
      <c r="AC368" s="50">
        <v>54331</v>
      </c>
      <c r="AD368" s="51">
        <v>0.45498256558836775</v>
      </c>
      <c r="AE368" s="50">
        <v>54331</v>
      </c>
      <c r="AF368" s="51">
        <v>0.47447725573105781</v>
      </c>
    </row>
    <row r="369" spans="1:32" x14ac:dyDescent="0.25">
      <c r="A369" s="50">
        <v>54362</v>
      </c>
      <c r="B369" s="51">
        <v>0.43217571360039081</v>
      </c>
      <c r="C369" s="50">
        <v>54362</v>
      </c>
      <c r="D369" s="51">
        <v>0.43218453510902194</v>
      </c>
      <c r="E369" s="50">
        <v>54362</v>
      </c>
      <c r="F369" s="51">
        <v>0.66888092484596506</v>
      </c>
      <c r="G369" s="50">
        <v>54362</v>
      </c>
      <c r="H369" s="51">
        <v>0.65614731318506603</v>
      </c>
      <c r="I369" s="50">
        <v>54362</v>
      </c>
      <c r="J369" s="51">
        <v>0.12287109157962182</v>
      </c>
      <c r="K369" s="50">
        <v>54362</v>
      </c>
      <c r="L369" s="51">
        <v>0.12287298162943007</v>
      </c>
      <c r="M369" s="50">
        <v>54362</v>
      </c>
      <c r="N369" s="51">
        <v>4.9581289438005119E-2</v>
      </c>
      <c r="O369" s="50">
        <v>54362</v>
      </c>
      <c r="P369" s="51">
        <v>6.7169256733708105E-2</v>
      </c>
      <c r="Q369" s="50">
        <v>54362</v>
      </c>
      <c r="R369" s="51">
        <v>0.8004988198656392</v>
      </c>
      <c r="S369" s="50">
        <v>54362</v>
      </c>
      <c r="T369" s="51">
        <v>0.88000139258373555</v>
      </c>
      <c r="U369" s="50">
        <v>54362</v>
      </c>
      <c r="V369" s="51">
        <v>0.63809976413927416</v>
      </c>
      <c r="W369" s="50">
        <v>54362</v>
      </c>
      <c r="X369" s="51">
        <v>0.5952816776038361</v>
      </c>
      <c r="Y369" s="50">
        <v>54362</v>
      </c>
      <c r="Z369" s="51">
        <v>0.79238322650678905</v>
      </c>
      <c r="AA369" s="50">
        <v>54362</v>
      </c>
      <c r="AB369" s="51">
        <v>0.82257285260734914</v>
      </c>
      <c r="AC369" s="50">
        <v>54362</v>
      </c>
      <c r="AD369" s="51">
        <v>0.45396464204242848</v>
      </c>
      <c r="AE369" s="50">
        <v>54362</v>
      </c>
      <c r="AF369" s="51">
        <v>0.47346583732830871</v>
      </c>
    </row>
    <row r="370" spans="1:32" x14ac:dyDescent="0.25">
      <c r="A370" s="50">
        <v>54392</v>
      </c>
      <c r="B370" s="51">
        <v>0.43118786295742395</v>
      </c>
      <c r="C370" s="50">
        <v>54392</v>
      </c>
      <c r="D370" s="51">
        <v>0.43119666432588782</v>
      </c>
      <c r="E370" s="50">
        <v>54392</v>
      </c>
      <c r="F370" s="51">
        <v>0.66812442347161338</v>
      </c>
      <c r="G370" s="50">
        <v>54392</v>
      </c>
      <c r="H370" s="51">
        <v>0.65524844362920198</v>
      </c>
      <c r="I370" s="50">
        <v>54392</v>
      </c>
      <c r="J370" s="51">
        <v>0.12220893523515974</v>
      </c>
      <c r="K370" s="50">
        <v>54392</v>
      </c>
      <c r="L370" s="51">
        <v>0.12221081509942756</v>
      </c>
      <c r="M370" s="50">
        <v>54392</v>
      </c>
      <c r="N370" s="51">
        <v>4.9045015215995351E-2</v>
      </c>
      <c r="O370" s="50">
        <v>54392</v>
      </c>
      <c r="P370" s="51">
        <v>6.6530685425696318E-2</v>
      </c>
      <c r="Q370" s="50">
        <v>54392</v>
      </c>
      <c r="R370" s="51">
        <v>0.79972807475748631</v>
      </c>
      <c r="S370" s="50">
        <v>54392</v>
      </c>
      <c r="T370" s="51">
        <v>0.87919571066646729</v>
      </c>
      <c r="U370" s="50">
        <v>54392</v>
      </c>
      <c r="V370" s="51">
        <v>0.63733613558127522</v>
      </c>
      <c r="W370" s="50">
        <v>54392</v>
      </c>
      <c r="X370" s="51">
        <v>0.59436707305866299</v>
      </c>
      <c r="Y370" s="50">
        <v>54392</v>
      </c>
      <c r="Z370" s="51">
        <v>0.79192129572182102</v>
      </c>
      <c r="AA370" s="50">
        <v>54392</v>
      </c>
      <c r="AB370" s="51">
        <v>0.82207737107459355</v>
      </c>
      <c r="AC370" s="50">
        <v>54392</v>
      </c>
      <c r="AD370" s="51">
        <v>0.45297955473990659</v>
      </c>
      <c r="AE370" s="50">
        <v>54392</v>
      </c>
      <c r="AF370" s="51">
        <v>0.47248704532564823</v>
      </c>
    </row>
    <row r="371" spans="1:32" x14ac:dyDescent="0.25">
      <c r="A371" s="50">
        <v>54423</v>
      </c>
      <c r="B371" s="51">
        <v>0.4301670839596915</v>
      </c>
      <c r="C371" s="50">
        <v>54423</v>
      </c>
      <c r="D371" s="51">
        <v>0.43017586451664924</v>
      </c>
      <c r="E371" s="50">
        <v>54423</v>
      </c>
      <c r="F371" s="51">
        <v>0.66734270538478335</v>
      </c>
      <c r="G371" s="50">
        <v>54423</v>
      </c>
      <c r="H371" s="51">
        <v>0.65431961175480902</v>
      </c>
      <c r="I371" s="50">
        <v>54423</v>
      </c>
      <c r="J371" s="51">
        <v>0.12152470701254893</v>
      </c>
      <c r="K371" s="50">
        <v>54423</v>
      </c>
      <c r="L371" s="51">
        <v>0.1215265763517583</v>
      </c>
      <c r="M371" s="50">
        <v>54423</v>
      </c>
      <c r="N371" s="51">
        <v>4.8490865186585262E-2</v>
      </c>
      <c r="O371" s="50">
        <v>54423</v>
      </c>
      <c r="P371" s="51">
        <v>6.5870828407417481E-2</v>
      </c>
      <c r="Q371" s="50">
        <v>54423</v>
      </c>
      <c r="R371" s="51">
        <v>0.79893163814572832</v>
      </c>
      <c r="S371" s="50">
        <v>54423</v>
      </c>
      <c r="T371" s="51">
        <v>0.87836317268529018</v>
      </c>
      <c r="U371" s="50">
        <v>54423</v>
      </c>
      <c r="V371" s="51">
        <v>0.63654705273800971</v>
      </c>
      <c r="W371" s="50">
        <v>54423</v>
      </c>
      <c r="X371" s="51">
        <v>0.59342198169531746</v>
      </c>
      <c r="Y371" s="50">
        <v>54423</v>
      </c>
      <c r="Z371" s="51">
        <v>0.79144396724402089</v>
      </c>
      <c r="AA371" s="50">
        <v>54423</v>
      </c>
      <c r="AB371" s="51">
        <v>0.8215653734907461</v>
      </c>
      <c r="AC371" s="50">
        <v>54423</v>
      </c>
      <c r="AD371" s="51">
        <v>0.45196163119396732</v>
      </c>
      <c r="AE371" s="50">
        <v>54423</v>
      </c>
      <c r="AF371" s="51">
        <v>0.47147562692289907</v>
      </c>
    </row>
    <row r="372" spans="1:32" x14ac:dyDescent="0.25">
      <c r="A372" s="50">
        <v>54454</v>
      </c>
      <c r="B372" s="51">
        <v>0.42919804884291834</v>
      </c>
      <c r="C372" s="50">
        <v>54454</v>
      </c>
      <c r="D372" s="51">
        <v>0.42920680772367231</v>
      </c>
      <c r="E372" s="50">
        <v>54454</v>
      </c>
      <c r="F372" s="51">
        <v>0.66661316414812399</v>
      </c>
      <c r="G372" s="50">
        <v>54454</v>
      </c>
      <c r="H372" s="51">
        <v>0.65357569622244849</v>
      </c>
      <c r="I372" s="50">
        <v>54454</v>
      </c>
      <c r="J372" s="51">
        <v>0.12082961622086148</v>
      </c>
      <c r="K372" s="50">
        <v>54454</v>
      </c>
      <c r="L372" s="51">
        <v>0.1208314748679202</v>
      </c>
      <c r="M372" s="50">
        <v>54454</v>
      </c>
      <c r="N372" s="51">
        <v>4.821943722599363E-2</v>
      </c>
      <c r="O372" s="50">
        <v>54454</v>
      </c>
      <c r="P372" s="51">
        <v>6.5526205923179454E-2</v>
      </c>
      <c r="Q372" s="50">
        <v>54454</v>
      </c>
      <c r="R372" s="51">
        <v>0.79826342895689006</v>
      </c>
      <c r="S372" s="50">
        <v>54454</v>
      </c>
      <c r="T372" s="51">
        <v>0.87769393862092993</v>
      </c>
      <c r="U372" s="50">
        <v>54454</v>
      </c>
      <c r="V372" s="51">
        <v>0.63577763697237788</v>
      </c>
      <c r="W372" s="50">
        <v>54454</v>
      </c>
      <c r="X372" s="51">
        <v>0.59249319418344737</v>
      </c>
      <c r="Y372" s="50">
        <v>54454</v>
      </c>
      <c r="Z372" s="51">
        <v>0.79079869057017738</v>
      </c>
      <c r="AA372" s="50">
        <v>54454</v>
      </c>
      <c r="AB372" s="51">
        <v>0.82098061542154865</v>
      </c>
      <c r="AC372" s="50">
        <v>54454</v>
      </c>
      <c r="AD372" s="51">
        <v>0.45097383421082887</v>
      </c>
      <c r="AE372" s="50">
        <v>54454</v>
      </c>
      <c r="AF372" s="51">
        <v>0.47049451098093531</v>
      </c>
    </row>
    <row r="373" spans="1:32" x14ac:dyDescent="0.25">
      <c r="A373" s="50">
        <v>54482</v>
      </c>
      <c r="B373" s="51">
        <v>0.42832434919837786</v>
      </c>
      <c r="C373" s="50">
        <v>54482</v>
      </c>
      <c r="D373" s="51">
        <v>0.42833308847459134</v>
      </c>
      <c r="E373" s="50">
        <v>54482</v>
      </c>
      <c r="F373" s="51">
        <v>0.66595579459222165</v>
      </c>
      <c r="G373" s="50">
        <v>54482</v>
      </c>
      <c r="H373" s="51">
        <v>0.65290933988953881</v>
      </c>
      <c r="I373" s="50">
        <v>54482</v>
      </c>
      <c r="J373" s="51">
        <v>0.12020146523489202</v>
      </c>
      <c r="K373" s="50">
        <v>54482</v>
      </c>
      <c r="L373" s="51">
        <v>0.1202033142194936</v>
      </c>
      <c r="M373" s="50">
        <v>54482</v>
      </c>
      <c r="N373" s="51">
        <v>4.798278854968175E-2</v>
      </c>
      <c r="O373" s="50">
        <v>54482</v>
      </c>
      <c r="P373" s="51">
        <v>6.5224424934139894E-2</v>
      </c>
      <c r="Q373" s="50">
        <v>54482</v>
      </c>
      <c r="R373" s="51">
        <v>0.7976637457840059</v>
      </c>
      <c r="S373" s="50">
        <v>54482</v>
      </c>
      <c r="T373" s="51">
        <v>0.87709438582050869</v>
      </c>
      <c r="U373" s="50">
        <v>54482</v>
      </c>
      <c r="V373" s="51">
        <v>0.6350832729240371</v>
      </c>
      <c r="W373" s="50">
        <v>54482</v>
      </c>
      <c r="X373" s="51">
        <v>0.59165478020266293</v>
      </c>
      <c r="Y373" s="50">
        <v>54482</v>
      </c>
      <c r="Z373" s="51">
        <v>0.79021080352123363</v>
      </c>
      <c r="AA373" s="50">
        <v>54482</v>
      </c>
      <c r="AB373" s="51">
        <v>0.82045025620465017</v>
      </c>
      <c r="AC373" s="50">
        <v>54482</v>
      </c>
      <c r="AD373" s="51">
        <v>0.45008253752042254</v>
      </c>
      <c r="AE373" s="50">
        <v>54482</v>
      </c>
      <c r="AF373" s="51">
        <v>0.46960925407518522</v>
      </c>
    </row>
    <row r="374" spans="1:32" x14ac:dyDescent="0.25">
      <c r="A374" s="50">
        <v>54513</v>
      </c>
      <c r="B374" s="51">
        <v>0.42735703887763665</v>
      </c>
      <c r="C374" s="50">
        <v>54513</v>
      </c>
      <c r="D374" s="51">
        <v>0.42736575644882308</v>
      </c>
      <c r="E374" s="50">
        <v>54513</v>
      </c>
      <c r="F374" s="51">
        <v>0.66522799258390131</v>
      </c>
      <c r="G374" s="50">
        <v>54513</v>
      </c>
      <c r="H374" s="51">
        <v>0.65217158823524601</v>
      </c>
      <c r="I374" s="50">
        <v>54513</v>
      </c>
      <c r="J374" s="51">
        <v>0.11950601235756868</v>
      </c>
      <c r="K374" s="50">
        <v>54513</v>
      </c>
      <c r="L374" s="51">
        <v>0.11950785064444985</v>
      </c>
      <c r="M374" s="50">
        <v>54513</v>
      </c>
      <c r="N374" s="51">
        <v>4.7720784658050741E-2</v>
      </c>
      <c r="O374" s="50">
        <v>54513</v>
      </c>
      <c r="P374" s="51">
        <v>6.4890310267703227E-2</v>
      </c>
      <c r="Q374" s="50">
        <v>54513</v>
      </c>
      <c r="R374" s="51">
        <v>0.7969998108425983</v>
      </c>
      <c r="S374" s="50">
        <v>54513</v>
      </c>
      <c r="T374" s="51">
        <v>0.8764305952200423</v>
      </c>
      <c r="U374" s="50">
        <v>54513</v>
      </c>
      <c r="V374" s="51">
        <v>0.63431451272765982</v>
      </c>
      <c r="W374" s="50">
        <v>54513</v>
      </c>
      <c r="X374" s="51">
        <v>0.5907265361525087</v>
      </c>
      <c r="Y374" s="50">
        <v>54513</v>
      </c>
      <c r="Z374" s="51">
        <v>0.78955992857418877</v>
      </c>
      <c r="AA374" s="50">
        <v>54513</v>
      </c>
      <c r="AB374" s="51">
        <v>0.81986307278594106</v>
      </c>
      <c r="AC374" s="50">
        <v>54513</v>
      </c>
      <c r="AD374" s="51">
        <v>0.44909574475604414</v>
      </c>
      <c r="AE374" s="50">
        <v>54513</v>
      </c>
      <c r="AF374" s="51">
        <v>0.46862914821524759</v>
      </c>
    </row>
    <row r="375" spans="1:32" x14ac:dyDescent="0.25">
      <c r="A375" s="50">
        <v>54543</v>
      </c>
      <c r="B375" s="51">
        <v>0.42642093211562898</v>
      </c>
      <c r="C375" s="50">
        <v>54543</v>
      </c>
      <c r="D375" s="51">
        <v>0.42642962868195061</v>
      </c>
      <c r="E375" s="50">
        <v>54543</v>
      </c>
      <c r="F375" s="51">
        <v>0.6645236680597203</v>
      </c>
      <c r="G375" s="50">
        <v>54543</v>
      </c>
      <c r="H375" s="51">
        <v>0.65145763502141429</v>
      </c>
      <c r="I375" s="50">
        <v>54543</v>
      </c>
      <c r="J375" s="51">
        <v>0.11884399851911757</v>
      </c>
      <c r="K375" s="50">
        <v>54543</v>
      </c>
      <c r="L375" s="51">
        <v>0.11884582662265036</v>
      </c>
      <c r="M375" s="50">
        <v>54543</v>
      </c>
      <c r="N375" s="51">
        <v>4.7467232504859437E-2</v>
      </c>
      <c r="O375" s="50">
        <v>54543</v>
      </c>
      <c r="P375" s="51">
        <v>6.4566973493732263E-2</v>
      </c>
      <c r="Q375" s="50">
        <v>54543</v>
      </c>
      <c r="R375" s="51">
        <v>0.79635729315736514</v>
      </c>
      <c r="S375" s="50">
        <v>54543</v>
      </c>
      <c r="T375" s="51">
        <v>0.87578821721959099</v>
      </c>
      <c r="U375" s="50">
        <v>54543</v>
      </c>
      <c r="V375" s="51">
        <v>0.63357055124729467</v>
      </c>
      <c r="W375" s="50">
        <v>54543</v>
      </c>
      <c r="X375" s="51">
        <v>0.58982823545881102</v>
      </c>
      <c r="Y375" s="50">
        <v>54543</v>
      </c>
      <c r="Z375" s="51">
        <v>0.7889300495931777</v>
      </c>
      <c r="AA375" s="50">
        <v>54543</v>
      </c>
      <c r="AB375" s="51">
        <v>0.8192948307678356</v>
      </c>
      <c r="AC375" s="50">
        <v>54543</v>
      </c>
      <c r="AD375" s="51">
        <v>0.44814078401632307</v>
      </c>
      <c r="AE375" s="50">
        <v>54543</v>
      </c>
      <c r="AF375" s="51">
        <v>0.4676806586733725</v>
      </c>
    </row>
    <row r="376" spans="1:32" x14ac:dyDescent="0.25">
      <c r="A376" s="50">
        <v>54574</v>
      </c>
      <c r="B376" s="51">
        <v>0.42545362179488777</v>
      </c>
      <c r="C376" s="50">
        <v>54574</v>
      </c>
      <c r="D376" s="51">
        <v>0.42546229665618235</v>
      </c>
      <c r="E376" s="50">
        <v>54574</v>
      </c>
      <c r="F376" s="51">
        <v>0.66379586605139984</v>
      </c>
      <c r="G376" s="50">
        <v>54574</v>
      </c>
      <c r="H376" s="51">
        <v>0.6507198833671215</v>
      </c>
      <c r="I376" s="50">
        <v>54574</v>
      </c>
      <c r="J376" s="51">
        <v>0.11816030968757753</v>
      </c>
      <c r="K376" s="50">
        <v>54574</v>
      </c>
      <c r="L376" s="51">
        <v>0.11816212727434898</v>
      </c>
      <c r="M376" s="50">
        <v>54574</v>
      </c>
      <c r="N376" s="51">
        <v>4.7205228613228421E-2</v>
      </c>
      <c r="O376" s="50">
        <v>54574</v>
      </c>
      <c r="P376" s="51">
        <v>6.4232858827295611E-2</v>
      </c>
      <c r="Q376" s="50">
        <v>54574</v>
      </c>
      <c r="R376" s="51">
        <v>0.79569335821595766</v>
      </c>
      <c r="S376" s="50">
        <v>54574</v>
      </c>
      <c r="T376" s="51">
        <v>0.87512442661912471</v>
      </c>
      <c r="U376" s="50">
        <v>54574</v>
      </c>
      <c r="V376" s="51">
        <v>0.63280179105091727</v>
      </c>
      <c r="W376" s="50">
        <v>54574</v>
      </c>
      <c r="X376" s="51">
        <v>0.58889999140865679</v>
      </c>
      <c r="Y376" s="50">
        <v>54574</v>
      </c>
      <c r="Z376" s="51">
        <v>0.78827917464613284</v>
      </c>
      <c r="AA376" s="50">
        <v>54574</v>
      </c>
      <c r="AB376" s="51">
        <v>0.81870764734912649</v>
      </c>
      <c r="AC376" s="50">
        <v>54574</v>
      </c>
      <c r="AD376" s="51">
        <v>0.44715399125194466</v>
      </c>
      <c r="AE376" s="50">
        <v>54574</v>
      </c>
      <c r="AF376" s="51">
        <v>0.46670055281343492</v>
      </c>
    </row>
    <row r="377" spans="1:32" x14ac:dyDescent="0.25">
      <c r="A377" s="50">
        <v>54604</v>
      </c>
      <c r="B377" s="51">
        <v>0.42451751503288015</v>
      </c>
      <c r="C377" s="50">
        <v>54604</v>
      </c>
      <c r="D377" s="51">
        <v>0.42452616888930989</v>
      </c>
      <c r="E377" s="50">
        <v>54604</v>
      </c>
      <c r="F377" s="51">
        <v>0.66309154152721883</v>
      </c>
      <c r="G377" s="50">
        <v>54604</v>
      </c>
      <c r="H377" s="51">
        <v>0.65000593015328978</v>
      </c>
      <c r="I377" s="50">
        <v>54604</v>
      </c>
      <c r="J377" s="51">
        <v>0.11749867533447426</v>
      </c>
      <c r="K377" s="50">
        <v>54604</v>
      </c>
      <c r="L377" s="51">
        <v>0.11750048274373473</v>
      </c>
      <c r="M377" s="50">
        <v>54604</v>
      </c>
      <c r="N377" s="51">
        <v>4.6951676460037124E-2</v>
      </c>
      <c r="O377" s="50">
        <v>54604</v>
      </c>
      <c r="P377" s="51">
        <v>6.3909522053324647E-2</v>
      </c>
      <c r="Q377" s="50">
        <v>54604</v>
      </c>
      <c r="R377" s="51">
        <v>0.7950508405307245</v>
      </c>
      <c r="S377" s="50">
        <v>54604</v>
      </c>
      <c r="T377" s="51">
        <v>0.8744820486186734</v>
      </c>
      <c r="U377" s="50">
        <v>54604</v>
      </c>
      <c r="V377" s="51">
        <v>0.63205782957055212</v>
      </c>
      <c r="W377" s="50">
        <v>54604</v>
      </c>
      <c r="X377" s="51">
        <v>0.58800169071495911</v>
      </c>
      <c r="Y377" s="50">
        <v>54604</v>
      </c>
      <c r="Z377" s="51">
        <v>0.78764929566512165</v>
      </c>
      <c r="AA377" s="50">
        <v>54604</v>
      </c>
      <c r="AB377" s="51">
        <v>0.81813940533102092</v>
      </c>
      <c r="AC377" s="50">
        <v>54604</v>
      </c>
      <c r="AD377" s="51">
        <v>0.44619903051222359</v>
      </c>
      <c r="AE377" s="50">
        <v>54604</v>
      </c>
      <c r="AF377" s="51">
        <v>0.46575206327155977</v>
      </c>
    </row>
    <row r="378" spans="1:32" x14ac:dyDescent="0.25">
      <c r="A378" s="50">
        <v>54635</v>
      </c>
      <c r="B378" s="51">
        <v>0.42358020942699709</v>
      </c>
      <c r="C378" s="50">
        <v>54635</v>
      </c>
      <c r="D378" s="51">
        <v>0.4235888422166999</v>
      </c>
      <c r="E378" s="50">
        <v>54635</v>
      </c>
      <c r="F378" s="51">
        <v>0.66236373951889849</v>
      </c>
      <c r="G378" s="50">
        <v>54635</v>
      </c>
      <c r="H378" s="51">
        <v>0.64926817849899698</v>
      </c>
      <c r="I378" s="50">
        <v>54635</v>
      </c>
      <c r="J378" s="51">
        <v>0.11683317080978106</v>
      </c>
      <c r="K378" s="50">
        <v>54635</v>
      </c>
      <c r="L378" s="51">
        <v>0.11683496798199815</v>
      </c>
      <c r="M378" s="50">
        <v>54635</v>
      </c>
      <c r="N378" s="51">
        <v>4.6689672568406108E-2</v>
      </c>
      <c r="O378" s="50">
        <v>54635</v>
      </c>
      <c r="P378" s="51">
        <v>6.357540738688798E-2</v>
      </c>
      <c r="Q378" s="50">
        <v>54635</v>
      </c>
      <c r="R378" s="51">
        <v>0.79440022892840068</v>
      </c>
      <c r="S378" s="50">
        <v>54635</v>
      </c>
      <c r="T378" s="51">
        <v>0.87381955597944783</v>
      </c>
      <c r="U378" s="50">
        <v>54635</v>
      </c>
      <c r="V378" s="51">
        <v>0.63132122878762864</v>
      </c>
      <c r="W378" s="50">
        <v>54635</v>
      </c>
      <c r="X378" s="51">
        <v>0.58710721148491518</v>
      </c>
      <c r="Y378" s="50">
        <v>54635</v>
      </c>
      <c r="Z378" s="51">
        <v>0.7869984207180768</v>
      </c>
      <c r="AA378" s="50">
        <v>54635</v>
      </c>
      <c r="AB378" s="51">
        <v>0.81755222191231192</v>
      </c>
      <c r="AC378" s="50">
        <v>54635</v>
      </c>
      <c r="AD378" s="51">
        <v>0.44525638032101927</v>
      </c>
      <c r="AE378" s="50">
        <v>54635</v>
      </c>
      <c r="AF378" s="51">
        <v>0.46481528525106935</v>
      </c>
    </row>
    <row r="379" spans="1:32" x14ac:dyDescent="0.25">
      <c r="A379" s="50">
        <v>54666</v>
      </c>
      <c r="B379" s="51">
        <v>0.42264390397827595</v>
      </c>
      <c r="C379" s="50">
        <v>54666</v>
      </c>
      <c r="D379" s="51">
        <v>0.42265251572252854</v>
      </c>
      <c r="E379" s="50">
        <v>54666</v>
      </c>
      <c r="F379" s="51">
        <v>0.66163593751057803</v>
      </c>
      <c r="G379" s="50">
        <v>54666</v>
      </c>
      <c r="H379" s="51">
        <v>0.64853042684470408</v>
      </c>
      <c r="I379" s="50">
        <v>54666</v>
      </c>
      <c r="J379" s="51">
        <v>0.11616827242864942</v>
      </c>
      <c r="K379" s="50">
        <v>54666</v>
      </c>
      <c r="L379" s="51">
        <v>0.11617005937314706</v>
      </c>
      <c r="M379" s="50">
        <v>54666</v>
      </c>
      <c r="N379" s="51">
        <v>4.64276686767751E-2</v>
      </c>
      <c r="O379" s="50">
        <v>54666</v>
      </c>
      <c r="P379" s="51">
        <v>6.3241292720451314E-2</v>
      </c>
      <c r="Q379" s="50">
        <v>54666</v>
      </c>
      <c r="R379" s="51">
        <v>0.79375006143737958</v>
      </c>
      <c r="S379" s="50">
        <v>54666</v>
      </c>
      <c r="T379" s="51">
        <v>0.87315710660559687</v>
      </c>
      <c r="U379" s="50">
        <v>54666</v>
      </c>
      <c r="V379" s="51">
        <v>0.63058569998515357</v>
      </c>
      <c r="W379" s="50">
        <v>54666</v>
      </c>
      <c r="X379" s="51">
        <v>0.58621385774887502</v>
      </c>
      <c r="Y379" s="50">
        <v>54666</v>
      </c>
      <c r="Z379" s="51">
        <v>0.78634754577103194</v>
      </c>
      <c r="AA379" s="50">
        <v>54666</v>
      </c>
      <c r="AB379" s="51">
        <v>0.8169650384936028</v>
      </c>
      <c r="AC379" s="50">
        <v>54666</v>
      </c>
      <c r="AD379" s="51">
        <v>0.44431520154892074</v>
      </c>
      <c r="AE379" s="50">
        <v>54666</v>
      </c>
      <c r="AF379" s="51">
        <v>0.46387995149189382</v>
      </c>
    </row>
    <row r="380" spans="1:32" x14ac:dyDescent="0.25">
      <c r="A380" s="50">
        <v>54696</v>
      </c>
      <c r="B380" s="51">
        <v>0.42173780193112648</v>
      </c>
      <c r="C380" s="50">
        <v>54696</v>
      </c>
      <c r="D380" s="51">
        <v>0.42174639330881436</v>
      </c>
      <c r="E380" s="50">
        <v>54696</v>
      </c>
      <c r="F380" s="51">
        <v>0.66093161298639702</v>
      </c>
      <c r="G380" s="50">
        <v>54696</v>
      </c>
      <c r="H380" s="51">
        <v>0.64781647363087236</v>
      </c>
      <c r="I380" s="50">
        <v>54696</v>
      </c>
      <c r="J380" s="51">
        <v>0.11552482238239301</v>
      </c>
      <c r="K380" s="50">
        <v>54696</v>
      </c>
      <c r="L380" s="51">
        <v>0.11552659942909763</v>
      </c>
      <c r="M380" s="50">
        <v>54696</v>
      </c>
      <c r="N380" s="51">
        <v>4.6174116523583796E-2</v>
      </c>
      <c r="O380" s="50">
        <v>54696</v>
      </c>
      <c r="P380" s="51">
        <v>6.291795594648035E-2</v>
      </c>
      <c r="Q380" s="50">
        <v>54696</v>
      </c>
      <c r="R380" s="51">
        <v>0.7931208670912302</v>
      </c>
      <c r="S380" s="50">
        <v>54696</v>
      </c>
      <c r="T380" s="51">
        <v>0.87251602656638638</v>
      </c>
      <c r="U380" s="50">
        <v>54696</v>
      </c>
      <c r="V380" s="51">
        <v>0.62987389791824222</v>
      </c>
      <c r="W380" s="50">
        <v>54696</v>
      </c>
      <c r="X380" s="51">
        <v>0.58534932187528765</v>
      </c>
      <c r="Y380" s="50">
        <v>54696</v>
      </c>
      <c r="Z380" s="51">
        <v>0.78571766679002075</v>
      </c>
      <c r="AA380" s="50">
        <v>54696</v>
      </c>
      <c r="AB380" s="51">
        <v>0.81639679647549734</v>
      </c>
      <c r="AC380" s="50">
        <v>54696</v>
      </c>
      <c r="AD380" s="51">
        <v>0.44340438338237376</v>
      </c>
      <c r="AE380" s="50">
        <v>54696</v>
      </c>
      <c r="AF380" s="51">
        <v>0.46297478978946588</v>
      </c>
    </row>
    <row r="381" spans="1:32" x14ac:dyDescent="0.25">
      <c r="A381" s="50">
        <v>54727</v>
      </c>
      <c r="B381" s="51">
        <v>0.42080149648240533</v>
      </c>
      <c r="C381" s="50">
        <v>54727</v>
      </c>
      <c r="D381" s="51">
        <v>0.420810066814643</v>
      </c>
      <c r="E381" s="50">
        <v>54727</v>
      </c>
      <c r="F381" s="51">
        <v>0.66020381097807668</v>
      </c>
      <c r="G381" s="50">
        <v>54727</v>
      </c>
      <c r="H381" s="51">
        <v>0.64707872197657956</v>
      </c>
      <c r="I381" s="50">
        <v>54727</v>
      </c>
      <c r="J381" s="51">
        <v>0.11488425900587866</v>
      </c>
      <c r="K381" s="50">
        <v>54727</v>
      </c>
      <c r="L381" s="51">
        <v>0.11488602619919404</v>
      </c>
      <c r="M381" s="50">
        <v>54727</v>
      </c>
      <c r="N381" s="51">
        <v>4.591211263195278E-2</v>
      </c>
      <c r="O381" s="50">
        <v>54727</v>
      </c>
      <c r="P381" s="51">
        <v>6.2583841280043698E-2</v>
      </c>
      <c r="Q381" s="50">
        <v>54727</v>
      </c>
      <c r="R381" s="51">
        <v>0.79247069960020922</v>
      </c>
      <c r="S381" s="50">
        <v>54727</v>
      </c>
      <c r="T381" s="51">
        <v>0.87185357719253553</v>
      </c>
      <c r="U381" s="50">
        <v>54727</v>
      </c>
      <c r="V381" s="51">
        <v>0.62913836911576726</v>
      </c>
      <c r="W381" s="50">
        <v>54727</v>
      </c>
      <c r="X381" s="51">
        <v>0.58445596813924738</v>
      </c>
      <c r="Y381" s="50">
        <v>54727</v>
      </c>
      <c r="Z381" s="51">
        <v>0.7850667918429759</v>
      </c>
      <c r="AA381" s="50">
        <v>54727</v>
      </c>
      <c r="AB381" s="51">
        <v>0.81580961305678823</v>
      </c>
      <c r="AC381" s="50">
        <v>54727</v>
      </c>
      <c r="AD381" s="51">
        <v>0.44246320461027516</v>
      </c>
      <c r="AE381" s="50">
        <v>54727</v>
      </c>
      <c r="AF381" s="51">
        <v>0.4620394560302904</v>
      </c>
    </row>
    <row r="382" spans="1:32" x14ac:dyDescent="0.25">
      <c r="A382" s="50">
        <v>54757</v>
      </c>
      <c r="B382" s="51">
        <v>0.41989539443525586</v>
      </c>
      <c r="C382" s="50">
        <v>54757</v>
      </c>
      <c r="D382" s="51">
        <v>0.41990394440092876</v>
      </c>
      <c r="E382" s="50">
        <v>54757</v>
      </c>
      <c r="F382" s="51">
        <v>0.65949948645389567</v>
      </c>
      <c r="G382" s="50">
        <v>54757</v>
      </c>
      <c r="H382" s="51">
        <v>0.64636476876274784</v>
      </c>
      <c r="I382" s="50">
        <v>54757</v>
      </c>
      <c r="J382" s="51">
        <v>0.11426514396423954</v>
      </c>
      <c r="K382" s="50">
        <v>54757</v>
      </c>
      <c r="L382" s="51">
        <v>0.11426690163409209</v>
      </c>
      <c r="M382" s="50">
        <v>54757</v>
      </c>
      <c r="N382" s="51">
        <v>4.5658560478761483E-2</v>
      </c>
      <c r="O382" s="50">
        <v>54757</v>
      </c>
      <c r="P382" s="51">
        <v>6.2260504506072734E-2</v>
      </c>
      <c r="Q382" s="50">
        <v>54757</v>
      </c>
      <c r="R382" s="51">
        <v>0.79184150525405983</v>
      </c>
      <c r="S382" s="50">
        <v>54757</v>
      </c>
      <c r="T382" s="51">
        <v>0.87121249715332494</v>
      </c>
      <c r="U382" s="50">
        <v>54757</v>
      </c>
      <c r="V382" s="51">
        <v>0.62842656704885591</v>
      </c>
      <c r="W382" s="50">
        <v>54757</v>
      </c>
      <c r="X382" s="51">
        <v>0.58359143226566013</v>
      </c>
      <c r="Y382" s="50">
        <v>54757</v>
      </c>
      <c r="Z382" s="51">
        <v>0.78443691286196471</v>
      </c>
      <c r="AA382" s="50">
        <v>54757</v>
      </c>
      <c r="AB382" s="51">
        <v>0.81524137103868266</v>
      </c>
      <c r="AC382" s="50">
        <v>54757</v>
      </c>
      <c r="AD382" s="51">
        <v>0.44155238644372818</v>
      </c>
      <c r="AE382" s="50">
        <v>54757</v>
      </c>
      <c r="AF382" s="51">
        <v>0.46113429432786246</v>
      </c>
    </row>
    <row r="383" spans="1:32" x14ac:dyDescent="0.25">
      <c r="A383" s="50">
        <v>54788</v>
      </c>
      <c r="B383" s="51">
        <v>0.41895908898653478</v>
      </c>
      <c r="C383" s="50">
        <v>54788</v>
      </c>
      <c r="D383" s="51">
        <v>0.41896761790675741</v>
      </c>
      <c r="E383" s="50">
        <v>54788</v>
      </c>
      <c r="F383" s="51">
        <v>0.65877168444557521</v>
      </c>
      <c r="G383" s="50">
        <v>54788</v>
      </c>
      <c r="H383" s="51">
        <v>0.64562701710845505</v>
      </c>
      <c r="I383" s="50">
        <v>54788</v>
      </c>
      <c r="J383" s="51">
        <v>0.11362539175454578</v>
      </c>
      <c r="K383" s="50">
        <v>54788</v>
      </c>
      <c r="L383" s="51">
        <v>0.11362713958348675</v>
      </c>
      <c r="M383" s="50">
        <v>54788</v>
      </c>
      <c r="N383" s="51">
        <v>4.5396556587130467E-2</v>
      </c>
      <c r="O383" s="50">
        <v>54788</v>
      </c>
      <c r="P383" s="51">
        <v>6.1926389839636067E-2</v>
      </c>
      <c r="Q383" s="50">
        <v>54788</v>
      </c>
      <c r="R383" s="51">
        <v>0.79119133776303874</v>
      </c>
      <c r="S383" s="50">
        <v>54788</v>
      </c>
      <c r="T383" s="51">
        <v>0.87055004777947409</v>
      </c>
      <c r="U383" s="50">
        <v>54788</v>
      </c>
      <c r="V383" s="51">
        <v>0.62769103824638084</v>
      </c>
      <c r="W383" s="50">
        <v>54788</v>
      </c>
      <c r="X383" s="51">
        <v>0.58269807852961986</v>
      </c>
      <c r="Y383" s="50">
        <v>54788</v>
      </c>
      <c r="Z383" s="51">
        <v>0.78378603791491985</v>
      </c>
      <c r="AA383" s="50">
        <v>54788</v>
      </c>
      <c r="AB383" s="51">
        <v>0.81465418761997366</v>
      </c>
      <c r="AC383" s="50">
        <v>54788</v>
      </c>
      <c r="AD383" s="51">
        <v>0.44061120767162965</v>
      </c>
      <c r="AE383" s="50">
        <v>54788</v>
      </c>
      <c r="AF383" s="51">
        <v>0.46019896056868692</v>
      </c>
    </row>
    <row r="384" spans="1:32" x14ac:dyDescent="0.25">
      <c r="A384" s="50">
        <v>54819</v>
      </c>
      <c r="B384" s="51">
        <v>0.41802073890610608</v>
      </c>
      <c r="C384" s="50">
        <v>54819</v>
      </c>
      <c r="D384" s="51">
        <v>0.41802924676587339</v>
      </c>
      <c r="E384" s="50">
        <v>54819</v>
      </c>
      <c r="F384" s="51">
        <v>0.65805343029786234</v>
      </c>
      <c r="G384" s="50">
        <v>54819</v>
      </c>
      <c r="H384" s="51">
        <v>0.64489924286960054</v>
      </c>
      <c r="I384" s="50">
        <v>54819</v>
      </c>
      <c r="J384" s="51">
        <v>0.11297548306147394</v>
      </c>
      <c r="K384" s="50">
        <v>54819</v>
      </c>
      <c r="L384" s="51">
        <v>0.11297722089327254</v>
      </c>
      <c r="M384" s="50">
        <v>54819</v>
      </c>
      <c r="N384" s="51">
        <v>4.5134552695499458E-2</v>
      </c>
      <c r="O384" s="50">
        <v>54819</v>
      </c>
      <c r="P384" s="51">
        <v>6.1592275173199408E-2</v>
      </c>
      <c r="Q384" s="50">
        <v>54819</v>
      </c>
      <c r="R384" s="51">
        <v>0.79052340390233622</v>
      </c>
      <c r="S384" s="50">
        <v>54819</v>
      </c>
      <c r="T384" s="51">
        <v>0.8698690991633965</v>
      </c>
      <c r="U384" s="50">
        <v>54819</v>
      </c>
      <c r="V384" s="51">
        <v>0.62693685026333712</v>
      </c>
      <c r="W384" s="50">
        <v>54819</v>
      </c>
      <c r="X384" s="51">
        <v>0.58178399775723089</v>
      </c>
      <c r="Y384" s="50">
        <v>54819</v>
      </c>
      <c r="Z384" s="51">
        <v>0.78313233717289321</v>
      </c>
      <c r="AA384" s="50">
        <v>54819</v>
      </c>
      <c r="AB384" s="51">
        <v>0.81406268514611768</v>
      </c>
      <c r="AC384" s="50">
        <v>54819</v>
      </c>
      <c r="AD384" s="51">
        <v>0.43965157723529652</v>
      </c>
      <c r="AE384" s="50">
        <v>54819</v>
      </c>
      <c r="AF384" s="51">
        <v>0.45924471991396892</v>
      </c>
    </row>
    <row r="385" spans="1:32" x14ac:dyDescent="0.25">
      <c r="A385" s="50">
        <v>54847</v>
      </c>
      <c r="B385" s="51">
        <v>0.41717313533917288</v>
      </c>
      <c r="C385" s="50">
        <v>54847</v>
      </c>
      <c r="D385" s="51">
        <v>0.41718162417614157</v>
      </c>
      <c r="E385" s="50">
        <v>54847</v>
      </c>
      <c r="F385" s="51">
        <v>0.65740497207852699</v>
      </c>
      <c r="G385" s="50">
        <v>54847</v>
      </c>
      <c r="H385" s="51">
        <v>0.64424219879110001</v>
      </c>
      <c r="I385" s="50">
        <v>54847</v>
      </c>
      <c r="J385" s="51">
        <v>0.1123881629714579</v>
      </c>
      <c r="K385" s="50">
        <v>54847</v>
      </c>
      <c r="L385" s="51">
        <v>0.11238989176887579</v>
      </c>
      <c r="M385" s="50">
        <v>54847</v>
      </c>
      <c r="N385" s="51">
        <v>4.4897904019187578E-2</v>
      </c>
      <c r="O385" s="50">
        <v>54847</v>
      </c>
      <c r="P385" s="51">
        <v>6.1290494184159841E-2</v>
      </c>
      <c r="Q385" s="50">
        <v>54847</v>
      </c>
      <c r="R385" s="51">
        <v>0.78991957390089407</v>
      </c>
      <c r="S385" s="50">
        <v>54847</v>
      </c>
      <c r="T385" s="51">
        <v>0.8692534918340552</v>
      </c>
      <c r="U385" s="50">
        <v>54847</v>
      </c>
      <c r="V385" s="51">
        <v>0.62625508643235583</v>
      </c>
      <c r="W385" s="50">
        <v>54847</v>
      </c>
      <c r="X385" s="51">
        <v>0.58095775237462388</v>
      </c>
      <c r="Y385" s="50">
        <v>54847</v>
      </c>
      <c r="Z385" s="51">
        <v>0.78254181271529977</v>
      </c>
      <c r="AA385" s="50">
        <v>54847</v>
      </c>
      <c r="AB385" s="51">
        <v>0.81352829481108213</v>
      </c>
      <c r="AC385" s="50">
        <v>54847</v>
      </c>
      <c r="AD385" s="51">
        <v>0.43878425872656701</v>
      </c>
      <c r="AE385" s="50">
        <v>54847</v>
      </c>
      <c r="AF385" s="51">
        <v>0.45838225588919657</v>
      </c>
    </row>
    <row r="386" spans="1:32" x14ac:dyDescent="0.25">
      <c r="A386" s="50">
        <v>54878</v>
      </c>
      <c r="B386" s="51">
        <v>0.41623471710435395</v>
      </c>
      <c r="C386" s="50">
        <v>54878</v>
      </c>
      <c r="D386" s="51">
        <v>0.4162431848803671</v>
      </c>
      <c r="E386" s="50">
        <v>54878</v>
      </c>
      <c r="F386" s="51">
        <v>0.65668703619283431</v>
      </c>
      <c r="G386" s="50">
        <v>54878</v>
      </c>
      <c r="H386" s="51">
        <v>0.64351475713276018</v>
      </c>
      <c r="I386" s="50">
        <v>54878</v>
      </c>
      <c r="J386" s="51">
        <v>0.11173791572894014</v>
      </c>
      <c r="K386" s="50">
        <v>54878</v>
      </c>
      <c r="L386" s="51">
        <v>0.11173963452400794</v>
      </c>
      <c r="M386" s="50">
        <v>54878</v>
      </c>
      <c r="N386" s="51">
        <v>4.4635900127556562E-2</v>
      </c>
      <c r="O386" s="50">
        <v>54878</v>
      </c>
      <c r="P386" s="51">
        <v>6.0956379517723182E-2</v>
      </c>
      <c r="Q386" s="50">
        <v>54878</v>
      </c>
      <c r="R386" s="51">
        <v>0.7892510478278687</v>
      </c>
      <c r="S386" s="50">
        <v>54878</v>
      </c>
      <c r="T386" s="51">
        <v>0.86857192657657012</v>
      </c>
      <c r="U386" s="50">
        <v>54878</v>
      </c>
      <c r="V386" s="51">
        <v>0.62550027647662654</v>
      </c>
      <c r="W386" s="50">
        <v>54878</v>
      </c>
      <c r="X386" s="51">
        <v>0.58004298070102323</v>
      </c>
      <c r="Y386" s="50">
        <v>54878</v>
      </c>
      <c r="Z386" s="51">
        <v>0.78188801778010697</v>
      </c>
      <c r="AA386" s="50">
        <v>54878</v>
      </c>
      <c r="AB386" s="51">
        <v>0.81293664836872126</v>
      </c>
      <c r="AC386" s="50">
        <v>54878</v>
      </c>
      <c r="AD386" s="51">
        <v>0.43782401323475939</v>
      </c>
      <c r="AE386" s="50">
        <v>54878</v>
      </c>
      <c r="AF386" s="51">
        <v>0.45742738500462715</v>
      </c>
    </row>
    <row r="387" spans="1:32" x14ac:dyDescent="0.25">
      <c r="A387" s="50">
        <v>54908</v>
      </c>
      <c r="B387" s="51">
        <v>0.41532657042549692</v>
      </c>
      <c r="C387" s="50">
        <v>54908</v>
      </c>
      <c r="D387" s="51">
        <v>0.41533501781994014</v>
      </c>
      <c r="E387" s="50">
        <v>54908</v>
      </c>
      <c r="F387" s="51">
        <v>0.65599225952926066</v>
      </c>
      <c r="G387" s="50">
        <v>54908</v>
      </c>
      <c r="H387" s="51">
        <v>0.64281078133436675</v>
      </c>
      <c r="I387" s="50">
        <v>54908</v>
      </c>
      <c r="J387" s="51">
        <v>0.11111893393017577</v>
      </c>
      <c r="K387" s="50">
        <v>54908</v>
      </c>
      <c r="L387" s="51">
        <v>0.1111206432038304</v>
      </c>
      <c r="M387" s="50">
        <v>54908</v>
      </c>
      <c r="N387" s="51">
        <v>4.4382347974365258E-2</v>
      </c>
      <c r="O387" s="50">
        <v>54908</v>
      </c>
      <c r="P387" s="51">
        <v>6.0633042743752218E-2</v>
      </c>
      <c r="Q387" s="50">
        <v>54908</v>
      </c>
      <c r="R387" s="51">
        <v>0.78860408711203778</v>
      </c>
      <c r="S387" s="50">
        <v>54908</v>
      </c>
      <c r="T387" s="51">
        <v>0.86791234729513289</v>
      </c>
      <c r="U387" s="50">
        <v>54908</v>
      </c>
      <c r="V387" s="51">
        <v>0.62476981522914654</v>
      </c>
      <c r="W387" s="50">
        <v>54908</v>
      </c>
      <c r="X387" s="51">
        <v>0.57915771779108716</v>
      </c>
      <c r="Y387" s="50">
        <v>54908</v>
      </c>
      <c r="Z387" s="51">
        <v>0.78125531300411399</v>
      </c>
      <c r="AA387" s="50">
        <v>54908</v>
      </c>
      <c r="AB387" s="51">
        <v>0.81236408729546883</v>
      </c>
      <c r="AC387" s="50">
        <v>54908</v>
      </c>
      <c r="AD387" s="51">
        <v>0.43689474340397783</v>
      </c>
      <c r="AE387" s="50">
        <v>54908</v>
      </c>
      <c r="AF387" s="51">
        <v>0.45650331640665676</v>
      </c>
    </row>
    <row r="388" spans="1:32" x14ac:dyDescent="0.25">
      <c r="A388" s="50">
        <v>54939</v>
      </c>
      <c r="B388" s="51">
        <v>0.41438815219067804</v>
      </c>
      <c r="C388" s="50">
        <v>54939</v>
      </c>
      <c r="D388" s="51">
        <v>0.41439657852416567</v>
      </c>
      <c r="E388" s="50">
        <v>54939</v>
      </c>
      <c r="F388" s="51">
        <v>0.65527432364356797</v>
      </c>
      <c r="G388" s="50">
        <v>54939</v>
      </c>
      <c r="H388" s="51">
        <v>0.64208333967602693</v>
      </c>
      <c r="I388" s="50">
        <v>54939</v>
      </c>
      <c r="J388" s="51">
        <v>0.11047968605020413</v>
      </c>
      <c r="K388" s="50">
        <v>54939</v>
      </c>
      <c r="L388" s="51">
        <v>0.11048138549070503</v>
      </c>
      <c r="M388" s="50">
        <v>54939</v>
      </c>
      <c r="N388" s="51">
        <v>4.4120344082734249E-2</v>
      </c>
      <c r="O388" s="50">
        <v>54939</v>
      </c>
      <c r="P388" s="51">
        <v>6.0298928077315558E-2</v>
      </c>
      <c r="Q388" s="50">
        <v>54939</v>
      </c>
      <c r="R388" s="51">
        <v>0.78793556103901252</v>
      </c>
      <c r="S388" s="50">
        <v>54939</v>
      </c>
      <c r="T388" s="51">
        <v>0.86723078203764781</v>
      </c>
      <c r="U388" s="50">
        <v>54939</v>
      </c>
      <c r="V388" s="51">
        <v>0.62401500527341724</v>
      </c>
      <c r="W388" s="50">
        <v>54939</v>
      </c>
      <c r="X388" s="51">
        <v>0.5782429461174865</v>
      </c>
      <c r="Y388" s="50">
        <v>54939</v>
      </c>
      <c r="Z388" s="51">
        <v>0.78060151806892131</v>
      </c>
      <c r="AA388" s="50">
        <v>54939</v>
      </c>
      <c r="AB388" s="51">
        <v>0.81177244085310796</v>
      </c>
      <c r="AC388" s="50">
        <v>54939</v>
      </c>
      <c r="AD388" s="51">
        <v>0.43593449791217015</v>
      </c>
      <c r="AE388" s="50">
        <v>54939</v>
      </c>
      <c r="AF388" s="51">
        <v>0.45554844552208734</v>
      </c>
    </row>
    <row r="389" spans="1:32" x14ac:dyDescent="0.25">
      <c r="A389" s="50">
        <v>54969</v>
      </c>
      <c r="B389" s="51">
        <v>0.41348000551182101</v>
      </c>
      <c r="C389" s="50">
        <v>54969</v>
      </c>
      <c r="D389" s="51">
        <v>0.41348841146373877</v>
      </c>
      <c r="E389" s="50">
        <v>54969</v>
      </c>
      <c r="F389" s="51">
        <v>0.65457954697999443</v>
      </c>
      <c r="G389" s="50">
        <v>54969</v>
      </c>
      <c r="H389" s="51">
        <v>0.6413793638776335</v>
      </c>
      <c r="I389" s="50">
        <v>54969</v>
      </c>
      <c r="J389" s="51">
        <v>0.10986105906958642</v>
      </c>
      <c r="K389" s="50">
        <v>54969</v>
      </c>
      <c r="L389" s="51">
        <v>0.10986274899413208</v>
      </c>
      <c r="M389" s="50">
        <v>54969</v>
      </c>
      <c r="N389" s="51">
        <v>4.3866791929542945E-2</v>
      </c>
      <c r="O389" s="50">
        <v>54969</v>
      </c>
      <c r="P389" s="51">
        <v>5.9975591303344594E-2</v>
      </c>
      <c r="Q389" s="50">
        <v>54969</v>
      </c>
      <c r="R389" s="51">
        <v>0.7872886003231816</v>
      </c>
      <c r="S389" s="50">
        <v>54969</v>
      </c>
      <c r="T389" s="51">
        <v>0.86657120275621058</v>
      </c>
      <c r="U389" s="50">
        <v>54969</v>
      </c>
      <c r="V389" s="51">
        <v>0.62328454402593725</v>
      </c>
      <c r="W389" s="50">
        <v>54969</v>
      </c>
      <c r="X389" s="51">
        <v>0.57735768320755043</v>
      </c>
      <c r="Y389" s="50">
        <v>54969</v>
      </c>
      <c r="Z389" s="51">
        <v>0.77996881329292833</v>
      </c>
      <c r="AA389" s="50">
        <v>54969</v>
      </c>
      <c r="AB389" s="51">
        <v>0.81119987977985553</v>
      </c>
      <c r="AC389" s="50">
        <v>54969</v>
      </c>
      <c r="AD389" s="51">
        <v>0.43500522808138858</v>
      </c>
      <c r="AE389" s="50">
        <v>54969</v>
      </c>
      <c r="AF389" s="51">
        <v>0.45462437692411695</v>
      </c>
    </row>
    <row r="390" spans="1:32" x14ac:dyDescent="0.25">
      <c r="A390" s="50">
        <v>55000</v>
      </c>
      <c r="B390" s="51">
        <v>0.41257072988521232</v>
      </c>
      <c r="C390" s="50">
        <v>55000</v>
      </c>
      <c r="D390" s="51">
        <v>0.41257911539521419</v>
      </c>
      <c r="E390" s="50">
        <v>55000</v>
      </c>
      <c r="F390" s="51">
        <v>0.65386161109430174</v>
      </c>
      <c r="G390" s="50">
        <v>55000</v>
      </c>
      <c r="H390" s="51">
        <v>0.64065192221929368</v>
      </c>
      <c r="I390" s="50">
        <v>55000</v>
      </c>
      <c r="J390" s="51">
        <v>0.10923881348519777</v>
      </c>
      <c r="K390" s="50">
        <v>55000</v>
      </c>
      <c r="L390" s="51">
        <v>0.10924049383812545</v>
      </c>
      <c r="M390" s="50">
        <v>55000</v>
      </c>
      <c r="N390" s="51">
        <v>4.3604788037911929E-2</v>
      </c>
      <c r="O390" s="50">
        <v>55000</v>
      </c>
      <c r="P390" s="51">
        <v>5.9641476636907935E-2</v>
      </c>
      <c r="Q390" s="50">
        <v>55000</v>
      </c>
      <c r="R390" s="51">
        <v>0.7866334762614281</v>
      </c>
      <c r="S390" s="50">
        <v>55000</v>
      </c>
      <c r="T390" s="51">
        <v>0.86589134118439071</v>
      </c>
      <c r="U390" s="50">
        <v>55000</v>
      </c>
      <c r="V390" s="51">
        <v>0.62256137502607656</v>
      </c>
      <c r="W390" s="50">
        <v>55000</v>
      </c>
      <c r="X390" s="51">
        <v>0.57647614086579846</v>
      </c>
      <c r="Y390" s="50">
        <v>55000</v>
      </c>
      <c r="Z390" s="51">
        <v>0.77931501835773553</v>
      </c>
      <c r="AA390" s="50">
        <v>55000</v>
      </c>
      <c r="AB390" s="51">
        <v>0.81060823333749477</v>
      </c>
      <c r="AC390" s="50">
        <v>55000</v>
      </c>
      <c r="AD390" s="51">
        <v>0.43408797155989448</v>
      </c>
      <c r="AE390" s="50">
        <v>55000</v>
      </c>
      <c r="AF390" s="51">
        <v>0.45371175247153078</v>
      </c>
    </row>
    <row r="391" spans="1:32" x14ac:dyDescent="0.25">
      <c r="A391" s="50">
        <v>55031</v>
      </c>
      <c r="B391" s="51">
        <v>0.41166242567887734</v>
      </c>
      <c r="C391" s="50">
        <v>55031</v>
      </c>
      <c r="D391" s="51">
        <v>0.41167079076759799</v>
      </c>
      <c r="E391" s="50">
        <v>55031</v>
      </c>
      <c r="F391" s="51">
        <v>0.65314367520860905</v>
      </c>
      <c r="G391" s="50">
        <v>55031</v>
      </c>
      <c r="H391" s="51">
        <v>0.63992448056095386</v>
      </c>
      <c r="I391" s="50">
        <v>55031</v>
      </c>
      <c r="J391" s="51">
        <v>0.10861713464399522</v>
      </c>
      <c r="K391" s="50">
        <v>55031</v>
      </c>
      <c r="L391" s="51">
        <v>0.10861880543402279</v>
      </c>
      <c r="M391" s="50">
        <v>55031</v>
      </c>
      <c r="N391" s="51">
        <v>4.334278414628092E-2</v>
      </c>
      <c r="O391" s="50">
        <v>55031</v>
      </c>
      <c r="P391" s="51">
        <v>5.9307361970471276E-2</v>
      </c>
      <c r="Q391" s="50">
        <v>55031</v>
      </c>
      <c r="R391" s="51">
        <v>0.78597879893338363</v>
      </c>
      <c r="S391" s="50">
        <v>55031</v>
      </c>
      <c r="T391" s="51">
        <v>0.86521153640209292</v>
      </c>
      <c r="U391" s="50">
        <v>55031</v>
      </c>
      <c r="V391" s="51">
        <v>0.62183926072474471</v>
      </c>
      <c r="W391" s="50">
        <v>55031</v>
      </c>
      <c r="X391" s="51">
        <v>0.57559570616844147</v>
      </c>
      <c r="Y391" s="50">
        <v>55031</v>
      </c>
      <c r="Z391" s="51">
        <v>0.77866122342254285</v>
      </c>
      <c r="AA391" s="50">
        <v>55031</v>
      </c>
      <c r="AB391" s="51">
        <v>0.81001658689513389</v>
      </c>
      <c r="AC391" s="50">
        <v>55031</v>
      </c>
      <c r="AD391" s="51">
        <v>0.43317214800407755</v>
      </c>
      <c r="AE391" s="50">
        <v>55031</v>
      </c>
      <c r="AF391" s="51">
        <v>0.45280053623334404</v>
      </c>
    </row>
    <row r="392" spans="1:32" x14ac:dyDescent="0.25">
      <c r="A392" s="50">
        <v>55061</v>
      </c>
      <c r="B392" s="51">
        <v>0.41078342160823056</v>
      </c>
      <c r="C392" s="50">
        <v>55061</v>
      </c>
      <c r="D392" s="51">
        <v>0.41079176693442099</v>
      </c>
      <c r="E392" s="50">
        <v>55061</v>
      </c>
      <c r="F392" s="51">
        <v>0.65244889854503541</v>
      </c>
      <c r="G392" s="50">
        <v>55061</v>
      </c>
      <c r="H392" s="51">
        <v>0.63922050476256043</v>
      </c>
      <c r="I392" s="50">
        <v>55061</v>
      </c>
      <c r="J392" s="51">
        <v>0.10801550995896049</v>
      </c>
      <c r="K392" s="50">
        <v>55061</v>
      </c>
      <c r="L392" s="51">
        <v>0.10801717149456859</v>
      </c>
      <c r="M392" s="50">
        <v>55061</v>
      </c>
      <c r="N392" s="51">
        <v>4.3089231993089616E-2</v>
      </c>
      <c r="O392" s="50">
        <v>55061</v>
      </c>
      <c r="P392" s="51">
        <v>5.8984025196500312E-2</v>
      </c>
      <c r="Q392" s="50">
        <v>55061</v>
      </c>
      <c r="R392" s="51">
        <v>0.78534524022882446</v>
      </c>
      <c r="S392" s="50">
        <v>55061</v>
      </c>
      <c r="T392" s="51">
        <v>0.86455366080632079</v>
      </c>
      <c r="U392" s="50">
        <v>55061</v>
      </c>
      <c r="V392" s="51">
        <v>0.62114044043313332</v>
      </c>
      <c r="W392" s="50">
        <v>55061</v>
      </c>
      <c r="X392" s="51">
        <v>0.57474367259035408</v>
      </c>
      <c r="Y392" s="50">
        <v>55061</v>
      </c>
      <c r="Z392" s="51">
        <v>0.77802851864654987</v>
      </c>
      <c r="AA392" s="50">
        <v>55061</v>
      </c>
      <c r="AB392" s="51">
        <v>0.80944402582188146</v>
      </c>
      <c r="AC392" s="50">
        <v>55061</v>
      </c>
      <c r="AD392" s="51">
        <v>0.4322858671436095</v>
      </c>
      <c r="AE392" s="50">
        <v>55061</v>
      </c>
      <c r="AF392" s="51">
        <v>0.4519187140673569</v>
      </c>
    </row>
    <row r="393" spans="1:32" x14ac:dyDescent="0.25">
      <c r="A393" s="50">
        <v>55092</v>
      </c>
      <c r="B393" s="51">
        <v>0.40987511740189558</v>
      </c>
      <c r="C393" s="50">
        <v>55092</v>
      </c>
      <c r="D393" s="51">
        <v>0.40988344230680479</v>
      </c>
      <c r="E393" s="50">
        <v>55092</v>
      </c>
      <c r="F393" s="51">
        <v>0.65173096265934272</v>
      </c>
      <c r="G393" s="50">
        <v>55092</v>
      </c>
      <c r="H393" s="51">
        <v>0.6384930631042206</v>
      </c>
      <c r="I393" s="50">
        <v>55092</v>
      </c>
      <c r="J393" s="51">
        <v>0.10741658430516281</v>
      </c>
      <c r="K393" s="50">
        <v>55092</v>
      </c>
      <c r="L393" s="51">
        <v>0.10741823662786901</v>
      </c>
      <c r="M393" s="50">
        <v>55092</v>
      </c>
      <c r="N393" s="51">
        <v>4.2827228101458607E-2</v>
      </c>
      <c r="O393" s="50">
        <v>55092</v>
      </c>
      <c r="P393" s="51">
        <v>5.8649910530063645E-2</v>
      </c>
      <c r="Q393" s="50">
        <v>55092</v>
      </c>
      <c r="R393" s="51">
        <v>0.78469056290077999</v>
      </c>
      <c r="S393" s="50">
        <v>55092</v>
      </c>
      <c r="T393" s="51">
        <v>0.863873856024023</v>
      </c>
      <c r="U393" s="50">
        <v>55092</v>
      </c>
      <c r="V393" s="51">
        <v>0.62041832613180148</v>
      </c>
      <c r="W393" s="50">
        <v>55092</v>
      </c>
      <c r="X393" s="51">
        <v>0.5738632378929972</v>
      </c>
      <c r="Y393" s="50">
        <v>55092</v>
      </c>
      <c r="Z393" s="51">
        <v>0.77737472371135707</v>
      </c>
      <c r="AA393" s="50">
        <v>55092</v>
      </c>
      <c r="AB393" s="51">
        <v>0.80885237937952059</v>
      </c>
      <c r="AC393" s="50">
        <v>55092</v>
      </c>
      <c r="AD393" s="51">
        <v>0.43137004358779252</v>
      </c>
      <c r="AE393" s="50">
        <v>55092</v>
      </c>
      <c r="AF393" s="51">
        <v>0.45100749782917016</v>
      </c>
    </row>
    <row r="394" spans="1:32" x14ac:dyDescent="0.25">
      <c r="A394" s="50">
        <v>55122</v>
      </c>
      <c r="B394" s="51">
        <v>0.4089961133312488</v>
      </c>
      <c r="C394" s="50">
        <v>55122</v>
      </c>
      <c r="D394" s="51">
        <v>0.40900441847362778</v>
      </c>
      <c r="E394" s="50">
        <v>55122</v>
      </c>
      <c r="F394" s="51">
        <v>0.65103618599576918</v>
      </c>
      <c r="G394" s="50">
        <v>55122</v>
      </c>
      <c r="H394" s="51">
        <v>0.63778908730582717</v>
      </c>
      <c r="I394" s="50">
        <v>55122</v>
      </c>
      <c r="J394" s="51">
        <v>0.10683771280753294</v>
      </c>
      <c r="K394" s="50">
        <v>55122</v>
      </c>
      <c r="L394" s="51">
        <v>0.1068393562258179</v>
      </c>
      <c r="M394" s="50">
        <v>55122</v>
      </c>
      <c r="N394" s="51">
        <v>4.2573675948267303E-2</v>
      </c>
      <c r="O394" s="50">
        <v>55122</v>
      </c>
      <c r="P394" s="51">
        <v>5.8326573756092688E-2</v>
      </c>
      <c r="Q394" s="50">
        <v>55122</v>
      </c>
      <c r="R394" s="51">
        <v>0.78405700419622082</v>
      </c>
      <c r="S394" s="50">
        <v>55122</v>
      </c>
      <c r="T394" s="51">
        <v>0.86321598042825098</v>
      </c>
      <c r="U394" s="50">
        <v>55122</v>
      </c>
      <c r="V394" s="51">
        <v>0.61971950584019009</v>
      </c>
      <c r="W394" s="50">
        <v>55122</v>
      </c>
      <c r="X394" s="51">
        <v>0.57301120431490982</v>
      </c>
      <c r="Y394" s="50">
        <v>55122</v>
      </c>
      <c r="Z394" s="51">
        <v>0.7767420189353641</v>
      </c>
      <c r="AA394" s="50">
        <v>55122</v>
      </c>
      <c r="AB394" s="51">
        <v>0.80827981830626816</v>
      </c>
      <c r="AC394" s="50">
        <v>55122</v>
      </c>
      <c r="AD394" s="51">
        <v>0.43048376272732453</v>
      </c>
      <c r="AE394" s="50">
        <v>55122</v>
      </c>
      <c r="AF394" s="51">
        <v>0.45012567566318296</v>
      </c>
    </row>
    <row r="395" spans="1:32" x14ac:dyDescent="0.25">
      <c r="A395" s="50">
        <v>55153</v>
      </c>
      <c r="B395" s="51">
        <v>0.40808780912491383</v>
      </c>
      <c r="C395" s="50">
        <v>55153</v>
      </c>
      <c r="D395" s="51">
        <v>0.40809609384601159</v>
      </c>
      <c r="E395" s="50">
        <v>55153</v>
      </c>
      <c r="F395" s="51">
        <v>0.65031825011007649</v>
      </c>
      <c r="G395" s="50">
        <v>55153</v>
      </c>
      <c r="H395" s="51">
        <v>0.63706164564748735</v>
      </c>
      <c r="I395" s="50">
        <v>55153</v>
      </c>
      <c r="J395" s="51">
        <v>0.10623954559331543</v>
      </c>
      <c r="K395" s="50">
        <v>55153</v>
      </c>
      <c r="L395" s="51">
        <v>0.10624117981036509</v>
      </c>
      <c r="M395" s="50">
        <v>55153</v>
      </c>
      <c r="N395" s="51">
        <v>4.2311672056636294E-2</v>
      </c>
      <c r="O395" s="50">
        <v>55153</v>
      </c>
      <c r="P395" s="51">
        <v>5.7992459089656022E-2</v>
      </c>
      <c r="Q395" s="50">
        <v>55153</v>
      </c>
      <c r="R395" s="51">
        <v>0.78340232686817635</v>
      </c>
      <c r="S395" s="50">
        <v>55153</v>
      </c>
      <c r="T395" s="51">
        <v>0.8625361756459532</v>
      </c>
      <c r="U395" s="50">
        <v>55153</v>
      </c>
      <c r="V395" s="51">
        <v>0.61899739153885824</v>
      </c>
      <c r="W395" s="50">
        <v>55153</v>
      </c>
      <c r="X395" s="51">
        <v>0.57213076961755283</v>
      </c>
      <c r="Y395" s="50">
        <v>55153</v>
      </c>
      <c r="Z395" s="51">
        <v>0.77608822400017141</v>
      </c>
      <c r="AA395" s="50">
        <v>55153</v>
      </c>
      <c r="AB395" s="51">
        <v>0.8076881718639074</v>
      </c>
      <c r="AC395" s="50">
        <v>55153</v>
      </c>
      <c r="AD395" s="51">
        <v>0.42956793917150754</v>
      </c>
      <c r="AE395" s="50">
        <v>55153</v>
      </c>
      <c r="AF395" s="51">
        <v>0.44921445942499627</v>
      </c>
    </row>
    <row r="396" spans="1:32" x14ac:dyDescent="0.25">
      <c r="A396" s="50">
        <v>55184</v>
      </c>
      <c r="B396" s="51">
        <v>0.40717746717047038</v>
      </c>
      <c r="C396" s="50">
        <v>55184</v>
      </c>
      <c r="D396" s="51">
        <v>0.40718573145546322</v>
      </c>
      <c r="E396" s="50">
        <v>55184</v>
      </c>
      <c r="F396" s="51">
        <v>0.64960973037840553</v>
      </c>
      <c r="G396" s="50">
        <v>55184</v>
      </c>
      <c r="H396" s="51">
        <v>0.63634403965202146</v>
      </c>
      <c r="I396" s="50">
        <v>55184</v>
      </c>
      <c r="J396" s="51">
        <v>0.10563188208463201</v>
      </c>
      <c r="K396" s="50">
        <v>55184</v>
      </c>
      <c r="L396" s="51">
        <v>0.10563350695437071</v>
      </c>
      <c r="M396" s="50">
        <v>55184</v>
      </c>
      <c r="N396" s="51">
        <v>4.2049668165005279E-2</v>
      </c>
      <c r="O396" s="50">
        <v>55184</v>
      </c>
      <c r="P396" s="51">
        <v>5.7658344423219363E-2</v>
      </c>
      <c r="Q396" s="50">
        <v>55184</v>
      </c>
      <c r="R396" s="51">
        <v>0.78272997239871189</v>
      </c>
      <c r="S396" s="50">
        <v>55184</v>
      </c>
      <c r="T396" s="51">
        <v>0.86183781621273603</v>
      </c>
      <c r="U396" s="50">
        <v>55184</v>
      </c>
      <c r="V396" s="51">
        <v>0.61825688450265526</v>
      </c>
      <c r="W396" s="50">
        <v>55184</v>
      </c>
      <c r="X396" s="51">
        <v>0.57122998438436678</v>
      </c>
      <c r="Y396" s="50">
        <v>55184</v>
      </c>
      <c r="Z396" s="51">
        <v>0.77543173809722499</v>
      </c>
      <c r="AA396" s="50">
        <v>55184</v>
      </c>
      <c r="AB396" s="51">
        <v>0.80709233677268</v>
      </c>
      <c r="AC396" s="50">
        <v>55184</v>
      </c>
      <c r="AD396" s="51">
        <v>0.4286341144810546</v>
      </c>
      <c r="AE396" s="50">
        <v>55184</v>
      </c>
      <c r="AF396" s="51">
        <v>0.44828477721397153</v>
      </c>
    </row>
    <row r="397" spans="1:32" x14ac:dyDescent="0.25">
      <c r="A397" s="50">
        <v>55212</v>
      </c>
      <c r="B397" s="51">
        <v>0.40635516147296546</v>
      </c>
      <c r="C397" s="50">
        <v>55212</v>
      </c>
      <c r="D397" s="51">
        <v>0.4063634072990947</v>
      </c>
      <c r="E397" s="50">
        <v>55212</v>
      </c>
      <c r="F397" s="51">
        <v>0.64897006056949058</v>
      </c>
      <c r="G397" s="50">
        <v>55212</v>
      </c>
      <c r="H397" s="51">
        <v>0.6356961755255367</v>
      </c>
      <c r="I397" s="50">
        <v>55212</v>
      </c>
      <c r="J397" s="51">
        <v>0.1050827388120093</v>
      </c>
      <c r="K397" s="50">
        <v>55212</v>
      </c>
      <c r="L397" s="51">
        <v>0.10508435523461754</v>
      </c>
      <c r="M397" s="50">
        <v>55212</v>
      </c>
      <c r="N397" s="51">
        <v>4.1813019488693398E-2</v>
      </c>
      <c r="O397" s="50">
        <v>55212</v>
      </c>
      <c r="P397" s="51">
        <v>5.7356563434179796E-2</v>
      </c>
      <c r="Q397" s="50">
        <v>55212</v>
      </c>
      <c r="R397" s="51">
        <v>0.78212215227579807</v>
      </c>
      <c r="S397" s="50">
        <v>55212</v>
      </c>
      <c r="T397" s="51">
        <v>0.86120648131582411</v>
      </c>
      <c r="U397" s="50">
        <v>55212</v>
      </c>
      <c r="V397" s="51">
        <v>0.61758748567793809</v>
      </c>
      <c r="W397" s="50">
        <v>55212</v>
      </c>
      <c r="X397" s="51">
        <v>0.57041575921137799</v>
      </c>
      <c r="Y397" s="50">
        <v>55212</v>
      </c>
      <c r="Z397" s="51">
        <v>0.77483870206972805</v>
      </c>
      <c r="AA397" s="50">
        <v>55212</v>
      </c>
      <c r="AB397" s="51">
        <v>0.80655403703203565</v>
      </c>
      <c r="AC397" s="50">
        <v>55212</v>
      </c>
      <c r="AD397" s="51">
        <v>0.42779011795229083</v>
      </c>
      <c r="AE397" s="50">
        <v>55212</v>
      </c>
      <c r="AF397" s="51">
        <v>0.44744450828440141</v>
      </c>
    </row>
    <row r="398" spans="1:32" x14ac:dyDescent="0.25">
      <c r="A398" s="50">
        <v>55243</v>
      </c>
      <c r="B398" s="51">
        <v>0.40544475159358506</v>
      </c>
      <c r="C398" s="50">
        <v>55243</v>
      </c>
      <c r="D398" s="51">
        <v>0.40545297698311528</v>
      </c>
      <c r="E398" s="50">
        <v>55243</v>
      </c>
      <c r="F398" s="51">
        <v>0.64826185470962039</v>
      </c>
      <c r="G398" s="50">
        <v>55243</v>
      </c>
      <c r="H398" s="51">
        <v>0.63497889738549995</v>
      </c>
      <c r="I398" s="50">
        <v>55243</v>
      </c>
      <c r="J398" s="51">
        <v>0.10447475876017703</v>
      </c>
      <c r="K398" s="50">
        <v>55243</v>
      </c>
      <c r="L398" s="51">
        <v>0.10447636583060511</v>
      </c>
      <c r="M398" s="50">
        <v>55243</v>
      </c>
      <c r="N398" s="51">
        <v>4.1551015597062382E-2</v>
      </c>
      <c r="O398" s="50">
        <v>55243</v>
      </c>
      <c r="P398" s="51">
        <v>5.7022448767743136E-2</v>
      </c>
      <c r="Q398" s="50">
        <v>55243</v>
      </c>
      <c r="R398" s="51">
        <v>0.78144920856828626</v>
      </c>
      <c r="S398" s="50">
        <v>55243</v>
      </c>
      <c r="T398" s="51">
        <v>0.86050750339424309</v>
      </c>
      <c r="U398" s="50">
        <v>55243</v>
      </c>
      <c r="V398" s="51">
        <v>0.6168463655505726</v>
      </c>
      <c r="W398" s="50">
        <v>55243</v>
      </c>
      <c r="X398" s="51">
        <v>0.56951429562699762</v>
      </c>
      <c r="Y398" s="50">
        <v>55243</v>
      </c>
      <c r="Z398" s="51">
        <v>0.77418212646785656</v>
      </c>
      <c r="AA398" s="50">
        <v>55243</v>
      </c>
      <c r="AB398" s="51">
        <v>0.80595806231917932</v>
      </c>
      <c r="AC398" s="50">
        <v>55243</v>
      </c>
      <c r="AD398" s="51">
        <v>0.42685569322401673</v>
      </c>
      <c r="AE398" s="50">
        <v>55243</v>
      </c>
      <c r="AF398" s="51">
        <v>0.44651421054094875</v>
      </c>
    </row>
    <row r="399" spans="1:32" x14ac:dyDescent="0.25">
      <c r="A399" s="50">
        <v>55273</v>
      </c>
      <c r="B399" s="51">
        <v>0.40456370977482986</v>
      </c>
      <c r="C399" s="50">
        <v>55273</v>
      </c>
      <c r="D399" s="51">
        <v>0.40457191538700621</v>
      </c>
      <c r="E399" s="50">
        <v>55273</v>
      </c>
      <c r="F399" s="51">
        <v>0.64757649420006869</v>
      </c>
      <c r="G399" s="50">
        <v>55273</v>
      </c>
      <c r="H399" s="51">
        <v>0.63428475724998057</v>
      </c>
      <c r="I399" s="50">
        <v>55273</v>
      </c>
      <c r="J399" s="51">
        <v>0.10389601184440561</v>
      </c>
      <c r="K399" s="50">
        <v>55273</v>
      </c>
      <c r="L399" s="51">
        <v>0.10389761001232878</v>
      </c>
      <c r="M399" s="50">
        <v>55273</v>
      </c>
      <c r="N399" s="51">
        <v>4.1297463443871085E-2</v>
      </c>
      <c r="O399" s="50">
        <v>55273</v>
      </c>
      <c r="P399" s="51">
        <v>5.6699111993772172E-2</v>
      </c>
      <c r="Q399" s="50">
        <v>55273</v>
      </c>
      <c r="R399" s="51">
        <v>0.78079797272230711</v>
      </c>
      <c r="S399" s="50">
        <v>55273</v>
      </c>
      <c r="T399" s="51">
        <v>0.85983107314755181</v>
      </c>
      <c r="U399" s="50">
        <v>55273</v>
      </c>
      <c r="V399" s="51">
        <v>0.61612915252408995</v>
      </c>
      <c r="W399" s="50">
        <v>55273</v>
      </c>
      <c r="X399" s="51">
        <v>0.56864191151308119</v>
      </c>
      <c r="Y399" s="50">
        <v>55273</v>
      </c>
      <c r="Z399" s="51">
        <v>0.77354673072410984</v>
      </c>
      <c r="AA399" s="50">
        <v>55273</v>
      </c>
      <c r="AB399" s="51">
        <v>0.80538131259706036</v>
      </c>
      <c r="AC399" s="50">
        <v>55273</v>
      </c>
      <c r="AD399" s="51">
        <v>0.42595141122891272</v>
      </c>
      <c r="AE399" s="50">
        <v>55273</v>
      </c>
      <c r="AF399" s="51">
        <v>0.44561392240212361</v>
      </c>
    </row>
    <row r="400" spans="1:32" x14ac:dyDescent="0.25">
      <c r="A400" s="50">
        <v>55304</v>
      </c>
      <c r="B400" s="51">
        <v>0.40365329989544946</v>
      </c>
      <c r="C400" s="50">
        <v>55304</v>
      </c>
      <c r="D400" s="51">
        <v>0.40366148507102678</v>
      </c>
      <c r="E400" s="50">
        <v>55304</v>
      </c>
      <c r="F400" s="51">
        <v>0.64686828834019849</v>
      </c>
      <c r="G400" s="50">
        <v>55304</v>
      </c>
      <c r="H400" s="51">
        <v>0.63356747910994393</v>
      </c>
      <c r="I400" s="50">
        <v>55304</v>
      </c>
      <c r="J400" s="51">
        <v>0.10329831617760969</v>
      </c>
      <c r="K400" s="50">
        <v>55304</v>
      </c>
      <c r="L400" s="51">
        <v>0.10329990515155106</v>
      </c>
      <c r="M400" s="50">
        <v>55304</v>
      </c>
      <c r="N400" s="51">
        <v>4.1035459552240069E-2</v>
      </c>
      <c r="O400" s="50">
        <v>55304</v>
      </c>
      <c r="P400" s="51">
        <v>5.6364997327335513E-2</v>
      </c>
      <c r="Q400" s="50">
        <v>55304</v>
      </c>
      <c r="R400" s="51">
        <v>0.7801250290147953</v>
      </c>
      <c r="S400" s="50">
        <v>55304</v>
      </c>
      <c r="T400" s="51">
        <v>0.85913209522597067</v>
      </c>
      <c r="U400" s="50">
        <v>55304</v>
      </c>
      <c r="V400" s="51">
        <v>0.61538803239672446</v>
      </c>
      <c r="W400" s="50">
        <v>55304</v>
      </c>
      <c r="X400" s="51">
        <v>0.56774044792870082</v>
      </c>
      <c r="Y400" s="50">
        <v>55304</v>
      </c>
      <c r="Z400" s="51">
        <v>0.77289015512223835</v>
      </c>
      <c r="AA400" s="50">
        <v>55304</v>
      </c>
      <c r="AB400" s="51">
        <v>0.80478533788420414</v>
      </c>
      <c r="AC400" s="50">
        <v>55304</v>
      </c>
      <c r="AD400" s="51">
        <v>0.42501698650063857</v>
      </c>
      <c r="AE400" s="50">
        <v>55304</v>
      </c>
      <c r="AF400" s="51">
        <v>0.44468362465867101</v>
      </c>
    </row>
    <row r="401" spans="1:32" x14ac:dyDescent="0.25">
      <c r="A401" s="50">
        <v>55334</v>
      </c>
      <c r="B401" s="51">
        <v>0.40277225807669426</v>
      </c>
      <c r="C401" s="50">
        <v>55334</v>
      </c>
      <c r="D401" s="51">
        <v>0.40278042347491766</v>
      </c>
      <c r="E401" s="50">
        <v>55334</v>
      </c>
      <c r="F401" s="51">
        <v>0.64618292783064668</v>
      </c>
      <c r="G401" s="50">
        <v>55334</v>
      </c>
      <c r="H401" s="51">
        <v>0.63287333897442455</v>
      </c>
      <c r="I401" s="50">
        <v>55334</v>
      </c>
      <c r="J401" s="51">
        <v>0.10271990101619428</v>
      </c>
      <c r="K401" s="50">
        <v>55334</v>
      </c>
      <c r="L401" s="51">
        <v>0.10272148109273392</v>
      </c>
      <c r="M401" s="50">
        <v>55334</v>
      </c>
      <c r="N401" s="51">
        <v>4.0781907399048772E-2</v>
      </c>
      <c r="O401" s="50">
        <v>55334</v>
      </c>
      <c r="P401" s="51">
        <v>5.6041660553364549E-2</v>
      </c>
      <c r="Q401" s="50">
        <v>55334</v>
      </c>
      <c r="R401" s="51">
        <v>0.77947379316881615</v>
      </c>
      <c r="S401" s="50">
        <v>55334</v>
      </c>
      <c r="T401" s="51">
        <v>0.85845566497927939</v>
      </c>
      <c r="U401" s="50">
        <v>55334</v>
      </c>
      <c r="V401" s="51">
        <v>0.61467081937024182</v>
      </c>
      <c r="W401" s="50">
        <v>55334</v>
      </c>
      <c r="X401" s="51">
        <v>0.56686806381478438</v>
      </c>
      <c r="Y401" s="50">
        <v>55334</v>
      </c>
      <c r="Z401" s="51">
        <v>0.77225475937849175</v>
      </c>
      <c r="AA401" s="50">
        <v>55334</v>
      </c>
      <c r="AB401" s="51">
        <v>0.80420858816208518</v>
      </c>
      <c r="AC401" s="50">
        <v>55334</v>
      </c>
      <c r="AD401" s="51">
        <v>0.42411270450553457</v>
      </c>
      <c r="AE401" s="50">
        <v>55334</v>
      </c>
      <c r="AF401" s="51">
        <v>0.44378333651984586</v>
      </c>
    </row>
    <row r="402" spans="1:32" x14ac:dyDescent="0.25">
      <c r="A402" s="50">
        <v>55365</v>
      </c>
      <c r="B402" s="51">
        <v>0.40189015553916951</v>
      </c>
      <c r="C402" s="50">
        <v>55365</v>
      </c>
      <c r="D402" s="51">
        <v>0.40189830110117186</v>
      </c>
      <c r="E402" s="50">
        <v>55365</v>
      </c>
      <c r="F402" s="51">
        <v>0.6454747219707766</v>
      </c>
      <c r="G402" s="50">
        <v>55365</v>
      </c>
      <c r="H402" s="51">
        <v>0.6321560608343878</v>
      </c>
      <c r="I402" s="50">
        <v>55365</v>
      </c>
      <c r="J402" s="51">
        <v>0.10213810246648543</v>
      </c>
      <c r="K402" s="50">
        <v>55365</v>
      </c>
      <c r="L402" s="51">
        <v>0.10213967359357874</v>
      </c>
      <c r="M402" s="50">
        <v>55365</v>
      </c>
      <c r="N402" s="51">
        <v>4.0519903507417757E-2</v>
      </c>
      <c r="O402" s="50">
        <v>55365</v>
      </c>
      <c r="P402" s="51">
        <v>5.5707545886927889E-2</v>
      </c>
      <c r="Q402" s="50">
        <v>55365</v>
      </c>
      <c r="R402" s="51">
        <v>0.7788117574625133</v>
      </c>
      <c r="S402" s="50">
        <v>55365</v>
      </c>
      <c r="T402" s="51">
        <v>0.85775706412937502</v>
      </c>
      <c r="U402" s="50">
        <v>55365</v>
      </c>
      <c r="V402" s="51">
        <v>0.61395678879310045</v>
      </c>
      <c r="W402" s="50">
        <v>55365</v>
      </c>
      <c r="X402" s="51">
        <v>0.56599497695463263</v>
      </c>
      <c r="Y402" s="50">
        <v>55365</v>
      </c>
      <c r="Z402" s="51">
        <v>0.77159818377662015</v>
      </c>
      <c r="AA402" s="50">
        <v>55365</v>
      </c>
      <c r="AB402" s="51">
        <v>0.80361261344922885</v>
      </c>
      <c r="AC402" s="50">
        <v>55365</v>
      </c>
      <c r="AD402" s="51">
        <v>0.42321529660707313</v>
      </c>
      <c r="AE402" s="50">
        <v>55365</v>
      </c>
      <c r="AF402" s="51">
        <v>0.44288939500511637</v>
      </c>
    </row>
    <row r="403" spans="1:32" x14ac:dyDescent="0.25">
      <c r="A403" s="50">
        <v>55396</v>
      </c>
      <c r="B403" s="51">
        <v>0.40100899657970662</v>
      </c>
      <c r="C403" s="50">
        <v>55396</v>
      </c>
      <c r="D403" s="51">
        <v>0.40101712232550046</v>
      </c>
      <c r="E403" s="50">
        <v>55396</v>
      </c>
      <c r="F403" s="51">
        <v>0.64476651611090641</v>
      </c>
      <c r="G403" s="50">
        <v>55396</v>
      </c>
      <c r="H403" s="51">
        <v>0.63143878269435116</v>
      </c>
      <c r="I403" s="50">
        <v>55396</v>
      </c>
      <c r="J403" s="51">
        <v>0.10155683382067948</v>
      </c>
      <c r="K403" s="50">
        <v>55396</v>
      </c>
      <c r="L403" s="51">
        <v>0.10155839600647765</v>
      </c>
      <c r="M403" s="50">
        <v>55396</v>
      </c>
      <c r="N403" s="51">
        <v>4.0257899615786741E-2</v>
      </c>
      <c r="O403" s="50">
        <v>55396</v>
      </c>
      <c r="P403" s="51">
        <v>5.5373431220491223E-2</v>
      </c>
      <c r="Q403" s="50">
        <v>55396</v>
      </c>
      <c r="R403" s="51">
        <v>0.77815008535625074</v>
      </c>
      <c r="S403" s="50">
        <v>55396</v>
      </c>
      <c r="T403" s="51">
        <v>0.85705847584852657</v>
      </c>
      <c r="U403" s="50">
        <v>55396</v>
      </c>
      <c r="V403" s="51">
        <v>0.61324366120096641</v>
      </c>
      <c r="W403" s="50">
        <v>55396</v>
      </c>
      <c r="X403" s="51">
        <v>0.56512283598528845</v>
      </c>
      <c r="Y403" s="50">
        <v>55396</v>
      </c>
      <c r="Z403" s="51">
        <v>0.77094160817474866</v>
      </c>
      <c r="AA403" s="50">
        <v>55396</v>
      </c>
      <c r="AB403" s="51">
        <v>0.80301663873637263</v>
      </c>
      <c r="AC403" s="50">
        <v>55396</v>
      </c>
      <c r="AD403" s="51">
        <v>0.42231912260293886</v>
      </c>
      <c r="AE403" s="50">
        <v>55396</v>
      </c>
      <c r="AF403" s="51">
        <v>0.44199666536467769</v>
      </c>
    </row>
    <row r="404" spans="1:32" x14ac:dyDescent="0.25">
      <c r="A404" s="50">
        <v>55426</v>
      </c>
      <c r="B404" s="51">
        <v>0.40015626210280708</v>
      </c>
      <c r="C404" s="50">
        <v>55426</v>
      </c>
      <c r="D404" s="51">
        <v>0.40016436867162497</v>
      </c>
      <c r="E404" s="50">
        <v>55426</v>
      </c>
      <c r="F404" s="51">
        <v>0.64408115560135459</v>
      </c>
      <c r="G404" s="50">
        <v>55426</v>
      </c>
      <c r="H404" s="51">
        <v>0.63074464255883178</v>
      </c>
      <c r="I404" s="50">
        <v>55426</v>
      </c>
      <c r="J404" s="51">
        <v>0.10099431577635114</v>
      </c>
      <c r="K404" s="50">
        <v>55426</v>
      </c>
      <c r="L404" s="51">
        <v>0.10099586930928305</v>
      </c>
      <c r="M404" s="50">
        <v>55426</v>
      </c>
      <c r="N404" s="51">
        <v>4.0004347462595444E-2</v>
      </c>
      <c r="O404" s="50">
        <v>55426</v>
      </c>
      <c r="P404" s="51">
        <v>5.5050094446520266E-2</v>
      </c>
      <c r="Q404" s="50">
        <v>55426</v>
      </c>
      <c r="R404" s="51">
        <v>0.77750975751148044</v>
      </c>
      <c r="S404" s="50">
        <v>55426</v>
      </c>
      <c r="T404" s="51">
        <v>0.85638242267351194</v>
      </c>
      <c r="U404" s="50">
        <v>55426</v>
      </c>
      <c r="V404" s="51">
        <v>0.61255353772470778</v>
      </c>
      <c r="W404" s="50">
        <v>55426</v>
      </c>
      <c r="X404" s="51">
        <v>0.56427882859560063</v>
      </c>
      <c r="Y404" s="50">
        <v>55426</v>
      </c>
      <c r="Z404" s="51">
        <v>0.77030621243100195</v>
      </c>
      <c r="AA404" s="50">
        <v>55426</v>
      </c>
      <c r="AB404" s="51">
        <v>0.80243988901425356</v>
      </c>
      <c r="AC404" s="50">
        <v>55426</v>
      </c>
      <c r="AD404" s="51">
        <v>0.42145185743764757</v>
      </c>
      <c r="AE404" s="50">
        <v>55426</v>
      </c>
      <c r="AF404" s="51">
        <v>0.44113273345457571</v>
      </c>
    </row>
    <row r="405" spans="1:32" x14ac:dyDescent="0.25">
      <c r="A405" s="50">
        <v>55457</v>
      </c>
      <c r="B405" s="51">
        <v>0.39927510314334425</v>
      </c>
      <c r="C405" s="50">
        <v>55457</v>
      </c>
      <c r="D405" s="51">
        <v>0.39928318989595357</v>
      </c>
      <c r="E405" s="50">
        <v>55457</v>
      </c>
      <c r="F405" s="51">
        <v>0.6433729497414844</v>
      </c>
      <c r="G405" s="50">
        <v>55457</v>
      </c>
      <c r="H405" s="51">
        <v>0.63002736441879503</v>
      </c>
      <c r="I405" s="50">
        <v>55457</v>
      </c>
      <c r="J405" s="51">
        <v>0.1004284074349942</v>
      </c>
      <c r="K405" s="50">
        <v>55457</v>
      </c>
      <c r="L405" s="51">
        <v>0.10042995226290907</v>
      </c>
      <c r="M405" s="50">
        <v>55457</v>
      </c>
      <c r="N405" s="51">
        <v>3.9742343570964428E-2</v>
      </c>
      <c r="O405" s="50">
        <v>55457</v>
      </c>
      <c r="P405" s="51">
        <v>5.47159797800836E-2</v>
      </c>
      <c r="Q405" s="50">
        <v>55457</v>
      </c>
      <c r="R405" s="51">
        <v>0.77684808540521788</v>
      </c>
      <c r="S405" s="50">
        <v>55457</v>
      </c>
      <c r="T405" s="51">
        <v>0.85568383439266349</v>
      </c>
      <c r="U405" s="50">
        <v>55457</v>
      </c>
      <c r="V405" s="51">
        <v>0.61184041013257384</v>
      </c>
      <c r="W405" s="50">
        <v>55457</v>
      </c>
      <c r="X405" s="51">
        <v>0.56340668762625656</v>
      </c>
      <c r="Y405" s="50">
        <v>55457</v>
      </c>
      <c r="Z405" s="51">
        <v>0.76964963682913046</v>
      </c>
      <c r="AA405" s="50">
        <v>55457</v>
      </c>
      <c r="AB405" s="51">
        <v>0.80184391430139734</v>
      </c>
      <c r="AC405" s="50">
        <v>55457</v>
      </c>
      <c r="AD405" s="51">
        <v>0.42055568343351329</v>
      </c>
      <c r="AE405" s="50">
        <v>55457</v>
      </c>
      <c r="AF405" s="51">
        <v>0.44024000381413703</v>
      </c>
    </row>
    <row r="406" spans="1:32" x14ac:dyDescent="0.25">
      <c r="A406" s="50">
        <v>55487</v>
      </c>
      <c r="B406" s="51">
        <v>0.3984223686664447</v>
      </c>
      <c r="C406" s="50">
        <v>55487</v>
      </c>
      <c r="D406" s="51">
        <v>0.39843043624207808</v>
      </c>
      <c r="E406" s="50">
        <v>55487</v>
      </c>
      <c r="F406" s="51">
        <v>0.6426875892319327</v>
      </c>
      <c r="G406" s="50">
        <v>55487</v>
      </c>
      <c r="H406" s="51">
        <v>0.62933322428327565</v>
      </c>
      <c r="I406" s="50">
        <v>55487</v>
      </c>
      <c r="J406" s="51">
        <v>9.9881249695114888E-2</v>
      </c>
      <c r="K406" s="50">
        <v>55487</v>
      </c>
      <c r="L406" s="51">
        <v>9.9882786106441579E-2</v>
      </c>
      <c r="M406" s="50">
        <v>55487</v>
      </c>
      <c r="N406" s="51">
        <v>3.9488791417773131E-2</v>
      </c>
      <c r="O406" s="50">
        <v>55487</v>
      </c>
      <c r="P406" s="51">
        <v>5.4392643006112643E-2</v>
      </c>
      <c r="Q406" s="50">
        <v>55487</v>
      </c>
      <c r="R406" s="51">
        <v>0.77620775756044769</v>
      </c>
      <c r="S406" s="50">
        <v>55487</v>
      </c>
      <c r="T406" s="51">
        <v>0.85500778121764887</v>
      </c>
      <c r="U406" s="50">
        <v>55487</v>
      </c>
      <c r="V406" s="51">
        <v>0.6111502866563151</v>
      </c>
      <c r="W406" s="50">
        <v>55487</v>
      </c>
      <c r="X406" s="51">
        <v>0.56256268023656864</v>
      </c>
      <c r="Y406" s="50">
        <v>55487</v>
      </c>
      <c r="Z406" s="51">
        <v>0.76901424108538374</v>
      </c>
      <c r="AA406" s="50">
        <v>55487</v>
      </c>
      <c r="AB406" s="51">
        <v>0.80126716457927838</v>
      </c>
      <c r="AC406" s="50">
        <v>55487</v>
      </c>
      <c r="AD406" s="51">
        <v>0.41968841826822201</v>
      </c>
      <c r="AE406" s="50">
        <v>55487</v>
      </c>
      <c r="AF406" s="51">
        <v>0.43937607190403505</v>
      </c>
    </row>
    <row r="407" spans="1:32" x14ac:dyDescent="0.25">
      <c r="A407" s="50">
        <v>55518</v>
      </c>
      <c r="B407" s="51">
        <v>0.39754120970698181</v>
      </c>
      <c r="C407" s="50">
        <v>55518</v>
      </c>
      <c r="D407" s="51">
        <v>0.39754925746640668</v>
      </c>
      <c r="E407" s="50">
        <v>55518</v>
      </c>
      <c r="F407" s="51">
        <v>0.64197938337206251</v>
      </c>
      <c r="G407" s="50">
        <v>55518</v>
      </c>
      <c r="H407" s="51">
        <v>0.62861594614323901</v>
      </c>
      <c r="I407" s="50">
        <v>55518</v>
      </c>
      <c r="J407" s="51">
        <v>9.9315853363906248E-2</v>
      </c>
      <c r="K407" s="50">
        <v>55518</v>
      </c>
      <c r="L407" s="51">
        <v>9.9317381078091849E-2</v>
      </c>
      <c r="M407" s="50">
        <v>55518</v>
      </c>
      <c r="N407" s="51">
        <v>3.9226787526142115E-2</v>
      </c>
      <c r="O407" s="50">
        <v>55518</v>
      </c>
      <c r="P407" s="51">
        <v>5.4058528339675976E-2</v>
      </c>
      <c r="Q407" s="50">
        <v>55518</v>
      </c>
      <c r="R407" s="51">
        <v>0.77554608545418513</v>
      </c>
      <c r="S407" s="50">
        <v>55518</v>
      </c>
      <c r="T407" s="51">
        <v>0.85430919293680041</v>
      </c>
      <c r="U407" s="50">
        <v>55518</v>
      </c>
      <c r="V407" s="51">
        <v>0.61043715906418117</v>
      </c>
      <c r="W407" s="50">
        <v>55518</v>
      </c>
      <c r="X407" s="51">
        <v>0.56169053926722456</v>
      </c>
      <c r="Y407" s="50">
        <v>55518</v>
      </c>
      <c r="Z407" s="51">
        <v>0.76835766548351225</v>
      </c>
      <c r="AA407" s="50">
        <v>55518</v>
      </c>
      <c r="AB407" s="51">
        <v>0.80067118986642205</v>
      </c>
      <c r="AC407" s="50">
        <v>55518</v>
      </c>
      <c r="AD407" s="51">
        <v>0.41879224426408773</v>
      </c>
      <c r="AE407" s="50">
        <v>55518</v>
      </c>
      <c r="AF407" s="51">
        <v>0.43848334226359631</v>
      </c>
    </row>
    <row r="408" spans="1:32" x14ac:dyDescent="0.25">
      <c r="A408" s="50">
        <v>55549</v>
      </c>
      <c r="B408" s="51">
        <v>0.396663028050664</v>
      </c>
      <c r="C408" s="50">
        <v>55549</v>
      </c>
      <c r="D408" s="51">
        <v>0.39667105608062209</v>
      </c>
      <c r="E408" s="50">
        <v>55549</v>
      </c>
      <c r="F408" s="51">
        <v>0.64128233446700433</v>
      </c>
      <c r="G408" s="50">
        <v>55549</v>
      </c>
      <c r="H408" s="51">
        <v>0.62791025753513685</v>
      </c>
      <c r="I408" s="50">
        <v>55549</v>
      </c>
      <c r="J408" s="51">
        <v>9.8753636559892874E-2</v>
      </c>
      <c r="K408" s="50">
        <v>55549</v>
      </c>
      <c r="L408" s="51">
        <v>9.8755155625845942E-2</v>
      </c>
      <c r="M408" s="50">
        <v>55549</v>
      </c>
      <c r="N408" s="51">
        <v>3.8964783634511099E-2</v>
      </c>
      <c r="O408" s="50">
        <v>55549</v>
      </c>
      <c r="P408" s="51">
        <v>5.3724413673239317E-2</v>
      </c>
      <c r="Q408" s="50">
        <v>55549</v>
      </c>
      <c r="R408" s="51">
        <v>0.77487203558622542</v>
      </c>
      <c r="S408" s="50">
        <v>55549</v>
      </c>
      <c r="T408" s="51">
        <v>0.85359548799521079</v>
      </c>
      <c r="U408" s="50">
        <v>55549</v>
      </c>
      <c r="V408" s="51">
        <v>0.60971413171113498</v>
      </c>
      <c r="W408" s="50">
        <v>55549</v>
      </c>
      <c r="X408" s="51">
        <v>0.56080722100170732</v>
      </c>
      <c r="Y408" s="50">
        <v>55549</v>
      </c>
      <c r="Z408" s="51">
        <v>0.76769986960985503</v>
      </c>
      <c r="AA408" s="50">
        <v>55549</v>
      </c>
      <c r="AB408" s="51">
        <v>0.80007232567165043</v>
      </c>
      <c r="AC408" s="50">
        <v>55549</v>
      </c>
      <c r="AD408" s="51">
        <v>0.41788840739654259</v>
      </c>
      <c r="AE408" s="50">
        <v>55549</v>
      </c>
      <c r="AF408" s="51">
        <v>0.43758244669543728</v>
      </c>
    </row>
    <row r="409" spans="1:32" x14ac:dyDescent="0.25">
      <c r="A409" s="50">
        <v>55578</v>
      </c>
      <c r="B409" s="51">
        <v>0.39584159611603464</v>
      </c>
      <c r="C409" s="50">
        <v>55578</v>
      </c>
      <c r="D409" s="51">
        <v>0.39584960569209965</v>
      </c>
      <c r="E409" s="50">
        <v>55578</v>
      </c>
      <c r="F409" s="51">
        <v>0.64063060436408914</v>
      </c>
      <c r="G409" s="50">
        <v>55578</v>
      </c>
      <c r="H409" s="51">
        <v>0.62725045861833817</v>
      </c>
      <c r="I409" s="50">
        <v>55578</v>
      </c>
      <c r="J409" s="51">
        <v>9.8227790954298275E-2</v>
      </c>
      <c r="K409" s="50">
        <v>55578</v>
      </c>
      <c r="L409" s="51">
        <v>9.82293019314944E-2</v>
      </c>
      <c r="M409" s="50">
        <v>55578</v>
      </c>
      <c r="N409" s="51">
        <v>3.8719683219759514E-2</v>
      </c>
      <c r="O409" s="50">
        <v>55578</v>
      </c>
      <c r="P409" s="51">
        <v>5.3411854791734055E-2</v>
      </c>
      <c r="Q409" s="50">
        <v>55578</v>
      </c>
      <c r="R409" s="51">
        <v>0.77424108683330695</v>
      </c>
      <c r="S409" s="50">
        <v>55578</v>
      </c>
      <c r="T409" s="51">
        <v>0.85292735715398016</v>
      </c>
      <c r="U409" s="50">
        <v>55578</v>
      </c>
      <c r="V409" s="51">
        <v>0.60903744258186976</v>
      </c>
      <c r="W409" s="50">
        <v>55578</v>
      </c>
      <c r="X409" s="51">
        <v>0.55998054247204176</v>
      </c>
      <c r="Y409" s="50">
        <v>55578</v>
      </c>
      <c r="Z409" s="51">
        <v>0.76708447412817371</v>
      </c>
      <c r="AA409" s="50">
        <v>55578</v>
      </c>
      <c r="AB409" s="51">
        <v>0.79951200777441711</v>
      </c>
      <c r="AC409" s="50">
        <v>55578</v>
      </c>
      <c r="AD409" s="51">
        <v>0.41704264363546389</v>
      </c>
      <c r="AE409" s="50">
        <v>55578</v>
      </c>
      <c r="AF409" s="51">
        <v>0.43673941878554234</v>
      </c>
    </row>
    <row r="410" spans="1:32" x14ac:dyDescent="0.25">
      <c r="A410" s="50">
        <v>55609</v>
      </c>
      <c r="B410" s="51">
        <v>0.39496351370315497</v>
      </c>
      <c r="C410" s="50">
        <v>55609</v>
      </c>
      <c r="D410" s="51">
        <v>0.3949715035526446</v>
      </c>
      <c r="E410" s="50">
        <v>55609</v>
      </c>
      <c r="F410" s="51">
        <v>0.63993392735752463</v>
      </c>
      <c r="G410" s="50">
        <v>55609</v>
      </c>
      <c r="H410" s="51">
        <v>0.62654515632796715</v>
      </c>
      <c r="I410" s="50">
        <v>55609</v>
      </c>
      <c r="J410" s="51">
        <v>9.7665680134524729E-2</v>
      </c>
      <c r="K410" s="50">
        <v>55609</v>
      </c>
      <c r="L410" s="51">
        <v>9.7667182465118629E-2</v>
      </c>
      <c r="M410" s="50">
        <v>55609</v>
      </c>
      <c r="N410" s="51">
        <v>3.8457679328128498E-2</v>
      </c>
      <c r="O410" s="50">
        <v>55609</v>
      </c>
      <c r="P410" s="51">
        <v>5.3077740125297389E-2</v>
      </c>
      <c r="Q410" s="50">
        <v>55609</v>
      </c>
      <c r="R410" s="51">
        <v>0.77356662437329071</v>
      </c>
      <c r="S410" s="50">
        <v>55609</v>
      </c>
      <c r="T410" s="51">
        <v>0.85221314832369921</v>
      </c>
      <c r="U410" s="50">
        <v>55609</v>
      </c>
      <c r="V410" s="51">
        <v>0.60831408523679309</v>
      </c>
      <c r="W410" s="50">
        <v>55609</v>
      </c>
      <c r="X410" s="51">
        <v>0.55909685162998546</v>
      </c>
      <c r="Y410" s="50">
        <v>55609</v>
      </c>
      <c r="Z410" s="51">
        <v>0.76642663757879026</v>
      </c>
      <c r="AA410" s="50">
        <v>55609</v>
      </c>
      <c r="AB410" s="51">
        <v>0.79891304726358159</v>
      </c>
      <c r="AC410" s="50">
        <v>55609</v>
      </c>
      <c r="AD410" s="51">
        <v>0.41613855133913841</v>
      </c>
      <c r="AE410" s="50">
        <v>55609</v>
      </c>
      <c r="AF410" s="51">
        <v>0.43583825101979262</v>
      </c>
    </row>
    <row r="411" spans="1:32" x14ac:dyDescent="0.25">
      <c r="A411" s="50">
        <v>55639</v>
      </c>
      <c r="B411" s="51">
        <v>0.39411375652940045</v>
      </c>
      <c r="C411" s="50">
        <v>55639</v>
      </c>
      <c r="D411" s="51">
        <v>0.39412172728865585</v>
      </c>
      <c r="E411" s="50">
        <v>55639</v>
      </c>
      <c r="F411" s="51">
        <v>0.63925972380278484</v>
      </c>
      <c r="G411" s="50">
        <v>55639</v>
      </c>
      <c r="H411" s="51">
        <v>0.62586260572438224</v>
      </c>
      <c r="I411" s="50">
        <v>55639</v>
      </c>
      <c r="J411" s="51">
        <v>9.71248530530259E-2</v>
      </c>
      <c r="K411" s="50">
        <v>55639</v>
      </c>
      <c r="L411" s="51">
        <v>9.7126347064412186E-2</v>
      </c>
      <c r="M411" s="50">
        <v>55639</v>
      </c>
      <c r="N411" s="51">
        <v>3.8204127174937194E-2</v>
      </c>
      <c r="O411" s="50">
        <v>55639</v>
      </c>
      <c r="P411" s="51">
        <v>5.2754403351326432E-2</v>
      </c>
      <c r="Q411" s="50">
        <v>55639</v>
      </c>
      <c r="R411" s="51">
        <v>0.77291391876682336</v>
      </c>
      <c r="S411" s="50">
        <v>55639</v>
      </c>
      <c r="T411" s="51">
        <v>0.85152197848794342</v>
      </c>
      <c r="U411" s="50">
        <v>55639</v>
      </c>
      <c r="V411" s="51">
        <v>0.6076140619996222</v>
      </c>
      <c r="W411" s="50">
        <v>55639</v>
      </c>
      <c r="X411" s="51">
        <v>0.55824166694412447</v>
      </c>
      <c r="Y411" s="50">
        <v>55639</v>
      </c>
      <c r="Z411" s="51">
        <v>0.76579002156325793</v>
      </c>
      <c r="AA411" s="50">
        <v>55639</v>
      </c>
      <c r="AB411" s="51">
        <v>0.79833340805954711</v>
      </c>
      <c r="AC411" s="50">
        <v>55639</v>
      </c>
      <c r="AD411" s="51">
        <v>0.41526362331043631</v>
      </c>
      <c r="AE411" s="50">
        <v>55639</v>
      </c>
      <c r="AF411" s="51">
        <v>0.43496615318197029</v>
      </c>
    </row>
    <row r="412" spans="1:32" x14ac:dyDescent="0.25">
      <c r="A412" s="50">
        <v>55670</v>
      </c>
      <c r="B412" s="51">
        <v>0.39323567411652083</v>
      </c>
      <c r="C412" s="50">
        <v>55670</v>
      </c>
      <c r="D412" s="51">
        <v>0.39324362514920086</v>
      </c>
      <c r="E412" s="50">
        <v>55670</v>
      </c>
      <c r="F412" s="51">
        <v>0.63856304679622033</v>
      </c>
      <c r="G412" s="50">
        <v>55670</v>
      </c>
      <c r="H412" s="51">
        <v>0.62515730343401132</v>
      </c>
      <c r="I412" s="50">
        <v>55670</v>
      </c>
      <c r="J412" s="51">
        <v>9.656611068382967E-2</v>
      </c>
      <c r="K412" s="50">
        <v>55670</v>
      </c>
      <c r="L412" s="51">
        <v>9.6567596100428602E-2</v>
      </c>
      <c r="M412" s="50">
        <v>55670</v>
      </c>
      <c r="N412" s="51">
        <v>3.7942123283306185E-2</v>
      </c>
      <c r="O412" s="50">
        <v>55670</v>
      </c>
      <c r="P412" s="51">
        <v>5.2420288684889765E-2</v>
      </c>
      <c r="Q412" s="50">
        <v>55670</v>
      </c>
      <c r="R412" s="51">
        <v>0.77223945630680713</v>
      </c>
      <c r="S412" s="50">
        <v>55670</v>
      </c>
      <c r="T412" s="51">
        <v>0.85080776965766236</v>
      </c>
      <c r="U412" s="50">
        <v>55670</v>
      </c>
      <c r="V412" s="51">
        <v>0.60689070465454553</v>
      </c>
      <c r="W412" s="50">
        <v>55670</v>
      </c>
      <c r="X412" s="51">
        <v>0.55735797610206816</v>
      </c>
      <c r="Y412" s="50">
        <v>55670</v>
      </c>
      <c r="Z412" s="51">
        <v>0.76513218501387448</v>
      </c>
      <c r="AA412" s="50">
        <v>55670</v>
      </c>
      <c r="AB412" s="51">
        <v>0.79773444754871159</v>
      </c>
      <c r="AC412" s="50">
        <v>55670</v>
      </c>
      <c r="AD412" s="51">
        <v>0.41435953101411077</v>
      </c>
      <c r="AE412" s="50">
        <v>55670</v>
      </c>
      <c r="AF412" s="51">
        <v>0.43406498541622052</v>
      </c>
    </row>
    <row r="413" spans="1:32" x14ac:dyDescent="0.25">
      <c r="A413" s="50">
        <v>55700</v>
      </c>
      <c r="B413" s="51">
        <v>0.39238591694276631</v>
      </c>
      <c r="C413" s="50">
        <v>55700</v>
      </c>
      <c r="D413" s="51">
        <v>0.39239384888521212</v>
      </c>
      <c r="E413" s="50">
        <v>55700</v>
      </c>
      <c r="F413" s="51">
        <v>0.63788884324148054</v>
      </c>
      <c r="G413" s="50">
        <v>55700</v>
      </c>
      <c r="H413" s="51">
        <v>0.62447475283042642</v>
      </c>
      <c r="I413" s="50">
        <v>55700</v>
      </c>
      <c r="J413" s="51">
        <v>9.6025392262026874E-2</v>
      </c>
      <c r="K413" s="50">
        <v>55700</v>
      </c>
      <c r="L413" s="51">
        <v>9.6026869361089645E-2</v>
      </c>
      <c r="M413" s="50">
        <v>55700</v>
      </c>
      <c r="N413" s="51">
        <v>3.7688571130114881E-2</v>
      </c>
      <c r="O413" s="50">
        <v>55700</v>
      </c>
      <c r="P413" s="51">
        <v>5.2096951910918801E-2</v>
      </c>
      <c r="Q413" s="50">
        <v>55700</v>
      </c>
      <c r="R413" s="51">
        <v>0.77158675070033977</v>
      </c>
      <c r="S413" s="50">
        <v>55700</v>
      </c>
      <c r="T413" s="51">
        <v>0.85011659982190657</v>
      </c>
      <c r="U413" s="50">
        <v>55700</v>
      </c>
      <c r="V413" s="51">
        <v>0.60619068141737464</v>
      </c>
      <c r="W413" s="50">
        <v>55700</v>
      </c>
      <c r="X413" s="51">
        <v>0.55650279141620718</v>
      </c>
      <c r="Y413" s="50">
        <v>55700</v>
      </c>
      <c r="Z413" s="51">
        <v>0.76449556899834215</v>
      </c>
      <c r="AA413" s="50">
        <v>55700</v>
      </c>
      <c r="AB413" s="51">
        <v>0.79715480834467711</v>
      </c>
      <c r="AC413" s="50">
        <v>55700</v>
      </c>
      <c r="AD413" s="51">
        <v>0.41348460298540868</v>
      </c>
      <c r="AE413" s="50">
        <v>55700</v>
      </c>
      <c r="AF413" s="51">
        <v>0.43319288757839819</v>
      </c>
    </row>
    <row r="414" spans="1:32" x14ac:dyDescent="0.25">
      <c r="A414" s="50">
        <v>55731</v>
      </c>
      <c r="B414" s="51">
        <v>0.3915303230120693</v>
      </c>
      <c r="C414" s="50">
        <v>55731</v>
      </c>
      <c r="D414" s="51">
        <v>0.39153823570896479</v>
      </c>
      <c r="E414" s="50">
        <v>55731</v>
      </c>
      <c r="F414" s="51">
        <v>0.63719216623491604</v>
      </c>
      <c r="G414" s="50">
        <v>55731</v>
      </c>
      <c r="H414" s="51">
        <v>0.6237694505400555</v>
      </c>
      <c r="I414" s="50">
        <v>55731</v>
      </c>
      <c r="J414" s="51">
        <v>9.5481510955672547E-2</v>
      </c>
      <c r="K414" s="50">
        <v>55731</v>
      </c>
      <c r="L414" s="51">
        <v>9.5482979688546479E-2</v>
      </c>
      <c r="M414" s="50">
        <v>55731</v>
      </c>
      <c r="N414" s="51">
        <v>3.7426567238483872E-2</v>
      </c>
      <c r="O414" s="50">
        <v>55731</v>
      </c>
      <c r="P414" s="51">
        <v>5.1762837244482142E-2</v>
      </c>
      <c r="Q414" s="50">
        <v>55731</v>
      </c>
      <c r="R414" s="51">
        <v>0.77092318728103004</v>
      </c>
      <c r="S414" s="50">
        <v>55731</v>
      </c>
      <c r="T414" s="51">
        <v>0.84940309531489977</v>
      </c>
      <c r="U414" s="50">
        <v>55731</v>
      </c>
      <c r="V414" s="51">
        <v>0.60549380315587309</v>
      </c>
      <c r="W414" s="50">
        <v>55731</v>
      </c>
      <c r="X414" s="51">
        <v>0.55564683340572663</v>
      </c>
      <c r="Y414" s="50">
        <v>55731</v>
      </c>
      <c r="Z414" s="51">
        <v>0.7638377324489587</v>
      </c>
      <c r="AA414" s="50">
        <v>55731</v>
      </c>
      <c r="AB414" s="51">
        <v>0.79655584783384159</v>
      </c>
      <c r="AC414" s="50">
        <v>55731</v>
      </c>
      <c r="AD414" s="51">
        <v>0.41261629956959983</v>
      </c>
      <c r="AE414" s="50">
        <v>55731</v>
      </c>
      <c r="AF414" s="51">
        <v>0.4323269145951224</v>
      </c>
    </row>
    <row r="415" spans="1:32" x14ac:dyDescent="0.25">
      <c r="A415" s="50">
        <v>55762</v>
      </c>
      <c r="B415" s="51">
        <v>0.39067547869744507</v>
      </c>
      <c r="C415" s="50">
        <v>55762</v>
      </c>
      <c r="D415" s="51">
        <v>0.39068337216482441</v>
      </c>
      <c r="E415" s="50">
        <v>55762</v>
      </c>
      <c r="F415" s="51">
        <v>0.63649548922835164</v>
      </c>
      <c r="G415" s="50">
        <v>55762</v>
      </c>
      <c r="H415" s="51">
        <v>0.62306414824968448</v>
      </c>
      <c r="I415" s="50">
        <v>55762</v>
      </c>
      <c r="J415" s="51">
        <v>9.4938125018079619E-2</v>
      </c>
      <c r="K415" s="50">
        <v>55762</v>
      </c>
      <c r="L415" s="51">
        <v>9.4939585392384646E-2</v>
      </c>
      <c r="M415" s="50">
        <v>55762</v>
      </c>
      <c r="N415" s="51">
        <v>3.7164563346852857E-2</v>
      </c>
      <c r="O415" s="50">
        <v>55762</v>
      </c>
      <c r="P415" s="51">
        <v>5.1428722578045483E-2</v>
      </c>
      <c r="Q415" s="50">
        <v>55762</v>
      </c>
      <c r="R415" s="51">
        <v>0.77025998716307709</v>
      </c>
      <c r="S415" s="50">
        <v>55762</v>
      </c>
      <c r="T415" s="51">
        <v>0.8486896142853354</v>
      </c>
      <c r="U415" s="50">
        <v>55762</v>
      </c>
      <c r="V415" s="51">
        <v>0.60479780753049073</v>
      </c>
      <c r="W415" s="50">
        <v>55762</v>
      </c>
      <c r="X415" s="51">
        <v>0.55479179982296511</v>
      </c>
      <c r="Y415" s="50">
        <v>55762</v>
      </c>
      <c r="Z415" s="51">
        <v>0.76317989589957536</v>
      </c>
      <c r="AA415" s="50">
        <v>55762</v>
      </c>
      <c r="AB415" s="51">
        <v>0.79595688732300607</v>
      </c>
      <c r="AC415" s="50">
        <v>55762</v>
      </c>
      <c r="AD415" s="51">
        <v>0.41174918911647485</v>
      </c>
      <c r="AE415" s="50">
        <v>55762</v>
      </c>
      <c r="AF415" s="51">
        <v>0.43146211477126239</v>
      </c>
    </row>
    <row r="416" spans="1:32" x14ac:dyDescent="0.25">
      <c r="A416" s="50">
        <v>55792</v>
      </c>
      <c r="B416" s="51">
        <v>0.38984821000587322</v>
      </c>
      <c r="C416" s="50">
        <v>55792</v>
      </c>
      <c r="D416" s="51">
        <v>0.38985608486404344</v>
      </c>
      <c r="E416" s="50">
        <v>55792</v>
      </c>
      <c r="F416" s="51">
        <v>0.63582128567361174</v>
      </c>
      <c r="G416" s="50">
        <v>55792</v>
      </c>
      <c r="H416" s="51">
        <v>0.62238159764609957</v>
      </c>
      <c r="I416" s="50">
        <v>55792</v>
      </c>
      <c r="J416" s="51">
        <v>9.4412267659118712E-2</v>
      </c>
      <c r="K416" s="50">
        <v>55792</v>
      </c>
      <c r="L416" s="51">
        <v>9.4413719944486107E-2</v>
      </c>
      <c r="M416" s="50">
        <v>55792</v>
      </c>
      <c r="N416" s="51">
        <v>3.6911011193661553E-2</v>
      </c>
      <c r="O416" s="50">
        <v>55792</v>
      </c>
      <c r="P416" s="51">
        <v>5.1105385804074518E-2</v>
      </c>
      <c r="Q416" s="50">
        <v>55792</v>
      </c>
      <c r="R416" s="51">
        <v>0.76961818059731624</v>
      </c>
      <c r="S416" s="50">
        <v>55792</v>
      </c>
      <c r="T416" s="51">
        <v>0.84799914877285365</v>
      </c>
      <c r="U416" s="50">
        <v>55792</v>
      </c>
      <c r="V416" s="51">
        <v>0.60412426337689495</v>
      </c>
      <c r="W416" s="50">
        <v>55792</v>
      </c>
      <c r="X416" s="51">
        <v>0.55396434796867988</v>
      </c>
      <c r="Y416" s="50">
        <v>55792</v>
      </c>
      <c r="Z416" s="51">
        <v>0.76254327988404291</v>
      </c>
      <c r="AA416" s="50">
        <v>55792</v>
      </c>
      <c r="AB416" s="51">
        <v>0.79537724811897159</v>
      </c>
      <c r="AC416" s="50">
        <v>55792</v>
      </c>
      <c r="AD416" s="51">
        <v>0.41091004996828939</v>
      </c>
      <c r="AE416" s="50">
        <v>55792</v>
      </c>
      <c r="AF416" s="51">
        <v>0.430625211715914</v>
      </c>
    </row>
    <row r="417" spans="1:32" x14ac:dyDescent="0.25">
      <c r="A417" s="50">
        <v>55823</v>
      </c>
      <c r="B417" s="51">
        <v>0.38899336569124893</v>
      </c>
      <c r="C417" s="50">
        <v>55823</v>
      </c>
      <c r="D417" s="51">
        <v>0.38900122131990306</v>
      </c>
      <c r="E417" s="50">
        <v>55823</v>
      </c>
      <c r="F417" s="51">
        <v>0.63512460866704734</v>
      </c>
      <c r="G417" s="50">
        <v>55823</v>
      </c>
      <c r="H417" s="51">
        <v>0.62167629535572866</v>
      </c>
      <c r="I417" s="50">
        <v>55823</v>
      </c>
      <c r="J417" s="51">
        <v>9.3888769421173607E-2</v>
      </c>
      <c r="K417" s="50">
        <v>55823</v>
      </c>
      <c r="L417" s="51">
        <v>9.389021365389226E-2</v>
      </c>
      <c r="M417" s="50">
        <v>55823</v>
      </c>
      <c r="N417" s="51">
        <v>3.6649007302030544E-2</v>
      </c>
      <c r="O417" s="50">
        <v>55823</v>
      </c>
      <c r="P417" s="51">
        <v>5.0771271137637859E-2</v>
      </c>
      <c r="Q417" s="50">
        <v>55823</v>
      </c>
      <c r="R417" s="51">
        <v>0.76895498047936339</v>
      </c>
      <c r="S417" s="50">
        <v>55823</v>
      </c>
      <c r="T417" s="51">
        <v>0.84728566774328928</v>
      </c>
      <c r="U417" s="50">
        <v>55823</v>
      </c>
      <c r="V417" s="51">
        <v>0.60342826775151259</v>
      </c>
      <c r="W417" s="50">
        <v>55823</v>
      </c>
      <c r="X417" s="51">
        <v>0.55310931438591837</v>
      </c>
      <c r="Y417" s="50">
        <v>55823</v>
      </c>
      <c r="Z417" s="51">
        <v>0.76188544333465957</v>
      </c>
      <c r="AA417" s="50">
        <v>55823</v>
      </c>
      <c r="AB417" s="51">
        <v>0.79477828760813607</v>
      </c>
      <c r="AC417" s="50">
        <v>55823</v>
      </c>
      <c r="AD417" s="51">
        <v>0.41004293951516441</v>
      </c>
      <c r="AE417" s="50">
        <v>55823</v>
      </c>
      <c r="AF417" s="51">
        <v>0.429760411892054</v>
      </c>
    </row>
    <row r="418" spans="1:32" x14ac:dyDescent="0.25">
      <c r="A418" s="50">
        <v>55853</v>
      </c>
      <c r="B418" s="51">
        <v>0.38816609699967708</v>
      </c>
      <c r="C418" s="50">
        <v>55853</v>
      </c>
      <c r="D418" s="51">
        <v>0.38817393401912204</v>
      </c>
      <c r="E418" s="50">
        <v>55853</v>
      </c>
      <c r="F418" s="51">
        <v>0.63445040511230744</v>
      </c>
      <c r="G418" s="50">
        <v>55853</v>
      </c>
      <c r="H418" s="51">
        <v>0.62099374475214375</v>
      </c>
      <c r="I418" s="50">
        <v>55853</v>
      </c>
      <c r="J418" s="51">
        <v>9.3382799761860549E-2</v>
      </c>
      <c r="K418" s="50">
        <v>55853</v>
      </c>
      <c r="L418" s="51">
        <v>9.338423621156168E-2</v>
      </c>
      <c r="M418" s="50">
        <v>55853</v>
      </c>
      <c r="N418" s="51">
        <v>3.639545514883924E-2</v>
      </c>
      <c r="O418" s="50">
        <v>55853</v>
      </c>
      <c r="P418" s="51">
        <v>5.0447934363666895E-2</v>
      </c>
      <c r="Q418" s="50">
        <v>55853</v>
      </c>
      <c r="R418" s="51">
        <v>0.76831317391360254</v>
      </c>
      <c r="S418" s="50">
        <v>55853</v>
      </c>
      <c r="T418" s="51">
        <v>0.84659520223080764</v>
      </c>
      <c r="U418" s="50">
        <v>55853</v>
      </c>
      <c r="V418" s="51">
        <v>0.60275472359791671</v>
      </c>
      <c r="W418" s="50">
        <v>55853</v>
      </c>
      <c r="X418" s="51">
        <v>0.55228186253163314</v>
      </c>
      <c r="Y418" s="50">
        <v>55853</v>
      </c>
      <c r="Z418" s="51">
        <v>0.76124882731912713</v>
      </c>
      <c r="AA418" s="50">
        <v>55853</v>
      </c>
      <c r="AB418" s="51">
        <v>0.79419864840410159</v>
      </c>
      <c r="AC418" s="50">
        <v>55853</v>
      </c>
      <c r="AD418" s="51">
        <v>0.40920380036697895</v>
      </c>
      <c r="AE418" s="50">
        <v>55853</v>
      </c>
      <c r="AF418" s="51">
        <v>0.4289235088367056</v>
      </c>
    </row>
    <row r="419" spans="1:32" x14ac:dyDescent="0.25">
      <c r="A419" s="50">
        <v>55884</v>
      </c>
      <c r="B419" s="51">
        <v>0.38731125268505284</v>
      </c>
      <c r="C419" s="50">
        <v>55884</v>
      </c>
      <c r="D419" s="51">
        <v>0.38731907047498165</v>
      </c>
      <c r="E419" s="50">
        <v>55884</v>
      </c>
      <c r="F419" s="51">
        <v>0.63375372810574304</v>
      </c>
      <c r="G419" s="50">
        <v>55884</v>
      </c>
      <c r="H419" s="51">
        <v>0.62028844246177273</v>
      </c>
      <c r="I419" s="50">
        <v>55884</v>
      </c>
      <c r="J419" s="51">
        <v>9.2859964447237042E-2</v>
      </c>
      <c r="K419" s="50">
        <v>55884</v>
      </c>
      <c r="L419" s="51">
        <v>9.286139285448676E-2</v>
      </c>
      <c r="M419" s="50">
        <v>55884</v>
      </c>
      <c r="N419" s="51">
        <v>3.6133451257208231E-2</v>
      </c>
      <c r="O419" s="50">
        <v>55884</v>
      </c>
      <c r="P419" s="51">
        <v>5.0113819697230236E-2</v>
      </c>
      <c r="Q419" s="50">
        <v>55884</v>
      </c>
      <c r="R419" s="51">
        <v>0.76764997379564959</v>
      </c>
      <c r="S419" s="50">
        <v>55884</v>
      </c>
      <c r="T419" s="51">
        <v>0.84588172120124328</v>
      </c>
      <c r="U419" s="50">
        <v>55884</v>
      </c>
      <c r="V419" s="51">
        <v>0.60205872797253435</v>
      </c>
      <c r="W419" s="50">
        <v>55884</v>
      </c>
      <c r="X419" s="51">
        <v>0.55142682894887163</v>
      </c>
      <c r="Y419" s="50">
        <v>55884</v>
      </c>
      <c r="Z419" s="51">
        <v>0.76059099076974379</v>
      </c>
      <c r="AA419" s="50">
        <v>55884</v>
      </c>
      <c r="AB419" s="51">
        <v>0.79359968789326607</v>
      </c>
      <c r="AC419" s="50">
        <v>55884</v>
      </c>
      <c r="AD419" s="51">
        <v>0.40833668991385402</v>
      </c>
      <c r="AE419" s="50">
        <v>55884</v>
      </c>
      <c r="AF419" s="51">
        <v>0.4280587090128456</v>
      </c>
    </row>
    <row r="420" spans="1:32" x14ac:dyDescent="0.25">
      <c r="A420" s="50">
        <v>55915</v>
      </c>
      <c r="B420" s="51">
        <v>0.38645438462142873</v>
      </c>
      <c r="C420" s="50">
        <v>55915</v>
      </c>
      <c r="D420" s="51">
        <v>0.38646218316738623</v>
      </c>
      <c r="E420" s="50">
        <v>55915</v>
      </c>
      <c r="F420" s="51">
        <v>0.63306433892826663</v>
      </c>
      <c r="G420" s="50">
        <v>55915</v>
      </c>
      <c r="H420" s="51">
        <v>0.61959080507150743</v>
      </c>
      <c r="I420" s="50">
        <v>55915</v>
      </c>
      <c r="J420" s="51">
        <v>9.2328828781161887E-2</v>
      </c>
      <c r="K420" s="50">
        <v>55915</v>
      </c>
      <c r="L420" s="51">
        <v>9.2330249018281019E-2</v>
      </c>
      <c r="M420" s="50">
        <v>55915</v>
      </c>
      <c r="N420" s="51">
        <v>3.5871447365577215E-2</v>
      </c>
      <c r="O420" s="50">
        <v>55915</v>
      </c>
      <c r="P420" s="51">
        <v>4.977970503079357E-2</v>
      </c>
      <c r="Q420" s="50">
        <v>55915</v>
      </c>
      <c r="R420" s="51">
        <v>0.76696928705807366</v>
      </c>
      <c r="S420" s="50">
        <v>55915</v>
      </c>
      <c r="T420" s="51">
        <v>0.84514961161682656</v>
      </c>
      <c r="U420" s="50">
        <v>55915</v>
      </c>
      <c r="V420" s="51">
        <v>0.60134485823467987</v>
      </c>
      <c r="W420" s="50">
        <v>55915</v>
      </c>
      <c r="X420" s="51">
        <v>0.55055218372011538</v>
      </c>
      <c r="Y420" s="50">
        <v>55915</v>
      </c>
      <c r="Z420" s="51">
        <v>0.75992938850074665</v>
      </c>
      <c r="AA420" s="50">
        <v>55915</v>
      </c>
      <c r="AB420" s="51">
        <v>0.79299562356792808</v>
      </c>
      <c r="AC420" s="50">
        <v>55915</v>
      </c>
      <c r="AD420" s="51">
        <v>0.40745244428081828</v>
      </c>
      <c r="AE420" s="50">
        <v>55915</v>
      </c>
      <c r="AF420" s="51">
        <v>0.42717629216454855</v>
      </c>
    </row>
    <row r="421" spans="1:32" x14ac:dyDescent="0.25">
      <c r="A421" s="50">
        <v>55943</v>
      </c>
      <c r="B421" s="51">
        <v>0.38568037834356178</v>
      </c>
      <c r="C421" s="50">
        <v>55943</v>
      </c>
      <c r="D421" s="51">
        <v>0.38568815950743257</v>
      </c>
      <c r="E421" s="50">
        <v>55943</v>
      </c>
      <c r="F421" s="51">
        <v>0.63244188425099179</v>
      </c>
      <c r="G421" s="50">
        <v>55943</v>
      </c>
      <c r="H421" s="51">
        <v>0.61896091174826018</v>
      </c>
      <c r="I421" s="50">
        <v>55943</v>
      </c>
      <c r="J421" s="51">
        <v>9.1848843437781477E-2</v>
      </c>
      <c r="K421" s="50">
        <v>55943</v>
      </c>
      <c r="L421" s="51">
        <v>9.1850256291583721E-2</v>
      </c>
      <c r="M421" s="50">
        <v>55943</v>
      </c>
      <c r="N421" s="51">
        <v>3.5634798689265335E-2</v>
      </c>
      <c r="O421" s="50">
        <v>55943</v>
      </c>
      <c r="P421" s="51">
        <v>4.9477924041754009E-2</v>
      </c>
      <c r="Q421" s="50">
        <v>55943</v>
      </c>
      <c r="R421" s="51">
        <v>0.76635394675171542</v>
      </c>
      <c r="S421" s="50">
        <v>55943</v>
      </c>
      <c r="T421" s="51">
        <v>0.84448779048731482</v>
      </c>
      <c r="U421" s="50">
        <v>55943</v>
      </c>
      <c r="V421" s="51">
        <v>0.60069953451968305</v>
      </c>
      <c r="W421" s="50">
        <v>55943</v>
      </c>
      <c r="X421" s="51">
        <v>0.54976159111985401</v>
      </c>
      <c r="Y421" s="50">
        <v>55943</v>
      </c>
      <c r="Z421" s="51">
        <v>0.75933169888127705</v>
      </c>
      <c r="AA421" s="50">
        <v>55943</v>
      </c>
      <c r="AB421" s="51">
        <v>0.79244986341729373</v>
      </c>
      <c r="AC421" s="50">
        <v>55943</v>
      </c>
      <c r="AD421" s="51">
        <v>0.40665325490792847</v>
      </c>
      <c r="AE421" s="50">
        <v>55943</v>
      </c>
      <c r="AF421" s="51">
        <v>0.4263787400900822</v>
      </c>
    </row>
    <row r="422" spans="1:32" x14ac:dyDescent="0.25">
      <c r="A422" s="50">
        <v>55974</v>
      </c>
      <c r="B422" s="51">
        <v>0.38482344282163766</v>
      </c>
      <c r="C422" s="50">
        <v>55974</v>
      </c>
      <c r="D422" s="51">
        <v>0.38483120474105531</v>
      </c>
      <c r="E422" s="50">
        <v>55974</v>
      </c>
      <c r="F422" s="51">
        <v>0.63175273800115173</v>
      </c>
      <c r="G422" s="50">
        <v>55974</v>
      </c>
      <c r="H422" s="51">
        <v>0.61826352985466504</v>
      </c>
      <c r="I422" s="50">
        <v>55974</v>
      </c>
      <c r="J422" s="51">
        <v>9.1317431093324589E-2</v>
      </c>
      <c r="K422" s="50">
        <v>55974</v>
      </c>
      <c r="L422" s="51">
        <v>9.1318835772740289E-2</v>
      </c>
      <c r="M422" s="50">
        <v>55974</v>
      </c>
      <c r="N422" s="51">
        <v>3.5372794797634319E-2</v>
      </c>
      <c r="O422" s="50">
        <v>55974</v>
      </c>
      <c r="P422" s="51">
        <v>4.9143809375317343E-2</v>
      </c>
      <c r="Q422" s="50">
        <v>55974</v>
      </c>
      <c r="R422" s="51">
        <v>0.76567267712681863</v>
      </c>
      <c r="S422" s="50">
        <v>55974</v>
      </c>
      <c r="T422" s="51">
        <v>0.8437550599510697</v>
      </c>
      <c r="U422" s="50">
        <v>55974</v>
      </c>
      <c r="V422" s="51">
        <v>0.59998506897807946</v>
      </c>
      <c r="W422" s="50">
        <v>55974</v>
      </c>
      <c r="X422" s="51">
        <v>0.54888629216956475</v>
      </c>
      <c r="Y422" s="50">
        <v>55974</v>
      </c>
      <c r="Z422" s="51">
        <v>0.75866997108829282</v>
      </c>
      <c r="AA422" s="50">
        <v>55974</v>
      </c>
      <c r="AB422" s="51">
        <v>0.7918456289648057</v>
      </c>
      <c r="AC422" s="50">
        <v>55974</v>
      </c>
      <c r="AD422" s="51">
        <v>0.40576843810222907</v>
      </c>
      <c r="AE422" s="50">
        <v>55974</v>
      </c>
      <c r="AF422" s="51">
        <v>0.42549573600763724</v>
      </c>
    </row>
    <row r="423" spans="1:32" x14ac:dyDescent="0.25">
      <c r="A423" s="50">
        <v>56004</v>
      </c>
      <c r="B423" s="51">
        <v>0.38399415038106599</v>
      </c>
      <c r="C423" s="50">
        <v>56004</v>
      </c>
      <c r="D423" s="51">
        <v>0.38400189367681925</v>
      </c>
      <c r="E423" s="50">
        <v>56004</v>
      </c>
      <c r="F423" s="51">
        <v>0.63108582227550014</v>
      </c>
      <c r="G423" s="50">
        <v>56004</v>
      </c>
      <c r="H423" s="51">
        <v>0.61758864415118586</v>
      </c>
      <c r="I423" s="50">
        <v>56004</v>
      </c>
      <c r="J423" s="51">
        <v>9.0811570326297164E-2</v>
      </c>
      <c r="K423" s="50">
        <v>56004</v>
      </c>
      <c r="L423" s="51">
        <v>9.0812967224370336E-2</v>
      </c>
      <c r="M423" s="50">
        <v>56004</v>
      </c>
      <c r="N423" s="51">
        <v>3.5119242644443022E-2</v>
      </c>
      <c r="O423" s="50">
        <v>56004</v>
      </c>
      <c r="P423" s="51">
        <v>4.8820472601346379E-2</v>
      </c>
      <c r="Q423" s="50">
        <v>56004</v>
      </c>
      <c r="R423" s="51">
        <v>0.76501338394143481</v>
      </c>
      <c r="S423" s="50">
        <v>56004</v>
      </c>
      <c r="T423" s="51">
        <v>0.8430459658837357</v>
      </c>
      <c r="U423" s="50">
        <v>56004</v>
      </c>
      <c r="V423" s="51">
        <v>0.59929365071201135</v>
      </c>
      <c r="W423" s="50">
        <v>56004</v>
      </c>
      <c r="X423" s="51">
        <v>0.54803922866928467</v>
      </c>
      <c r="Y423" s="50">
        <v>56004</v>
      </c>
      <c r="Z423" s="51">
        <v>0.75802958935314679</v>
      </c>
      <c r="AA423" s="50">
        <v>56004</v>
      </c>
      <c r="AB423" s="51">
        <v>0.79126088594626898</v>
      </c>
      <c r="AC423" s="50">
        <v>56004</v>
      </c>
      <c r="AD423" s="51">
        <v>0.40491216377413286</v>
      </c>
      <c r="AE423" s="50">
        <v>56004</v>
      </c>
      <c r="AF423" s="51">
        <v>0.42464121592785187</v>
      </c>
    </row>
    <row r="424" spans="1:32" x14ac:dyDescent="0.25">
      <c r="A424" s="50">
        <v>56035</v>
      </c>
      <c r="B424" s="51">
        <v>0.38313721485914187</v>
      </c>
      <c r="C424" s="50">
        <v>56035</v>
      </c>
      <c r="D424" s="51">
        <v>0.38314493891044199</v>
      </c>
      <c r="E424" s="50">
        <v>56035</v>
      </c>
      <c r="F424" s="51">
        <v>0.63039667602566007</v>
      </c>
      <c r="G424" s="50">
        <v>56035</v>
      </c>
      <c r="H424" s="51">
        <v>0.61689126225759061</v>
      </c>
      <c r="I424" s="50">
        <v>56035</v>
      </c>
      <c r="J424" s="51">
        <v>9.0289147173421541E-2</v>
      </c>
      <c r="K424" s="50">
        <v>56035</v>
      </c>
      <c r="L424" s="51">
        <v>9.029053603538327E-2</v>
      </c>
      <c r="M424" s="50">
        <v>56035</v>
      </c>
      <c r="N424" s="51">
        <v>3.4857238752812006E-2</v>
      </c>
      <c r="O424" s="50">
        <v>56035</v>
      </c>
      <c r="P424" s="51">
        <v>4.848635793490972E-2</v>
      </c>
      <c r="Q424" s="50">
        <v>56035</v>
      </c>
      <c r="R424" s="51">
        <v>0.76433211431653802</v>
      </c>
      <c r="S424" s="50">
        <v>56035</v>
      </c>
      <c r="T424" s="51">
        <v>0.84231323534749059</v>
      </c>
      <c r="U424" s="50">
        <v>56035</v>
      </c>
      <c r="V424" s="51">
        <v>0.59857918517040776</v>
      </c>
      <c r="W424" s="50">
        <v>56035</v>
      </c>
      <c r="X424" s="51">
        <v>0.5471639297189953</v>
      </c>
      <c r="Y424" s="50">
        <v>56035</v>
      </c>
      <c r="Z424" s="51">
        <v>0.75736786156016256</v>
      </c>
      <c r="AA424" s="50">
        <v>56035</v>
      </c>
      <c r="AB424" s="51">
        <v>0.79065665149378095</v>
      </c>
      <c r="AC424" s="50">
        <v>56035</v>
      </c>
      <c r="AD424" s="51">
        <v>0.40402734696843345</v>
      </c>
      <c r="AE424" s="50">
        <v>56035</v>
      </c>
      <c r="AF424" s="51">
        <v>0.42375821184540691</v>
      </c>
    </row>
    <row r="425" spans="1:32" x14ac:dyDescent="0.25">
      <c r="A425" s="50">
        <v>56065</v>
      </c>
      <c r="B425" s="51">
        <v>0.38230792241857015</v>
      </c>
      <c r="C425" s="50">
        <v>56065</v>
      </c>
      <c r="D425" s="51">
        <v>0.38231562784620593</v>
      </c>
      <c r="E425" s="50">
        <v>56065</v>
      </c>
      <c r="F425" s="51">
        <v>0.62972976030000838</v>
      </c>
      <c r="G425" s="50">
        <v>56065</v>
      </c>
      <c r="H425" s="51">
        <v>0.61621637655411143</v>
      </c>
      <c r="I425" s="50">
        <v>56065</v>
      </c>
      <c r="J425" s="51">
        <v>8.9783576380316102E-2</v>
      </c>
      <c r="K425" s="50">
        <v>56065</v>
      </c>
      <c r="L425" s="51">
        <v>8.978495746539579E-2</v>
      </c>
      <c r="M425" s="50">
        <v>56065</v>
      </c>
      <c r="N425" s="51">
        <v>3.4603686599620709E-2</v>
      </c>
      <c r="O425" s="50">
        <v>56065</v>
      </c>
      <c r="P425" s="51">
        <v>4.8163021160938763E-2</v>
      </c>
      <c r="Q425" s="50">
        <v>56065</v>
      </c>
      <c r="R425" s="51">
        <v>0.7636728211311542</v>
      </c>
      <c r="S425" s="50">
        <v>56065</v>
      </c>
      <c r="T425" s="51">
        <v>0.84160414128015659</v>
      </c>
      <c r="U425" s="50">
        <v>56065</v>
      </c>
      <c r="V425" s="51">
        <v>0.59788776690433976</v>
      </c>
      <c r="W425" s="50">
        <v>56065</v>
      </c>
      <c r="X425" s="51">
        <v>0.54631686621871522</v>
      </c>
      <c r="Y425" s="50">
        <v>56065</v>
      </c>
      <c r="Z425" s="51">
        <v>0.75672747982501654</v>
      </c>
      <c r="AA425" s="50">
        <v>56065</v>
      </c>
      <c r="AB425" s="51">
        <v>0.79007190847524411</v>
      </c>
      <c r="AC425" s="50">
        <v>56065</v>
      </c>
      <c r="AD425" s="51">
        <v>0.40317107264033725</v>
      </c>
      <c r="AE425" s="50">
        <v>56065</v>
      </c>
      <c r="AF425" s="51">
        <v>0.42290369176562154</v>
      </c>
    </row>
    <row r="426" spans="1:32" x14ac:dyDescent="0.25">
      <c r="A426" s="50">
        <v>56096</v>
      </c>
      <c r="B426" s="51">
        <v>0.38147770084178823</v>
      </c>
      <c r="C426" s="50">
        <v>56096</v>
      </c>
      <c r="D426" s="51">
        <v>0.38148538758974126</v>
      </c>
      <c r="E426" s="50">
        <v>56096</v>
      </c>
      <c r="F426" s="51">
        <v>0.62904061405016842</v>
      </c>
      <c r="G426" s="50">
        <v>56096</v>
      </c>
      <c r="H426" s="51">
        <v>0.61551899466051629</v>
      </c>
      <c r="I426" s="50">
        <v>56096</v>
      </c>
      <c r="J426" s="51">
        <v>8.9275048295602413E-2</v>
      </c>
      <c r="K426" s="50">
        <v>56096</v>
      </c>
      <c r="L426" s="51">
        <v>8.9276421558309949E-2</v>
      </c>
      <c r="M426" s="50">
        <v>56096</v>
      </c>
      <c r="N426" s="51">
        <v>3.4341682707989693E-2</v>
      </c>
      <c r="O426" s="50">
        <v>56096</v>
      </c>
      <c r="P426" s="51">
        <v>4.7828906494502096E-2</v>
      </c>
      <c r="Q426" s="50">
        <v>56096</v>
      </c>
      <c r="R426" s="51">
        <v>0.7630051657302207</v>
      </c>
      <c r="S426" s="50">
        <v>56096</v>
      </c>
      <c r="T426" s="51">
        <v>0.84087430420424958</v>
      </c>
      <c r="U426" s="50">
        <v>56096</v>
      </c>
      <c r="V426" s="51">
        <v>0.59720344488511468</v>
      </c>
      <c r="W426" s="50">
        <v>56096</v>
      </c>
      <c r="X426" s="51">
        <v>0.54547322768781492</v>
      </c>
      <c r="Y426" s="50">
        <v>56096</v>
      </c>
      <c r="Z426" s="51">
        <v>0.7560657520320323</v>
      </c>
      <c r="AA426" s="50">
        <v>56096</v>
      </c>
      <c r="AB426" s="51">
        <v>0.78946767402275608</v>
      </c>
      <c r="AC426" s="50">
        <v>56096</v>
      </c>
      <c r="AD426" s="51">
        <v>0.40232596827226952</v>
      </c>
      <c r="AE426" s="50">
        <v>56096</v>
      </c>
      <c r="AF426" s="51">
        <v>0.42205985553431474</v>
      </c>
    </row>
    <row r="427" spans="1:32" x14ac:dyDescent="0.25">
      <c r="A427" s="50">
        <v>56127</v>
      </c>
      <c r="B427" s="51">
        <v>0.38064836972984439</v>
      </c>
      <c r="C427" s="50">
        <v>56127</v>
      </c>
      <c r="D427" s="51">
        <v>0.38065603781694035</v>
      </c>
      <c r="E427" s="50">
        <v>56127</v>
      </c>
      <c r="F427" s="51">
        <v>0.62835146780032836</v>
      </c>
      <c r="G427" s="50">
        <v>56127</v>
      </c>
      <c r="H427" s="51">
        <v>0.61482161276692116</v>
      </c>
      <c r="I427" s="50">
        <v>56127</v>
      </c>
      <c r="J427" s="51">
        <v>8.8766983379827469E-2</v>
      </c>
      <c r="K427" s="50">
        <v>56127</v>
      </c>
      <c r="L427" s="51">
        <v>8.8768348827287499E-2</v>
      </c>
      <c r="M427" s="50">
        <v>56127</v>
      </c>
      <c r="N427" s="51">
        <v>3.4079678816358684E-2</v>
      </c>
      <c r="O427" s="50">
        <v>56127</v>
      </c>
      <c r="P427" s="51">
        <v>4.749479182806543E-2</v>
      </c>
      <c r="Q427" s="50">
        <v>56127</v>
      </c>
      <c r="R427" s="51">
        <v>0.76233796413675281</v>
      </c>
      <c r="S427" s="50">
        <v>56127</v>
      </c>
      <c r="T427" s="51">
        <v>0.8401445635770205</v>
      </c>
      <c r="U427" s="50">
        <v>56127</v>
      </c>
      <c r="V427" s="51">
        <v>0.59652012764996898</v>
      </c>
      <c r="W427" s="50">
        <v>56127</v>
      </c>
      <c r="X427" s="51">
        <v>0.54463064450422749</v>
      </c>
      <c r="Y427" s="50">
        <v>56127</v>
      </c>
      <c r="Z427" s="51">
        <v>0.75540402423904818</v>
      </c>
      <c r="AA427" s="50">
        <v>56127</v>
      </c>
      <c r="AB427" s="51">
        <v>0.78886343957026805</v>
      </c>
      <c r="AC427" s="50">
        <v>56127</v>
      </c>
      <c r="AD427" s="51">
        <v>0.4014821876521229</v>
      </c>
      <c r="AE427" s="50">
        <v>56127</v>
      </c>
      <c r="AF427" s="51">
        <v>0.42121732489804592</v>
      </c>
    </row>
    <row r="428" spans="1:32" x14ac:dyDescent="0.25">
      <c r="A428" s="50">
        <v>56157</v>
      </c>
      <c r="B428" s="51">
        <v>0.37984579123441486</v>
      </c>
      <c r="C428" s="50">
        <v>56157</v>
      </c>
      <c r="D428" s="51">
        <v>0.37985344126261689</v>
      </c>
      <c r="E428" s="50">
        <v>56157</v>
      </c>
      <c r="F428" s="51">
        <v>0.62768455207467666</v>
      </c>
      <c r="G428" s="50">
        <v>56157</v>
      </c>
      <c r="H428" s="51">
        <v>0.61414672706344198</v>
      </c>
      <c r="I428" s="50">
        <v>56157</v>
      </c>
      <c r="J428" s="51">
        <v>8.8275307654883964E-2</v>
      </c>
      <c r="K428" s="50">
        <v>56157</v>
      </c>
      <c r="L428" s="51">
        <v>8.8276665539201243E-2</v>
      </c>
      <c r="M428" s="50">
        <v>56157</v>
      </c>
      <c r="N428" s="51">
        <v>3.382612666316738E-2</v>
      </c>
      <c r="O428" s="50">
        <v>56157</v>
      </c>
      <c r="P428" s="51">
        <v>4.7171455054094473E-2</v>
      </c>
      <c r="Q428" s="50">
        <v>56157</v>
      </c>
      <c r="R428" s="51">
        <v>0.76169228517533216</v>
      </c>
      <c r="S428" s="50">
        <v>56157</v>
      </c>
      <c r="T428" s="51">
        <v>0.83943836297002472</v>
      </c>
      <c r="U428" s="50">
        <v>56157</v>
      </c>
      <c r="V428" s="51">
        <v>0.59585885290627949</v>
      </c>
      <c r="W428" s="50">
        <v>56157</v>
      </c>
      <c r="X428" s="51">
        <v>0.54381524142333648</v>
      </c>
      <c r="Y428" s="50">
        <v>56157</v>
      </c>
      <c r="Z428" s="51">
        <v>0.75476364250390215</v>
      </c>
      <c r="AA428" s="50">
        <v>56157</v>
      </c>
      <c r="AB428" s="51">
        <v>0.78827869655173122</v>
      </c>
      <c r="AC428" s="50">
        <v>56157</v>
      </c>
      <c r="AD428" s="51">
        <v>0.40066562576165837</v>
      </c>
      <c r="AE428" s="50">
        <v>56157</v>
      </c>
      <c r="AF428" s="51">
        <v>0.42040197266939866</v>
      </c>
    </row>
    <row r="429" spans="1:32" x14ac:dyDescent="0.25">
      <c r="A429" s="50">
        <v>56188</v>
      </c>
      <c r="B429" s="51">
        <v>0.37901646012247103</v>
      </c>
      <c r="C429" s="50">
        <v>56188</v>
      </c>
      <c r="D429" s="51">
        <v>0.37902409148981597</v>
      </c>
      <c r="E429" s="50">
        <v>56188</v>
      </c>
      <c r="F429" s="51">
        <v>0.6269954058248367</v>
      </c>
      <c r="G429" s="50">
        <v>56188</v>
      </c>
      <c r="H429" s="51">
        <v>0.61344934516984673</v>
      </c>
      <c r="I429" s="50">
        <v>56188</v>
      </c>
      <c r="J429" s="51">
        <v>8.7785837704027078E-2</v>
      </c>
      <c r="K429" s="50">
        <v>56188</v>
      </c>
      <c r="L429" s="51">
        <v>8.7787188059131632E-2</v>
      </c>
      <c r="M429" s="50">
        <v>56188</v>
      </c>
      <c r="N429" s="51">
        <v>3.3564122771536364E-2</v>
      </c>
      <c r="O429" s="50">
        <v>56188</v>
      </c>
      <c r="P429" s="51">
        <v>4.6837340387657814E-2</v>
      </c>
      <c r="Q429" s="50">
        <v>56188</v>
      </c>
      <c r="R429" s="51">
        <v>0.76102508358186416</v>
      </c>
      <c r="S429" s="50">
        <v>56188</v>
      </c>
      <c r="T429" s="51">
        <v>0.83870862234279564</v>
      </c>
      <c r="U429" s="50">
        <v>56188</v>
      </c>
      <c r="V429" s="51">
        <v>0.59517553567113368</v>
      </c>
      <c r="W429" s="50">
        <v>56188</v>
      </c>
      <c r="X429" s="51">
        <v>0.54297265823974905</v>
      </c>
      <c r="Y429" s="50">
        <v>56188</v>
      </c>
      <c r="Z429" s="51">
        <v>0.75410191471091792</v>
      </c>
      <c r="AA429" s="50">
        <v>56188</v>
      </c>
      <c r="AB429" s="51">
        <v>0.78767446209924319</v>
      </c>
      <c r="AC429" s="50">
        <v>56188</v>
      </c>
      <c r="AD429" s="51">
        <v>0.3998218451415117</v>
      </c>
      <c r="AE429" s="50">
        <v>56188</v>
      </c>
      <c r="AF429" s="51">
        <v>0.41955944203312978</v>
      </c>
    </row>
    <row r="430" spans="1:32" x14ac:dyDescent="0.25">
      <c r="A430" s="50">
        <v>56218</v>
      </c>
      <c r="B430" s="51">
        <v>0.3782138816270415</v>
      </c>
      <c r="C430" s="50">
        <v>56218</v>
      </c>
      <c r="D430" s="51">
        <v>0.37822149493549251</v>
      </c>
      <c r="E430" s="50">
        <v>56218</v>
      </c>
      <c r="F430" s="51">
        <v>0.62632849009918501</v>
      </c>
      <c r="G430" s="50">
        <v>56218</v>
      </c>
      <c r="H430" s="51">
        <v>0.61277445946636755</v>
      </c>
      <c r="I430" s="50">
        <v>56218</v>
      </c>
      <c r="J430" s="51">
        <v>8.7312756944001646E-2</v>
      </c>
      <c r="K430" s="50">
        <v>56218</v>
      </c>
      <c r="L430" s="51">
        <v>8.7314100021998214E-2</v>
      </c>
      <c r="M430" s="50">
        <v>56218</v>
      </c>
      <c r="N430" s="51">
        <v>3.3310570618345067E-2</v>
      </c>
      <c r="O430" s="50">
        <v>56218</v>
      </c>
      <c r="P430" s="51">
        <v>4.651400361368685E-2</v>
      </c>
      <c r="Q430" s="50">
        <v>56218</v>
      </c>
      <c r="R430" s="51">
        <v>0.76037940462044362</v>
      </c>
      <c r="S430" s="50">
        <v>56218</v>
      </c>
      <c r="T430" s="51">
        <v>0.83800242173579975</v>
      </c>
      <c r="U430" s="50">
        <v>56218</v>
      </c>
      <c r="V430" s="51">
        <v>0.5945142609274443</v>
      </c>
      <c r="W430" s="50">
        <v>56218</v>
      </c>
      <c r="X430" s="51">
        <v>0.54215725515885804</v>
      </c>
      <c r="Y430" s="50">
        <v>56218</v>
      </c>
      <c r="Z430" s="51">
        <v>0.7534615329757719</v>
      </c>
      <c r="AA430" s="50">
        <v>56218</v>
      </c>
      <c r="AB430" s="51">
        <v>0.78708971908070635</v>
      </c>
      <c r="AC430" s="50">
        <v>56218</v>
      </c>
      <c r="AD430" s="51">
        <v>0.39900528325104723</v>
      </c>
      <c r="AE430" s="50">
        <v>56218</v>
      </c>
      <c r="AF430" s="51">
        <v>0.41874408980448252</v>
      </c>
    </row>
    <row r="431" spans="1:32" x14ac:dyDescent="0.25">
      <c r="A431" s="50">
        <v>56249</v>
      </c>
      <c r="B431" s="51">
        <v>0.37738455051509767</v>
      </c>
      <c r="C431" s="50">
        <v>56249</v>
      </c>
      <c r="D431" s="51">
        <v>0.37739214516269159</v>
      </c>
      <c r="E431" s="50">
        <v>56249</v>
      </c>
      <c r="F431" s="51">
        <v>0.62563934384934494</v>
      </c>
      <c r="G431" s="50">
        <v>56249</v>
      </c>
      <c r="H431" s="51">
        <v>0.61207707757277241</v>
      </c>
      <c r="I431" s="50">
        <v>56249</v>
      </c>
      <c r="J431" s="51">
        <v>8.6823906825308689E-2</v>
      </c>
      <c r="K431" s="50">
        <v>56249</v>
      </c>
      <c r="L431" s="51">
        <v>8.682524238362703E-2</v>
      </c>
      <c r="M431" s="50">
        <v>56249</v>
      </c>
      <c r="N431" s="51">
        <v>3.3048566726714051E-2</v>
      </c>
      <c r="O431" s="50">
        <v>56249</v>
      </c>
      <c r="P431" s="51">
        <v>4.6179888947250183E-2</v>
      </c>
      <c r="Q431" s="50">
        <v>56249</v>
      </c>
      <c r="R431" s="51">
        <v>0.75971220302697562</v>
      </c>
      <c r="S431" s="50">
        <v>56249</v>
      </c>
      <c r="T431" s="51">
        <v>0.83727268110857067</v>
      </c>
      <c r="U431" s="50">
        <v>56249</v>
      </c>
      <c r="V431" s="51">
        <v>0.5938309436922985</v>
      </c>
      <c r="W431" s="50">
        <v>56249</v>
      </c>
      <c r="X431" s="51">
        <v>0.54131467197527072</v>
      </c>
      <c r="Y431" s="50">
        <v>56249</v>
      </c>
      <c r="Z431" s="51">
        <v>0.75279980518278766</v>
      </c>
      <c r="AA431" s="50">
        <v>56249</v>
      </c>
      <c r="AB431" s="51">
        <v>0.78648548462821832</v>
      </c>
      <c r="AC431" s="50">
        <v>56249</v>
      </c>
      <c r="AD431" s="51">
        <v>0.39816150263090055</v>
      </c>
      <c r="AE431" s="50">
        <v>56249</v>
      </c>
      <c r="AF431" s="51">
        <v>0.4179015591682137</v>
      </c>
    </row>
    <row r="432" spans="1:32" x14ac:dyDescent="0.25">
      <c r="A432" s="50">
        <v>56280</v>
      </c>
      <c r="B432" s="51">
        <v>0.37655320277964155</v>
      </c>
      <c r="C432" s="50">
        <v>56280</v>
      </c>
      <c r="D432" s="51">
        <v>0.37656077875211019</v>
      </c>
      <c r="E432" s="50">
        <v>56280</v>
      </c>
      <c r="F432" s="51">
        <v>0.62495922961737804</v>
      </c>
      <c r="G432" s="50">
        <v>56280</v>
      </c>
      <c r="H432" s="51">
        <v>0.61138911824550046</v>
      </c>
      <c r="I432" s="50">
        <v>56280</v>
      </c>
      <c r="J432" s="51">
        <v>8.6327295892304215E-2</v>
      </c>
      <c r="K432" s="50">
        <v>56280</v>
      </c>
      <c r="L432" s="51">
        <v>8.6328623811564503E-2</v>
      </c>
      <c r="M432" s="50">
        <v>56280</v>
      </c>
      <c r="N432" s="51">
        <v>3.2786562835083036E-2</v>
      </c>
      <c r="O432" s="50">
        <v>56280</v>
      </c>
      <c r="P432" s="51">
        <v>4.5845774280813524E-2</v>
      </c>
      <c r="Q432" s="50">
        <v>56280</v>
      </c>
      <c r="R432" s="51">
        <v>0.75902761576446487</v>
      </c>
      <c r="S432" s="50">
        <v>56280</v>
      </c>
      <c r="T432" s="51">
        <v>0.83652429358353564</v>
      </c>
      <c r="U432" s="50">
        <v>56280</v>
      </c>
      <c r="V432" s="51">
        <v>0.59313000400907367</v>
      </c>
      <c r="W432" s="50">
        <v>56280</v>
      </c>
      <c r="X432" s="51">
        <v>0.54045283863683757</v>
      </c>
      <c r="Y432" s="50">
        <v>56280</v>
      </c>
      <c r="Z432" s="51">
        <v>0.75213578849548923</v>
      </c>
      <c r="AA432" s="50">
        <v>56280</v>
      </c>
      <c r="AB432" s="51">
        <v>0.78587745364243677</v>
      </c>
      <c r="AC432" s="50">
        <v>56280</v>
      </c>
      <c r="AD432" s="51">
        <v>0.39730100174176775</v>
      </c>
      <c r="AE432" s="50">
        <v>56280</v>
      </c>
      <c r="AF432" s="51">
        <v>0.41704181897616904</v>
      </c>
    </row>
    <row r="433" spans="1:32" x14ac:dyDescent="0.25">
      <c r="A433" s="50">
        <v>56308</v>
      </c>
      <c r="B433" s="51">
        <v>0.37580224733529582</v>
      </c>
      <c r="C433" s="50">
        <v>56308</v>
      </c>
      <c r="D433" s="51">
        <v>0.37580980643947987</v>
      </c>
      <c r="E433" s="50">
        <v>56308</v>
      </c>
      <c r="F433" s="51">
        <v>0.62434520482345146</v>
      </c>
      <c r="G433" s="50">
        <v>56308</v>
      </c>
      <c r="H433" s="51">
        <v>0.61076801931748825</v>
      </c>
      <c r="I433" s="50">
        <v>56308</v>
      </c>
      <c r="J433" s="51">
        <v>8.5878510422923035E-2</v>
      </c>
      <c r="K433" s="50">
        <v>56308</v>
      </c>
      <c r="L433" s="51">
        <v>8.5879831438794754E-2</v>
      </c>
      <c r="M433" s="50">
        <v>56308</v>
      </c>
      <c r="N433" s="51">
        <v>3.2549914158771162E-2</v>
      </c>
      <c r="O433" s="50">
        <v>56308</v>
      </c>
      <c r="P433" s="51">
        <v>4.5543993291773957E-2</v>
      </c>
      <c r="Q433" s="50">
        <v>56308</v>
      </c>
      <c r="R433" s="51">
        <v>0.75840875544269903</v>
      </c>
      <c r="S433" s="50">
        <v>56308</v>
      </c>
      <c r="T433" s="51">
        <v>0.83584776924572057</v>
      </c>
      <c r="U433" s="50">
        <v>56308</v>
      </c>
      <c r="V433" s="51">
        <v>0.59249636663008975</v>
      </c>
      <c r="W433" s="50">
        <v>56308</v>
      </c>
      <c r="X433" s="51">
        <v>0.53967382895014993</v>
      </c>
      <c r="Y433" s="50">
        <v>56308</v>
      </c>
      <c r="Z433" s="51">
        <v>0.7515359625746596</v>
      </c>
      <c r="AA433" s="50">
        <v>56308</v>
      </c>
      <c r="AB433" s="51">
        <v>0.78532815006072854</v>
      </c>
      <c r="AC433" s="50">
        <v>56308</v>
      </c>
      <c r="AD433" s="51">
        <v>0.39652327172628049</v>
      </c>
      <c r="AE433" s="50">
        <v>56308</v>
      </c>
      <c r="AF433" s="51">
        <v>0.41626476131070755</v>
      </c>
    </row>
    <row r="434" spans="1:32" x14ac:dyDescent="0.25">
      <c r="A434" s="50">
        <v>56339</v>
      </c>
      <c r="B434" s="51">
        <v>0.37497083237905593</v>
      </c>
      <c r="C434" s="50">
        <v>56339</v>
      </c>
      <c r="D434" s="51">
        <v>0.37497837280763913</v>
      </c>
      <c r="E434" s="50">
        <v>56339</v>
      </c>
      <c r="F434" s="51">
        <v>0.62366539165874701</v>
      </c>
      <c r="G434" s="50">
        <v>56339</v>
      </c>
      <c r="H434" s="51">
        <v>0.61008037407576043</v>
      </c>
      <c r="I434" s="50">
        <v>56339</v>
      </c>
      <c r="J434" s="51">
        <v>8.5381640796108174E-2</v>
      </c>
      <c r="K434" s="50">
        <v>56339</v>
      </c>
      <c r="L434" s="51">
        <v>8.538295416894251E-2</v>
      </c>
      <c r="M434" s="50">
        <v>56339</v>
      </c>
      <c r="N434" s="51">
        <v>3.2287910267140146E-2</v>
      </c>
      <c r="O434" s="50">
        <v>56339</v>
      </c>
      <c r="P434" s="51">
        <v>4.5209878625337298E-2</v>
      </c>
      <c r="Q434" s="50">
        <v>56339</v>
      </c>
      <c r="R434" s="51">
        <v>0.7577235886578868</v>
      </c>
      <c r="S434" s="50">
        <v>56339</v>
      </c>
      <c r="T434" s="51">
        <v>0.83509876015742524</v>
      </c>
      <c r="U434" s="50">
        <v>56339</v>
      </c>
      <c r="V434" s="51">
        <v>0.59179483953192902</v>
      </c>
      <c r="W434" s="50">
        <v>56339</v>
      </c>
      <c r="X434" s="51">
        <v>0.53881135393988855</v>
      </c>
      <c r="Y434" s="50">
        <v>56339</v>
      </c>
      <c r="Z434" s="51">
        <v>0.75087186959088403</v>
      </c>
      <c r="AA434" s="50">
        <v>56339</v>
      </c>
      <c r="AB434" s="51">
        <v>0.78471999252383717</v>
      </c>
      <c r="AC434" s="50">
        <v>56339</v>
      </c>
      <c r="AD434" s="51">
        <v>0.39566221349484815</v>
      </c>
      <c r="AE434" s="50">
        <v>56339</v>
      </c>
      <c r="AF434" s="51">
        <v>0.41540444746680372</v>
      </c>
    </row>
    <row r="435" spans="1:32" x14ac:dyDescent="0.25">
      <c r="A435" s="50">
        <v>56369</v>
      </c>
      <c r="B435" s="51">
        <v>0.37416623726011411</v>
      </c>
      <c r="C435" s="50">
        <v>56369</v>
      </c>
      <c r="D435" s="51">
        <v>0.37417375961553523</v>
      </c>
      <c r="E435" s="50">
        <v>56369</v>
      </c>
      <c r="F435" s="51">
        <v>0.62300750795096849</v>
      </c>
      <c r="G435" s="50">
        <v>56369</v>
      </c>
      <c r="H435" s="51">
        <v>0.60941491093860445</v>
      </c>
      <c r="I435" s="50">
        <v>56369</v>
      </c>
      <c r="J435" s="51">
        <v>8.4908661850182282E-2</v>
      </c>
      <c r="K435" s="50">
        <v>56369</v>
      </c>
      <c r="L435" s="51">
        <v>8.4909967947474824E-2</v>
      </c>
      <c r="M435" s="50">
        <v>56369</v>
      </c>
      <c r="N435" s="51">
        <v>3.2034358113948849E-2</v>
      </c>
      <c r="O435" s="50">
        <v>56369</v>
      </c>
      <c r="P435" s="51">
        <v>4.4886541851366341E-2</v>
      </c>
      <c r="Q435" s="50">
        <v>56369</v>
      </c>
      <c r="R435" s="51">
        <v>0.75706052402742341</v>
      </c>
      <c r="S435" s="50">
        <v>56369</v>
      </c>
      <c r="T435" s="51">
        <v>0.8343739126526234</v>
      </c>
      <c r="U435" s="50">
        <v>56369</v>
      </c>
      <c r="V435" s="51">
        <v>0.59111594234016052</v>
      </c>
      <c r="W435" s="50">
        <v>56369</v>
      </c>
      <c r="X435" s="51">
        <v>0.53797670070415182</v>
      </c>
      <c r="Y435" s="50">
        <v>56369</v>
      </c>
      <c r="Z435" s="51">
        <v>0.7502291989614237</v>
      </c>
      <c r="AA435" s="50">
        <v>56369</v>
      </c>
      <c r="AB435" s="51">
        <v>0.78413145297200681</v>
      </c>
      <c r="AC435" s="50">
        <v>56369</v>
      </c>
      <c r="AD435" s="51">
        <v>0.39482893133539754</v>
      </c>
      <c r="AE435" s="50">
        <v>56369</v>
      </c>
      <c r="AF435" s="51">
        <v>0.41457188568238063</v>
      </c>
    </row>
    <row r="436" spans="1:32" x14ac:dyDescent="0.25">
      <c r="A436" s="50">
        <v>56400</v>
      </c>
      <c r="B436" s="51">
        <v>0.37333482230387421</v>
      </c>
      <c r="C436" s="50">
        <v>56400</v>
      </c>
      <c r="D436" s="51">
        <v>0.37334232598369449</v>
      </c>
      <c r="E436" s="50">
        <v>56400</v>
      </c>
      <c r="F436" s="51">
        <v>0.62232769478626404</v>
      </c>
      <c r="G436" s="50">
        <v>56400</v>
      </c>
      <c r="H436" s="51">
        <v>0.60872726569687663</v>
      </c>
      <c r="I436" s="50">
        <v>56400</v>
      </c>
      <c r="J436" s="51">
        <v>8.4420197102013733E-2</v>
      </c>
      <c r="K436" s="50">
        <v>56400</v>
      </c>
      <c r="L436" s="51">
        <v>8.4421495685555972E-2</v>
      </c>
      <c r="M436" s="50">
        <v>56400</v>
      </c>
      <c r="N436" s="51">
        <v>3.1772354222317833E-2</v>
      </c>
      <c r="O436" s="50">
        <v>56400</v>
      </c>
      <c r="P436" s="51">
        <v>4.4552427184929674E-2</v>
      </c>
      <c r="Q436" s="50">
        <v>56400</v>
      </c>
      <c r="R436" s="51">
        <v>0.75637535724261129</v>
      </c>
      <c r="S436" s="50">
        <v>56400</v>
      </c>
      <c r="T436" s="51">
        <v>0.83362490356432806</v>
      </c>
      <c r="U436" s="50">
        <v>56400</v>
      </c>
      <c r="V436" s="51">
        <v>0.59041441524199978</v>
      </c>
      <c r="W436" s="50">
        <v>56400</v>
      </c>
      <c r="X436" s="51">
        <v>0.53711422569389045</v>
      </c>
      <c r="Y436" s="50">
        <v>56400</v>
      </c>
      <c r="Z436" s="51">
        <v>0.74956510597764814</v>
      </c>
      <c r="AA436" s="50">
        <v>56400</v>
      </c>
      <c r="AB436" s="51">
        <v>0.78352329543511545</v>
      </c>
      <c r="AC436" s="50">
        <v>56400</v>
      </c>
      <c r="AD436" s="51">
        <v>0.39396787310396519</v>
      </c>
      <c r="AE436" s="50">
        <v>56400</v>
      </c>
      <c r="AF436" s="51">
        <v>0.41371157183847679</v>
      </c>
    </row>
    <row r="437" spans="1:32" x14ac:dyDescent="0.25">
      <c r="A437" s="50">
        <v>56430</v>
      </c>
      <c r="B437" s="51">
        <v>0.37253022718493239</v>
      </c>
      <c r="C437" s="50">
        <v>56430</v>
      </c>
      <c r="D437" s="51">
        <v>0.37253771279159054</v>
      </c>
      <c r="E437" s="50">
        <v>56430</v>
      </c>
      <c r="F437" s="51">
        <v>0.62166981107848551</v>
      </c>
      <c r="G437" s="50">
        <v>56430</v>
      </c>
      <c r="H437" s="51">
        <v>0.60806180255972064</v>
      </c>
      <c r="I437" s="50">
        <v>56430</v>
      </c>
      <c r="J437" s="51">
        <v>8.3947489281205462E-2</v>
      </c>
      <c r="K437" s="50">
        <v>56430</v>
      </c>
      <c r="L437" s="51">
        <v>8.3948780593376446E-2</v>
      </c>
      <c r="M437" s="50">
        <v>56430</v>
      </c>
      <c r="N437" s="51">
        <v>3.1518802069126536E-2</v>
      </c>
      <c r="O437" s="50">
        <v>56430</v>
      </c>
      <c r="P437" s="51">
        <v>4.422909041095871E-2</v>
      </c>
      <c r="Q437" s="50">
        <v>56430</v>
      </c>
      <c r="R437" s="51">
        <v>0.75571229261214778</v>
      </c>
      <c r="S437" s="50">
        <v>56430</v>
      </c>
      <c r="T437" s="51">
        <v>0.83290005605952622</v>
      </c>
      <c r="U437" s="50">
        <v>56430</v>
      </c>
      <c r="V437" s="51">
        <v>0.58973551805023128</v>
      </c>
      <c r="W437" s="50">
        <v>56430</v>
      </c>
      <c r="X437" s="51">
        <v>0.53627957245815372</v>
      </c>
      <c r="Y437" s="50">
        <v>56430</v>
      </c>
      <c r="Z437" s="51">
        <v>0.74892243534818781</v>
      </c>
      <c r="AA437" s="50">
        <v>56430</v>
      </c>
      <c r="AB437" s="51">
        <v>0.78293475588328509</v>
      </c>
      <c r="AC437" s="50">
        <v>56430</v>
      </c>
      <c r="AD437" s="51">
        <v>0.39313459094451453</v>
      </c>
      <c r="AE437" s="50">
        <v>56430</v>
      </c>
      <c r="AF437" s="51">
        <v>0.4128790100540537</v>
      </c>
    </row>
    <row r="438" spans="1:32" x14ac:dyDescent="0.25">
      <c r="A438" s="50">
        <v>56461</v>
      </c>
      <c r="B438" s="51">
        <v>0.37172476639801638</v>
      </c>
      <c r="C438" s="50">
        <v>56461</v>
      </c>
      <c r="D438" s="51">
        <v>0.37173223387686627</v>
      </c>
      <c r="E438" s="50">
        <v>56461</v>
      </c>
      <c r="F438" s="51">
        <v>0.62098999791378107</v>
      </c>
      <c r="G438" s="50">
        <v>56461</v>
      </c>
      <c r="H438" s="51">
        <v>0.60737415731799282</v>
      </c>
      <c r="I438" s="50">
        <v>56461</v>
      </c>
      <c r="J438" s="51">
        <v>8.3472016397836885E-2</v>
      </c>
      <c r="K438" s="50">
        <v>56461</v>
      </c>
      <c r="L438" s="51">
        <v>8.3473300396103289E-2</v>
      </c>
      <c r="M438" s="50">
        <v>56461</v>
      </c>
      <c r="N438" s="51">
        <v>3.1256798177495521E-2</v>
      </c>
      <c r="O438" s="50">
        <v>56461</v>
      </c>
      <c r="P438" s="51">
        <v>4.3894975744522051E-2</v>
      </c>
      <c r="Q438" s="50">
        <v>56461</v>
      </c>
      <c r="R438" s="51">
        <v>0.75504080267255114</v>
      </c>
      <c r="S438" s="50">
        <v>56461</v>
      </c>
      <c r="T438" s="51">
        <v>0.83215432613601292</v>
      </c>
      <c r="U438" s="50">
        <v>56461</v>
      </c>
      <c r="V438" s="51">
        <v>0.5890636548929804</v>
      </c>
      <c r="W438" s="50">
        <v>56461</v>
      </c>
      <c r="X438" s="51">
        <v>0.5354482481623799</v>
      </c>
      <c r="Y438" s="50">
        <v>56461</v>
      </c>
      <c r="Z438" s="51">
        <v>0.74825834236441224</v>
      </c>
      <c r="AA438" s="50">
        <v>56461</v>
      </c>
      <c r="AB438" s="51">
        <v>0.78232659834639373</v>
      </c>
      <c r="AC438" s="50">
        <v>56461</v>
      </c>
      <c r="AD438" s="51">
        <v>0.39231221349240836</v>
      </c>
      <c r="AE438" s="50">
        <v>56461</v>
      </c>
      <c r="AF438" s="51">
        <v>0.41205689244898841</v>
      </c>
    </row>
    <row r="439" spans="1:32" x14ac:dyDescent="0.25">
      <c r="A439" s="50">
        <v>56492</v>
      </c>
      <c r="B439" s="51">
        <v>0.37092017075007783</v>
      </c>
      <c r="C439" s="50">
        <v>56492</v>
      </c>
      <c r="D439" s="51">
        <v>0.37092762011937919</v>
      </c>
      <c r="E439" s="50">
        <v>56492</v>
      </c>
      <c r="F439" s="51">
        <v>0.62031018474907651</v>
      </c>
      <c r="G439" s="50">
        <v>56492</v>
      </c>
      <c r="H439" s="51">
        <v>0.60668651207626501</v>
      </c>
      <c r="I439" s="50">
        <v>56492</v>
      </c>
      <c r="J439" s="51">
        <v>8.2996976576628301E-2</v>
      </c>
      <c r="K439" s="50">
        <v>56492</v>
      </c>
      <c r="L439" s="51">
        <v>8.2998253267651645E-2</v>
      </c>
      <c r="M439" s="50">
        <v>56492</v>
      </c>
      <c r="N439" s="51">
        <v>3.0994794285864505E-2</v>
      </c>
      <c r="O439" s="50">
        <v>56492</v>
      </c>
      <c r="P439" s="51">
        <v>4.3560861078085392E-2</v>
      </c>
      <c r="Q439" s="50">
        <v>56492</v>
      </c>
      <c r="R439" s="51">
        <v>0.75436976862779492</v>
      </c>
      <c r="S439" s="50">
        <v>56492</v>
      </c>
      <c r="T439" s="51">
        <v>0.83140870551799229</v>
      </c>
      <c r="U439" s="50">
        <v>56492</v>
      </c>
      <c r="V439" s="51">
        <v>0.58839278053375976</v>
      </c>
      <c r="W439" s="50">
        <v>56492</v>
      </c>
      <c r="X439" s="51">
        <v>0.53461796222375557</v>
      </c>
      <c r="Y439" s="50">
        <v>56492</v>
      </c>
      <c r="Z439" s="51">
        <v>0.74759424938063668</v>
      </c>
      <c r="AA439" s="50">
        <v>56492</v>
      </c>
      <c r="AB439" s="51">
        <v>0.78171844080950237</v>
      </c>
      <c r="AC439" s="50">
        <v>56492</v>
      </c>
      <c r="AD439" s="51">
        <v>0.391491125399613</v>
      </c>
      <c r="AE439" s="50">
        <v>56492</v>
      </c>
      <c r="AF439" s="51">
        <v>0.41123604805188441</v>
      </c>
    </row>
    <row r="440" spans="1:32" x14ac:dyDescent="0.25">
      <c r="A440" s="50">
        <v>56522</v>
      </c>
      <c r="B440" s="51">
        <v>0.37014152980045983</v>
      </c>
      <c r="C440" s="50">
        <v>56522</v>
      </c>
      <c r="D440" s="51">
        <v>0.37014896164439171</v>
      </c>
      <c r="E440" s="50">
        <v>56522</v>
      </c>
      <c r="F440" s="51">
        <v>0.61965230104129809</v>
      </c>
      <c r="G440" s="50">
        <v>56522</v>
      </c>
      <c r="H440" s="51">
        <v>0.60602104893910902</v>
      </c>
      <c r="I440" s="50">
        <v>56522</v>
      </c>
      <c r="J440" s="51">
        <v>8.2537260620620001E-2</v>
      </c>
      <c r="K440" s="50">
        <v>56522</v>
      </c>
      <c r="L440" s="51">
        <v>8.2538530240117799E-2</v>
      </c>
      <c r="M440" s="50">
        <v>56522</v>
      </c>
      <c r="N440" s="51">
        <v>3.0741242132673204E-2</v>
      </c>
      <c r="O440" s="50">
        <v>56522</v>
      </c>
      <c r="P440" s="51">
        <v>4.3237524304114427E-2</v>
      </c>
      <c r="Q440" s="50">
        <v>56522</v>
      </c>
      <c r="R440" s="51">
        <v>0.753720380842547</v>
      </c>
      <c r="S440" s="50">
        <v>56522</v>
      </c>
      <c r="T440" s="51">
        <v>0.83068713717797238</v>
      </c>
      <c r="U440" s="50">
        <v>56522</v>
      </c>
      <c r="V440" s="51">
        <v>0.58774354728290112</v>
      </c>
      <c r="W440" s="50">
        <v>56522</v>
      </c>
      <c r="X440" s="51">
        <v>0.53381445970250629</v>
      </c>
      <c r="Y440" s="50">
        <v>56522</v>
      </c>
      <c r="Z440" s="51">
        <v>0.74695157875117635</v>
      </c>
      <c r="AA440" s="50">
        <v>56522</v>
      </c>
      <c r="AB440" s="51">
        <v>0.78112990125767212</v>
      </c>
      <c r="AC440" s="50">
        <v>56522</v>
      </c>
      <c r="AD440" s="51">
        <v>0.39069652401948851</v>
      </c>
      <c r="AE440" s="50">
        <v>56522</v>
      </c>
      <c r="AF440" s="51">
        <v>0.41044168250629987</v>
      </c>
    </row>
    <row r="441" spans="1:32" x14ac:dyDescent="0.25">
      <c r="A441" s="50">
        <v>56553</v>
      </c>
      <c r="B441" s="51">
        <v>0.36933693415252128</v>
      </c>
      <c r="C441" s="50">
        <v>56553</v>
      </c>
      <c r="D441" s="51">
        <v>0.36934434788690462</v>
      </c>
      <c r="E441" s="50">
        <v>56553</v>
      </c>
      <c r="F441" s="51">
        <v>0.61897248787659354</v>
      </c>
      <c r="G441" s="50">
        <v>56553</v>
      </c>
      <c r="H441" s="51">
        <v>0.6053334036973812</v>
      </c>
      <c r="I441" s="50">
        <v>56553</v>
      </c>
      <c r="J441" s="51">
        <v>8.2079607059583698E-2</v>
      </c>
      <c r="K441" s="50">
        <v>56553</v>
      </c>
      <c r="L441" s="51">
        <v>8.208086963928056E-2</v>
      </c>
      <c r="M441" s="50">
        <v>56553</v>
      </c>
      <c r="N441" s="51">
        <v>3.0479238241042192E-2</v>
      </c>
      <c r="O441" s="50">
        <v>56553</v>
      </c>
      <c r="P441" s="51">
        <v>4.2903409637677768E-2</v>
      </c>
      <c r="Q441" s="50">
        <v>56553</v>
      </c>
      <c r="R441" s="51">
        <v>0.7530493467977909</v>
      </c>
      <c r="S441" s="50">
        <v>56553</v>
      </c>
      <c r="T441" s="51">
        <v>0.82994151655995174</v>
      </c>
      <c r="U441" s="50">
        <v>56553</v>
      </c>
      <c r="V441" s="51">
        <v>0.58707267292368048</v>
      </c>
      <c r="W441" s="50">
        <v>56553</v>
      </c>
      <c r="X441" s="51">
        <v>0.53298417376388207</v>
      </c>
      <c r="Y441" s="50">
        <v>56553</v>
      </c>
      <c r="Z441" s="51">
        <v>0.74628748576740078</v>
      </c>
      <c r="AA441" s="50">
        <v>56553</v>
      </c>
      <c r="AB441" s="51">
        <v>0.78052174372078076</v>
      </c>
      <c r="AC441" s="50">
        <v>56553</v>
      </c>
      <c r="AD441" s="51">
        <v>0.38987543592669316</v>
      </c>
      <c r="AE441" s="50">
        <v>56553</v>
      </c>
      <c r="AF441" s="51">
        <v>0.40962083810919586</v>
      </c>
    </row>
    <row r="442" spans="1:32" x14ac:dyDescent="0.25">
      <c r="A442" s="50">
        <v>56583</v>
      </c>
      <c r="B442" s="51">
        <v>0.36855829320290334</v>
      </c>
      <c r="C442" s="50">
        <v>56583</v>
      </c>
      <c r="D442" s="51">
        <v>0.36856568941191714</v>
      </c>
      <c r="E442" s="50">
        <v>56583</v>
      </c>
      <c r="F442" s="51">
        <v>0.61831460416881501</v>
      </c>
      <c r="G442" s="50">
        <v>56583</v>
      </c>
      <c r="H442" s="51">
        <v>0.60466794056022521</v>
      </c>
      <c r="I442" s="50">
        <v>56583</v>
      </c>
      <c r="J442" s="51">
        <v>8.1637277363747651E-2</v>
      </c>
      <c r="K442" s="50">
        <v>56583</v>
      </c>
      <c r="L442" s="51">
        <v>8.1638533139361119E-2</v>
      </c>
      <c r="M442" s="50">
        <v>56583</v>
      </c>
      <c r="N442" s="51">
        <v>3.0225686087850891E-2</v>
      </c>
      <c r="O442" s="50">
        <v>56583</v>
      </c>
      <c r="P442" s="51">
        <v>4.2580072863706804E-2</v>
      </c>
      <c r="Q442" s="50">
        <v>56583</v>
      </c>
      <c r="R442" s="51">
        <v>0.75239995901254297</v>
      </c>
      <c r="S442" s="50">
        <v>56583</v>
      </c>
      <c r="T442" s="51">
        <v>0.82921994821993183</v>
      </c>
      <c r="U442" s="50">
        <v>56583</v>
      </c>
      <c r="V442" s="51">
        <v>0.58642343967282184</v>
      </c>
      <c r="W442" s="50">
        <v>56583</v>
      </c>
      <c r="X442" s="51">
        <v>0.5321806712426328</v>
      </c>
      <c r="Y442" s="50">
        <v>56583</v>
      </c>
      <c r="Z442" s="51">
        <v>0.74564481513794045</v>
      </c>
      <c r="AA442" s="50">
        <v>56583</v>
      </c>
      <c r="AB442" s="51">
        <v>0.7799332041689504</v>
      </c>
      <c r="AC442" s="50">
        <v>56583</v>
      </c>
      <c r="AD442" s="51">
        <v>0.38908083454656867</v>
      </c>
      <c r="AE442" s="50">
        <v>56583</v>
      </c>
      <c r="AF442" s="51">
        <v>0.40882647256361132</v>
      </c>
    </row>
    <row r="443" spans="1:32" x14ac:dyDescent="0.25">
      <c r="A443" s="50">
        <v>56614</v>
      </c>
      <c r="B443" s="51">
        <v>0.36775369755496479</v>
      </c>
      <c r="C443" s="50">
        <v>56614</v>
      </c>
      <c r="D443" s="51">
        <v>0.36776107565443011</v>
      </c>
      <c r="E443" s="50">
        <v>56614</v>
      </c>
      <c r="F443" s="51">
        <v>0.61763479100411056</v>
      </c>
      <c r="G443" s="50">
        <v>56614</v>
      </c>
      <c r="H443" s="51">
        <v>0.6039802953184974</v>
      </c>
      <c r="I443" s="50">
        <v>56614</v>
      </c>
      <c r="J443" s="51">
        <v>8.1180203344717081E-2</v>
      </c>
      <c r="K443" s="50">
        <v>56614</v>
      </c>
      <c r="L443" s="51">
        <v>8.1181452089444356E-2</v>
      </c>
      <c r="M443" s="50">
        <v>56614</v>
      </c>
      <c r="N443" s="51">
        <v>2.9963682196219879E-2</v>
      </c>
      <c r="O443" s="50">
        <v>56614</v>
      </c>
      <c r="P443" s="51">
        <v>4.2245958197270145E-2</v>
      </c>
      <c r="Q443" s="50">
        <v>56614</v>
      </c>
      <c r="R443" s="51">
        <v>0.75172892496778676</v>
      </c>
      <c r="S443" s="50">
        <v>56614</v>
      </c>
      <c r="T443" s="51">
        <v>0.8284743276019112</v>
      </c>
      <c r="U443" s="50">
        <v>56614</v>
      </c>
      <c r="V443" s="51">
        <v>0.58575256531360131</v>
      </c>
      <c r="W443" s="50">
        <v>56614</v>
      </c>
      <c r="X443" s="51">
        <v>0.53135038530400847</v>
      </c>
      <c r="Y443" s="50">
        <v>56614</v>
      </c>
      <c r="Z443" s="51">
        <v>0.74498072215416489</v>
      </c>
      <c r="AA443" s="50">
        <v>56614</v>
      </c>
      <c r="AB443" s="51">
        <v>0.77932504663205904</v>
      </c>
      <c r="AC443" s="50">
        <v>56614</v>
      </c>
      <c r="AD443" s="51">
        <v>0.38825974645377331</v>
      </c>
      <c r="AE443" s="50">
        <v>56614</v>
      </c>
      <c r="AF443" s="51">
        <v>0.40800562816650726</v>
      </c>
    </row>
    <row r="444" spans="1:32" x14ac:dyDescent="0.25">
      <c r="A444" s="50">
        <v>56645</v>
      </c>
      <c r="B444" s="51">
        <v>0.36694709246454371</v>
      </c>
      <c r="C444" s="50">
        <v>56645</v>
      </c>
      <c r="D444" s="51">
        <v>0.36695445244038066</v>
      </c>
      <c r="E444" s="50">
        <v>56645</v>
      </c>
      <c r="F444" s="51">
        <v>0.6169638853928282</v>
      </c>
      <c r="G444" s="50">
        <v>56645</v>
      </c>
      <c r="H444" s="51">
        <v>0.60330193890562878</v>
      </c>
      <c r="I444" s="50">
        <v>56645</v>
      </c>
      <c r="J444" s="51">
        <v>8.0715872977671618E-2</v>
      </c>
      <c r="K444" s="50">
        <v>56645</v>
      </c>
      <c r="L444" s="51">
        <v>8.0717114579892807E-2</v>
      </c>
      <c r="M444" s="50">
        <v>56645</v>
      </c>
      <c r="N444" s="51">
        <v>2.9701678304588867E-2</v>
      </c>
      <c r="O444" s="50">
        <v>56645</v>
      </c>
      <c r="P444" s="51">
        <v>4.1911843530833479E-2</v>
      </c>
      <c r="Q444" s="50">
        <v>56645</v>
      </c>
      <c r="R444" s="51">
        <v>0.75104061002364553</v>
      </c>
      <c r="S444" s="50">
        <v>56645</v>
      </c>
      <c r="T444" s="51">
        <v>0.82771005412156151</v>
      </c>
      <c r="U444" s="50">
        <v>56645</v>
      </c>
      <c r="V444" s="51">
        <v>0.58506431543901938</v>
      </c>
      <c r="W444" s="50">
        <v>56645</v>
      </c>
      <c r="X444" s="51">
        <v>0.53050120581103333</v>
      </c>
      <c r="Y444" s="50">
        <v>56645</v>
      </c>
      <c r="Z444" s="51">
        <v>0.74431447323777256</v>
      </c>
      <c r="AA444" s="50">
        <v>56645</v>
      </c>
      <c r="AB444" s="51">
        <v>0.77871322330214487</v>
      </c>
      <c r="AC444" s="50">
        <v>56645</v>
      </c>
      <c r="AD444" s="51">
        <v>0.38742234178720281</v>
      </c>
      <c r="AE444" s="50">
        <v>56645</v>
      </c>
      <c r="AF444" s="51">
        <v>0.40716797112402769</v>
      </c>
    </row>
    <row r="445" spans="1:32" x14ac:dyDescent="0.25">
      <c r="A445" s="50">
        <v>56673</v>
      </c>
      <c r="B445" s="51">
        <v>0.36621848543191665</v>
      </c>
      <c r="C445" s="50">
        <v>56673</v>
      </c>
      <c r="D445" s="51">
        <v>0.36622582903760087</v>
      </c>
      <c r="E445" s="50">
        <v>56673</v>
      </c>
      <c r="F445" s="51">
        <v>0.61635817431542883</v>
      </c>
      <c r="G445" s="50">
        <v>56673</v>
      </c>
      <c r="H445" s="51">
        <v>0.60268950955121836</v>
      </c>
      <c r="I445" s="50">
        <v>56673</v>
      </c>
      <c r="J445" s="51">
        <v>8.0296259336744086E-2</v>
      </c>
      <c r="K445" s="50">
        <v>56673</v>
      </c>
      <c r="L445" s="51">
        <v>8.029749448430884E-2</v>
      </c>
      <c r="M445" s="50">
        <v>56673</v>
      </c>
      <c r="N445" s="51">
        <v>2.9465029628276983E-2</v>
      </c>
      <c r="O445" s="50">
        <v>56673</v>
      </c>
      <c r="P445" s="51">
        <v>4.1610062541793919E-2</v>
      </c>
      <c r="Q445" s="50">
        <v>56673</v>
      </c>
      <c r="R445" s="51">
        <v>0.75041838591798815</v>
      </c>
      <c r="S445" s="50">
        <v>56673</v>
      </c>
      <c r="T445" s="51">
        <v>0.827019180999369</v>
      </c>
      <c r="U445" s="50">
        <v>56673</v>
      </c>
      <c r="V445" s="51">
        <v>0.58444214725721422</v>
      </c>
      <c r="W445" s="50">
        <v>56673</v>
      </c>
      <c r="X445" s="51">
        <v>0.52973363614047309</v>
      </c>
      <c r="Y445" s="50">
        <v>56673</v>
      </c>
      <c r="Z445" s="51">
        <v>0.74371263511316732</v>
      </c>
      <c r="AA445" s="50">
        <v>56673</v>
      </c>
      <c r="AB445" s="51">
        <v>0.77816049831361533</v>
      </c>
      <c r="AC445" s="50">
        <v>56673</v>
      </c>
      <c r="AD445" s="51">
        <v>0.38666548503022979</v>
      </c>
      <c r="AE445" s="50">
        <v>56673</v>
      </c>
      <c r="AF445" s="51">
        <v>0.40641087147913157</v>
      </c>
    </row>
    <row r="446" spans="1:32" x14ac:dyDescent="0.25">
      <c r="A446" s="50">
        <v>56704</v>
      </c>
      <c r="B446" s="51">
        <v>0.36541181336007955</v>
      </c>
      <c r="C446" s="50">
        <v>56704</v>
      </c>
      <c r="D446" s="51">
        <v>0.36541913884166605</v>
      </c>
      <c r="E446" s="50">
        <v>56704</v>
      </c>
      <c r="F446" s="51">
        <v>0.61568756562259375</v>
      </c>
      <c r="G446" s="50">
        <v>56704</v>
      </c>
      <c r="H446" s="51">
        <v>0.60201146276597839</v>
      </c>
      <c r="I446" s="50">
        <v>56704</v>
      </c>
      <c r="J446" s="51">
        <v>7.9831687091431472E-2</v>
      </c>
      <c r="K446" s="50">
        <v>56704</v>
      </c>
      <c r="L446" s="51">
        <v>7.9832915092769449E-2</v>
      </c>
      <c r="M446" s="50">
        <v>56704</v>
      </c>
      <c r="N446" s="51">
        <v>2.920302573664597E-2</v>
      </c>
      <c r="O446" s="50">
        <v>56704</v>
      </c>
      <c r="P446" s="51">
        <v>4.1275947875357252E-2</v>
      </c>
      <c r="Q446" s="50">
        <v>56704</v>
      </c>
      <c r="R446" s="51">
        <v>0.74972949494386754</v>
      </c>
      <c r="S446" s="50">
        <v>56704</v>
      </c>
      <c r="T446" s="51">
        <v>0.82625428575694171</v>
      </c>
      <c r="U446" s="50">
        <v>56704</v>
      </c>
      <c r="V446" s="51">
        <v>0.58375331819878695</v>
      </c>
      <c r="W446" s="50">
        <v>56704</v>
      </c>
      <c r="X446" s="51">
        <v>0.5288838268623528</v>
      </c>
      <c r="Y446" s="50">
        <v>56704</v>
      </c>
      <c r="Z446" s="51">
        <v>0.74304631433235446</v>
      </c>
      <c r="AA446" s="50">
        <v>56704</v>
      </c>
      <c r="AB446" s="51">
        <v>0.77754855279060042</v>
      </c>
      <c r="AC446" s="50">
        <v>56704</v>
      </c>
      <c r="AD446" s="51">
        <v>0.38582753647786677</v>
      </c>
      <c r="AE446" s="50">
        <v>56704</v>
      </c>
      <c r="AF446" s="51">
        <v>0.40557265401513948</v>
      </c>
    </row>
    <row r="447" spans="1:32" x14ac:dyDescent="0.25">
      <c r="A447" s="50">
        <v>56734</v>
      </c>
      <c r="B447" s="51">
        <v>0.36463116296797909</v>
      </c>
      <c r="C447" s="50">
        <v>56734</v>
      </c>
      <c r="D447" s="51">
        <v>0.3646384709101162</v>
      </c>
      <c r="E447" s="50">
        <v>56734</v>
      </c>
      <c r="F447" s="51">
        <v>0.61503858946823731</v>
      </c>
      <c r="G447" s="50">
        <v>56734</v>
      </c>
      <c r="H447" s="51">
        <v>0.60135528845768149</v>
      </c>
      <c r="I447" s="50">
        <v>56734</v>
      </c>
      <c r="J447" s="51">
        <v>7.9389452591603168E-2</v>
      </c>
      <c r="K447" s="50">
        <v>56734</v>
      </c>
      <c r="L447" s="51">
        <v>7.9390673790322011E-2</v>
      </c>
      <c r="M447" s="50">
        <v>56734</v>
      </c>
      <c r="N447" s="51">
        <v>2.894947358345467E-2</v>
      </c>
      <c r="O447" s="50">
        <v>56734</v>
      </c>
      <c r="P447" s="51">
        <v>4.0952611101386288E-2</v>
      </c>
      <c r="Q447" s="50">
        <v>56734</v>
      </c>
      <c r="R447" s="51">
        <v>0.74906282625923459</v>
      </c>
      <c r="S447" s="50">
        <v>56734</v>
      </c>
      <c r="T447" s="51">
        <v>0.82551406455459264</v>
      </c>
      <c r="U447" s="50">
        <v>56734</v>
      </c>
      <c r="V447" s="51">
        <v>0.58308670943256702</v>
      </c>
      <c r="W447" s="50">
        <v>56734</v>
      </c>
      <c r="X447" s="51">
        <v>0.52806143078675261</v>
      </c>
      <c r="Y447" s="50">
        <v>56734</v>
      </c>
      <c r="Z447" s="51">
        <v>0.74240148777027737</v>
      </c>
      <c r="AA447" s="50">
        <v>56734</v>
      </c>
      <c r="AB447" s="51">
        <v>0.77695634744574738</v>
      </c>
      <c r="AC447" s="50">
        <v>56734</v>
      </c>
      <c r="AD447" s="51">
        <v>0.38501661852396707</v>
      </c>
      <c r="AE447" s="50">
        <v>56734</v>
      </c>
      <c r="AF447" s="51">
        <v>0.40476147582417937</v>
      </c>
    </row>
    <row r="448" spans="1:32" x14ac:dyDescent="0.25">
      <c r="A448" s="50">
        <v>56765</v>
      </c>
      <c r="B448" s="51">
        <v>0.36382449089614194</v>
      </c>
      <c r="C448" s="50">
        <v>56765</v>
      </c>
      <c r="D448" s="51">
        <v>0.36383178071418137</v>
      </c>
      <c r="E448" s="50">
        <v>56765</v>
      </c>
      <c r="F448" s="51">
        <v>0.61436798077540222</v>
      </c>
      <c r="G448" s="50">
        <v>56765</v>
      </c>
      <c r="H448" s="51">
        <v>0.60067724167244152</v>
      </c>
      <c r="I448" s="50">
        <v>56765</v>
      </c>
      <c r="J448" s="51">
        <v>7.8932738893349216E-2</v>
      </c>
      <c r="K448" s="50">
        <v>56765</v>
      </c>
      <c r="L448" s="51">
        <v>7.8933953066724363E-2</v>
      </c>
      <c r="M448" s="50">
        <v>56765</v>
      </c>
      <c r="N448" s="51">
        <v>2.8687469691823658E-2</v>
      </c>
      <c r="O448" s="50">
        <v>56765</v>
      </c>
      <c r="P448" s="51">
        <v>4.0618496434949629E-2</v>
      </c>
      <c r="Q448" s="50">
        <v>56765</v>
      </c>
      <c r="R448" s="51">
        <v>0.74837393528511398</v>
      </c>
      <c r="S448" s="50">
        <v>56765</v>
      </c>
      <c r="T448" s="51">
        <v>0.82474916931216524</v>
      </c>
      <c r="U448" s="50">
        <v>56765</v>
      </c>
      <c r="V448" s="51">
        <v>0.58239788037413986</v>
      </c>
      <c r="W448" s="50">
        <v>56765</v>
      </c>
      <c r="X448" s="51">
        <v>0.52721162150863243</v>
      </c>
      <c r="Y448" s="50">
        <v>56765</v>
      </c>
      <c r="Z448" s="51">
        <v>0.74173516698946451</v>
      </c>
      <c r="AA448" s="50">
        <v>56765</v>
      </c>
      <c r="AB448" s="51">
        <v>0.77634440192273246</v>
      </c>
      <c r="AC448" s="50">
        <v>56765</v>
      </c>
      <c r="AD448" s="51">
        <v>0.3841786699716041</v>
      </c>
      <c r="AE448" s="50">
        <v>56765</v>
      </c>
      <c r="AF448" s="51">
        <v>0.40392325836018722</v>
      </c>
    </row>
    <row r="449" spans="1:32" x14ac:dyDescent="0.25">
      <c r="A449" s="50">
        <v>56795</v>
      </c>
      <c r="B449" s="51">
        <v>0.36304384050404154</v>
      </c>
      <c r="C449" s="50">
        <v>56795</v>
      </c>
      <c r="D449" s="51">
        <v>0.36305111278263152</v>
      </c>
      <c r="E449" s="50">
        <v>56795</v>
      </c>
      <c r="F449" s="51">
        <v>0.61371900462104578</v>
      </c>
      <c r="G449" s="50">
        <v>56795</v>
      </c>
      <c r="H449" s="51">
        <v>0.60002106736414462</v>
      </c>
      <c r="I449" s="50">
        <v>56795</v>
      </c>
      <c r="J449" s="51">
        <v>7.849075789503894E-2</v>
      </c>
      <c r="K449" s="50">
        <v>56795</v>
      </c>
      <c r="L449" s="51">
        <v>7.8491965269694389E-2</v>
      </c>
      <c r="M449" s="50">
        <v>56795</v>
      </c>
      <c r="N449" s="51">
        <v>2.8433917538632354E-2</v>
      </c>
      <c r="O449" s="50">
        <v>56795</v>
      </c>
      <c r="P449" s="51">
        <v>4.0295159660978665E-2</v>
      </c>
      <c r="Q449" s="50">
        <v>56795</v>
      </c>
      <c r="R449" s="51">
        <v>0.74770726660048104</v>
      </c>
      <c r="S449" s="50">
        <v>56795</v>
      </c>
      <c r="T449" s="51">
        <v>0.82400894810981617</v>
      </c>
      <c r="U449" s="50">
        <v>56795</v>
      </c>
      <c r="V449" s="51">
        <v>0.58173127160791993</v>
      </c>
      <c r="W449" s="50">
        <v>56795</v>
      </c>
      <c r="X449" s="51">
        <v>0.52638922543303213</v>
      </c>
      <c r="Y449" s="50">
        <v>56795</v>
      </c>
      <c r="Z449" s="51">
        <v>0.74109034042738753</v>
      </c>
      <c r="AA449" s="50">
        <v>56795</v>
      </c>
      <c r="AB449" s="51">
        <v>0.7757521965778793</v>
      </c>
      <c r="AC449" s="50">
        <v>56795</v>
      </c>
      <c r="AD449" s="51">
        <v>0.3833677520177044</v>
      </c>
      <c r="AE449" s="50">
        <v>56795</v>
      </c>
      <c r="AF449" s="51">
        <v>0.40311208016922712</v>
      </c>
    </row>
    <row r="450" spans="1:32" x14ac:dyDescent="0.25">
      <c r="A450" s="50">
        <v>56826</v>
      </c>
      <c r="B450" s="51">
        <v>0.3622623864017589</v>
      </c>
      <c r="C450" s="50">
        <v>56826</v>
      </c>
      <c r="D450" s="51">
        <v>0.36226964108759185</v>
      </c>
      <c r="E450" s="50">
        <v>56826</v>
      </c>
      <c r="F450" s="51">
        <v>0.6130483959282107</v>
      </c>
      <c r="G450" s="50">
        <v>56826</v>
      </c>
      <c r="H450" s="51">
        <v>0.59934302057890465</v>
      </c>
      <c r="I450" s="50">
        <v>56826</v>
      </c>
      <c r="J450" s="51">
        <v>7.8046191567996956E-2</v>
      </c>
      <c r="K450" s="50">
        <v>56826</v>
      </c>
      <c r="L450" s="51">
        <v>7.8047392104164323E-2</v>
      </c>
      <c r="M450" s="50">
        <v>56826</v>
      </c>
      <c r="N450" s="51">
        <v>2.8171913647001341E-2</v>
      </c>
      <c r="O450" s="50">
        <v>56826</v>
      </c>
      <c r="P450" s="51">
        <v>3.9961044994542005E-2</v>
      </c>
      <c r="Q450" s="50">
        <v>56826</v>
      </c>
      <c r="R450" s="51">
        <v>0.74702955561070561</v>
      </c>
      <c r="S450" s="50">
        <v>56826</v>
      </c>
      <c r="T450" s="51">
        <v>0.82324585254195215</v>
      </c>
      <c r="U450" s="50">
        <v>56826</v>
      </c>
      <c r="V450" s="51">
        <v>0.5810678339254437</v>
      </c>
      <c r="W450" s="50">
        <v>56826</v>
      </c>
      <c r="X450" s="51">
        <v>0.52556602661852736</v>
      </c>
      <c r="Y450" s="50">
        <v>56826</v>
      </c>
      <c r="Z450" s="51">
        <v>0.74042401964657456</v>
      </c>
      <c r="AA450" s="50">
        <v>56826</v>
      </c>
      <c r="AB450" s="51">
        <v>0.7751402510548645</v>
      </c>
      <c r="AC450" s="50">
        <v>56826</v>
      </c>
      <c r="AD450" s="51">
        <v>0.38256310604072075</v>
      </c>
      <c r="AE450" s="50">
        <v>56826</v>
      </c>
      <c r="AF450" s="51">
        <v>0.402306728885367</v>
      </c>
    </row>
    <row r="451" spans="1:32" x14ac:dyDescent="0.25">
      <c r="A451" s="50">
        <v>56857</v>
      </c>
      <c r="B451" s="51">
        <v>0.36148177289846145</v>
      </c>
      <c r="C451" s="50">
        <v>56857</v>
      </c>
      <c r="D451" s="51">
        <v>0.36148901000924866</v>
      </c>
      <c r="E451" s="50">
        <v>56857</v>
      </c>
      <c r="F451" s="51">
        <v>0.61237778723537573</v>
      </c>
      <c r="G451" s="50">
        <v>56857</v>
      </c>
      <c r="H451" s="51">
        <v>0.59866497379366457</v>
      </c>
      <c r="I451" s="50">
        <v>56857</v>
      </c>
      <c r="J451" s="51">
        <v>7.7602030153328713E-2</v>
      </c>
      <c r="K451" s="50">
        <v>56857</v>
      </c>
      <c r="L451" s="51">
        <v>7.7603223857236517E-2</v>
      </c>
      <c r="M451" s="50">
        <v>56857</v>
      </c>
      <c r="N451" s="51">
        <v>2.7909909755370329E-2</v>
      </c>
      <c r="O451" s="50">
        <v>56857</v>
      </c>
      <c r="P451" s="51">
        <v>3.9626930328105339E-2</v>
      </c>
      <c r="Q451" s="50">
        <v>56857</v>
      </c>
      <c r="R451" s="51">
        <v>0.7463522172870749</v>
      </c>
      <c r="S451" s="50">
        <v>56857</v>
      </c>
      <c r="T451" s="51">
        <v>0.82248281696324033</v>
      </c>
      <c r="U451" s="50">
        <v>56857</v>
      </c>
      <c r="V451" s="51">
        <v>0.58040524262216586</v>
      </c>
      <c r="W451" s="50">
        <v>56857</v>
      </c>
      <c r="X451" s="51">
        <v>0.52474371481947646</v>
      </c>
      <c r="Y451" s="50">
        <v>56857</v>
      </c>
      <c r="Z451" s="51">
        <v>0.7397576988657617</v>
      </c>
      <c r="AA451" s="50">
        <v>56857</v>
      </c>
      <c r="AB451" s="51">
        <v>0.77452830553184959</v>
      </c>
      <c r="AC451" s="50">
        <v>56857</v>
      </c>
      <c r="AD451" s="51">
        <v>0.38175957014958301</v>
      </c>
      <c r="AE451" s="50">
        <v>56857</v>
      </c>
      <c r="AF451" s="51">
        <v>0.40150247314084464</v>
      </c>
    </row>
    <row r="452" spans="1:32" x14ac:dyDescent="0.25">
      <c r="A452" s="50">
        <v>56887</v>
      </c>
      <c r="B452" s="51">
        <v>0.36072634047591556</v>
      </c>
      <c r="C452" s="50">
        <v>56887</v>
      </c>
      <c r="D452" s="51">
        <v>0.3607335605785939</v>
      </c>
      <c r="E452" s="50">
        <v>56887</v>
      </c>
      <c r="F452" s="51">
        <v>0.61172881108101929</v>
      </c>
      <c r="G452" s="50">
        <v>56887</v>
      </c>
      <c r="H452" s="51">
        <v>0.59800879948536778</v>
      </c>
      <c r="I452" s="50">
        <v>56887</v>
      </c>
      <c r="J452" s="51">
        <v>7.7172196526230419E-2</v>
      </c>
      <c r="K452" s="50">
        <v>56887</v>
      </c>
      <c r="L452" s="51">
        <v>7.7173383618274111E-2</v>
      </c>
      <c r="M452" s="50">
        <v>56887</v>
      </c>
      <c r="N452" s="51">
        <v>2.7656357602179028E-2</v>
      </c>
      <c r="O452" s="50">
        <v>56887</v>
      </c>
      <c r="P452" s="51">
        <v>3.9303593554134382E-2</v>
      </c>
      <c r="Q452" s="50">
        <v>56887</v>
      </c>
      <c r="R452" s="51">
        <v>0.74569672858678726</v>
      </c>
      <c r="S452" s="50">
        <v>56887</v>
      </c>
      <c r="T452" s="51">
        <v>0.82174439543545463</v>
      </c>
      <c r="U452" s="50">
        <v>56887</v>
      </c>
      <c r="V452" s="51">
        <v>0.57976402523189707</v>
      </c>
      <c r="W452" s="50">
        <v>56887</v>
      </c>
      <c r="X452" s="51">
        <v>0.52394792920749178</v>
      </c>
      <c r="Y452" s="50">
        <v>56887</v>
      </c>
      <c r="Z452" s="51">
        <v>0.73911287230368461</v>
      </c>
      <c r="AA452" s="50">
        <v>56887</v>
      </c>
      <c r="AB452" s="51">
        <v>0.77393610018699643</v>
      </c>
      <c r="AC452" s="50">
        <v>56887</v>
      </c>
      <c r="AD452" s="51">
        <v>0.38098195477106267</v>
      </c>
      <c r="AE452" s="50">
        <v>56887</v>
      </c>
      <c r="AF452" s="51">
        <v>0.40072416113001658</v>
      </c>
    </row>
    <row r="453" spans="1:32" x14ac:dyDescent="0.25">
      <c r="A453" s="50">
        <v>56918</v>
      </c>
      <c r="B453" s="51">
        <v>0.35994572697261806</v>
      </c>
      <c r="C453" s="50">
        <v>56918</v>
      </c>
      <c r="D453" s="51">
        <v>0.35995292950025071</v>
      </c>
      <c r="E453" s="50">
        <v>56918</v>
      </c>
      <c r="F453" s="51">
        <v>0.6110582023881842</v>
      </c>
      <c r="G453" s="50">
        <v>56918</v>
      </c>
      <c r="H453" s="51">
        <v>0.5973307527001277</v>
      </c>
      <c r="I453" s="50">
        <v>56918</v>
      </c>
      <c r="J453" s="51">
        <v>7.6739772291269076E-2</v>
      </c>
      <c r="K453" s="50">
        <v>56918</v>
      </c>
      <c r="L453" s="51">
        <v>7.6740952731598935E-2</v>
      </c>
      <c r="M453" s="50">
        <v>56918</v>
      </c>
      <c r="N453" s="51">
        <v>2.7394353710548016E-2</v>
      </c>
      <c r="O453" s="50">
        <v>56918</v>
      </c>
      <c r="P453" s="51">
        <v>3.8969478887697723E-2</v>
      </c>
      <c r="Q453" s="50">
        <v>56918</v>
      </c>
      <c r="R453" s="51">
        <v>0.74501939026315656</v>
      </c>
      <c r="S453" s="50">
        <v>56918</v>
      </c>
      <c r="T453" s="51">
        <v>0.8209813598567427</v>
      </c>
      <c r="U453" s="50">
        <v>56918</v>
      </c>
      <c r="V453" s="51">
        <v>0.57910143392861924</v>
      </c>
      <c r="W453" s="50">
        <v>56918</v>
      </c>
      <c r="X453" s="51">
        <v>0.52312561740844088</v>
      </c>
      <c r="Y453" s="50">
        <v>56918</v>
      </c>
      <c r="Z453" s="51">
        <v>0.73844655152287175</v>
      </c>
      <c r="AA453" s="50">
        <v>56918</v>
      </c>
      <c r="AB453" s="51">
        <v>0.77332415466398163</v>
      </c>
      <c r="AC453" s="50">
        <v>56918</v>
      </c>
      <c r="AD453" s="51">
        <v>0.38017841887992498</v>
      </c>
      <c r="AE453" s="50">
        <v>56918</v>
      </c>
      <c r="AF453" s="51">
        <v>0.39991990538549421</v>
      </c>
    </row>
    <row r="454" spans="1:32" x14ac:dyDescent="0.25">
      <c r="A454" s="50">
        <v>56948</v>
      </c>
      <c r="B454" s="51">
        <v>0.35919029455007218</v>
      </c>
      <c r="C454" s="50">
        <v>56948</v>
      </c>
      <c r="D454" s="51">
        <v>0.35919748006959601</v>
      </c>
      <c r="E454" s="50">
        <v>56948</v>
      </c>
      <c r="F454" s="51">
        <v>0.61040922623382776</v>
      </c>
      <c r="G454" s="50">
        <v>56948</v>
      </c>
      <c r="H454" s="51">
        <v>0.59667457839183091</v>
      </c>
      <c r="I454" s="50">
        <v>56948</v>
      </c>
      <c r="J454" s="51">
        <v>7.6321675843877682E-2</v>
      </c>
      <c r="K454" s="50">
        <v>56948</v>
      </c>
      <c r="L454" s="51">
        <v>7.6322849852889174E-2</v>
      </c>
      <c r="M454" s="50">
        <v>56948</v>
      </c>
      <c r="N454" s="51">
        <v>2.7140801557356712E-2</v>
      </c>
      <c r="O454" s="50">
        <v>56948</v>
      </c>
      <c r="P454" s="51">
        <v>3.8646142113726759E-2</v>
      </c>
      <c r="Q454" s="50">
        <v>56948</v>
      </c>
      <c r="R454" s="51">
        <v>0.74436390156286891</v>
      </c>
      <c r="S454" s="50">
        <v>56948</v>
      </c>
      <c r="T454" s="51">
        <v>0.82024293832895701</v>
      </c>
      <c r="U454" s="50">
        <v>56948</v>
      </c>
      <c r="V454" s="51">
        <v>0.57846021653835034</v>
      </c>
      <c r="W454" s="50">
        <v>56948</v>
      </c>
      <c r="X454" s="51">
        <v>0.52232983179645609</v>
      </c>
      <c r="Y454" s="50">
        <v>56948</v>
      </c>
      <c r="Z454" s="51">
        <v>0.73780172496079477</v>
      </c>
      <c r="AA454" s="50">
        <v>56948</v>
      </c>
      <c r="AB454" s="51">
        <v>0.77273194931912847</v>
      </c>
      <c r="AC454" s="50">
        <v>56948</v>
      </c>
      <c r="AD454" s="51">
        <v>0.37940080350140459</v>
      </c>
      <c r="AE454" s="50">
        <v>56948</v>
      </c>
      <c r="AF454" s="51">
        <v>0.39914159337466609</v>
      </c>
    </row>
    <row r="455" spans="1:32" x14ac:dyDescent="0.25">
      <c r="A455" s="50">
        <v>56979</v>
      </c>
      <c r="B455" s="51">
        <v>0.35840968104677473</v>
      </c>
      <c r="C455" s="50">
        <v>56979</v>
      </c>
      <c r="D455" s="51">
        <v>0.35841684899125281</v>
      </c>
      <c r="E455" s="50">
        <v>56979</v>
      </c>
      <c r="F455" s="51">
        <v>0.60973861754099268</v>
      </c>
      <c r="G455" s="50">
        <v>56979</v>
      </c>
      <c r="H455" s="51">
        <v>0.59599653160659083</v>
      </c>
      <c r="I455" s="50">
        <v>56979</v>
      </c>
      <c r="J455" s="51">
        <v>7.5889642848239916E-2</v>
      </c>
      <c r="K455" s="50">
        <v>56979</v>
      </c>
      <c r="L455" s="51">
        <v>7.5890810211555762E-2</v>
      </c>
      <c r="M455" s="50">
        <v>56979</v>
      </c>
      <c r="N455" s="51">
        <v>2.68787976657257E-2</v>
      </c>
      <c r="O455" s="50">
        <v>56979</v>
      </c>
      <c r="P455" s="51">
        <v>3.8312027447290092E-2</v>
      </c>
      <c r="Q455" s="50">
        <v>56979</v>
      </c>
      <c r="R455" s="51">
        <v>0.74368656323923832</v>
      </c>
      <c r="S455" s="50">
        <v>56979</v>
      </c>
      <c r="T455" s="51">
        <v>0.81947990275024518</v>
      </c>
      <c r="U455" s="50">
        <v>56979</v>
      </c>
      <c r="V455" s="51">
        <v>0.5777976252350725</v>
      </c>
      <c r="W455" s="50">
        <v>56979</v>
      </c>
      <c r="X455" s="51">
        <v>0.52150751999740519</v>
      </c>
      <c r="Y455" s="50">
        <v>56979</v>
      </c>
      <c r="Z455" s="51">
        <v>0.7371354041799818</v>
      </c>
      <c r="AA455" s="50">
        <v>56979</v>
      </c>
      <c r="AB455" s="51">
        <v>0.77212000379611356</v>
      </c>
      <c r="AC455" s="50">
        <v>56979</v>
      </c>
      <c r="AD455" s="51">
        <v>0.37859726761026691</v>
      </c>
      <c r="AE455" s="50">
        <v>56979</v>
      </c>
      <c r="AF455" s="51">
        <v>0.39833733763014373</v>
      </c>
    </row>
    <row r="456" spans="1:32" x14ac:dyDescent="0.25">
      <c r="A456" s="50">
        <v>57010</v>
      </c>
      <c r="B456" s="51">
        <v>0.35763155993353912</v>
      </c>
      <c r="C456" s="50">
        <v>57010</v>
      </c>
      <c r="D456" s="51">
        <v>0.3576387103789691</v>
      </c>
      <c r="E456" s="50">
        <v>57010</v>
      </c>
      <c r="F456" s="51">
        <v>0.60907856836735819</v>
      </c>
      <c r="G456" s="50">
        <v>57010</v>
      </c>
      <c r="H456" s="51">
        <v>0.59532943517739134</v>
      </c>
      <c r="I456" s="50">
        <v>57010</v>
      </c>
      <c r="J456" s="51">
        <v>7.5460039406143736E-2</v>
      </c>
      <c r="K456" s="50">
        <v>57010</v>
      </c>
      <c r="L456" s="51">
        <v>7.5461200161136222E-2</v>
      </c>
      <c r="M456" s="50">
        <v>57010</v>
      </c>
      <c r="N456" s="51">
        <v>2.6616793774094687E-2</v>
      </c>
      <c r="O456" s="50">
        <v>57010</v>
      </c>
      <c r="P456" s="51">
        <v>3.7977912780853433E-2</v>
      </c>
      <c r="Q456" s="50">
        <v>57010</v>
      </c>
      <c r="R456" s="51">
        <v>0.74299723269060525</v>
      </c>
      <c r="S456" s="50">
        <v>57010</v>
      </c>
      <c r="T456" s="51">
        <v>0.81870197064631001</v>
      </c>
      <c r="U456" s="50">
        <v>57010</v>
      </c>
      <c r="V456" s="51">
        <v>0.57712564193424765</v>
      </c>
      <c r="W456" s="50">
        <v>57010</v>
      </c>
      <c r="X456" s="51">
        <v>0.52067488453400212</v>
      </c>
      <c r="Y456" s="50">
        <v>57010</v>
      </c>
      <c r="Z456" s="51">
        <v>0.73646838096489187</v>
      </c>
      <c r="AA456" s="50">
        <v>57010</v>
      </c>
      <c r="AB456" s="51">
        <v>0.77150569122282109</v>
      </c>
      <c r="AC456" s="50">
        <v>57010</v>
      </c>
      <c r="AD456" s="51">
        <v>0.37778673739923729</v>
      </c>
      <c r="AE456" s="50">
        <v>57010</v>
      </c>
      <c r="AF456" s="51">
        <v>0.39752560135695825</v>
      </c>
    </row>
    <row r="457" spans="1:32" x14ac:dyDescent="0.25">
      <c r="A457" s="50">
        <v>57039</v>
      </c>
      <c r="B457" s="51">
        <v>0.35690371790213787</v>
      </c>
      <c r="C457" s="50">
        <v>57039</v>
      </c>
      <c r="D457" s="51">
        <v>0.35691085197986033</v>
      </c>
      <c r="E457" s="50">
        <v>57039</v>
      </c>
      <c r="F457" s="51">
        <v>0.60846143228670746</v>
      </c>
      <c r="G457" s="50">
        <v>57039</v>
      </c>
      <c r="H457" s="51">
        <v>0.59470571869021027</v>
      </c>
      <c r="I457" s="50">
        <v>57039</v>
      </c>
      <c r="J457" s="51">
        <v>7.505822807542227E-2</v>
      </c>
      <c r="K457" s="50">
        <v>57039</v>
      </c>
      <c r="L457" s="51">
        <v>7.5059382649600201E-2</v>
      </c>
      <c r="M457" s="50">
        <v>57039</v>
      </c>
      <c r="N457" s="51">
        <v>2.6371693359343099E-2</v>
      </c>
      <c r="O457" s="50">
        <v>57039</v>
      </c>
      <c r="P457" s="51">
        <v>3.7665353899348171E-2</v>
      </c>
      <c r="Q457" s="50">
        <v>57039</v>
      </c>
      <c r="R457" s="51">
        <v>0.74235200112949151</v>
      </c>
      <c r="S457" s="50">
        <v>57039</v>
      </c>
      <c r="T457" s="51">
        <v>0.81797376319506809</v>
      </c>
      <c r="U457" s="50">
        <v>57039</v>
      </c>
      <c r="V457" s="51">
        <v>0.57649671952602555</v>
      </c>
      <c r="W457" s="50">
        <v>57039</v>
      </c>
      <c r="X457" s="51">
        <v>0.51989564556687629</v>
      </c>
      <c r="Y457" s="50">
        <v>57039</v>
      </c>
      <c r="Z457" s="51">
        <v>0.73584436960174959</v>
      </c>
      <c r="AA457" s="50">
        <v>57039</v>
      </c>
      <c r="AB457" s="51">
        <v>0.77093093790752798</v>
      </c>
      <c r="AC457" s="50">
        <v>57039</v>
      </c>
      <c r="AD457" s="51">
        <v>0.37702828135743882</v>
      </c>
      <c r="AE457" s="50">
        <v>57039</v>
      </c>
      <c r="AF457" s="51">
        <v>0.39676600190211675</v>
      </c>
    </row>
    <row r="458" spans="1:32" x14ac:dyDescent="0.25">
      <c r="A458" s="50">
        <v>57070</v>
      </c>
      <c r="B458" s="51">
        <v>0.35612567986857102</v>
      </c>
      <c r="C458" s="50">
        <v>57070</v>
      </c>
      <c r="D458" s="51">
        <v>0.35613279644977863</v>
      </c>
      <c r="E458" s="50">
        <v>57070</v>
      </c>
      <c r="F458" s="51">
        <v>0.60780173509704638</v>
      </c>
      <c r="G458" s="50">
        <v>57070</v>
      </c>
      <c r="H458" s="51">
        <v>0.59403898727287885</v>
      </c>
      <c r="I458" s="50">
        <v>57070</v>
      </c>
      <c r="J458" s="51">
        <v>7.4628705618444161E-2</v>
      </c>
      <c r="K458" s="50">
        <v>57070</v>
      </c>
      <c r="L458" s="51">
        <v>7.4629853585544456E-2</v>
      </c>
      <c r="M458" s="50">
        <v>57070</v>
      </c>
      <c r="N458" s="51">
        <v>2.6109689467712083E-2</v>
      </c>
      <c r="O458" s="50">
        <v>57070</v>
      </c>
      <c r="P458" s="51">
        <v>3.7331239232911505E-2</v>
      </c>
      <c r="Q458" s="50">
        <v>57070</v>
      </c>
      <c r="R458" s="51">
        <v>0.74166227084002501</v>
      </c>
      <c r="S458" s="50">
        <v>57070</v>
      </c>
      <c r="T458" s="51">
        <v>0.81719533454029214</v>
      </c>
      <c r="U458" s="50">
        <v>57070</v>
      </c>
      <c r="V458" s="51">
        <v>0.57582442315861571</v>
      </c>
      <c r="W458" s="50">
        <v>57070</v>
      </c>
      <c r="X458" s="51">
        <v>0.51906266598132811</v>
      </c>
      <c r="Y458" s="50">
        <v>57070</v>
      </c>
      <c r="Z458" s="51">
        <v>0.73517732297218374</v>
      </c>
      <c r="AA458" s="50">
        <v>57070</v>
      </c>
      <c r="AB458" s="51">
        <v>0.77031654643255965</v>
      </c>
      <c r="AC458" s="50">
        <v>57070</v>
      </c>
      <c r="AD458" s="51">
        <v>0.37621751800241282</v>
      </c>
      <c r="AE458" s="50">
        <v>57070</v>
      </c>
      <c r="AF458" s="51">
        <v>0.39595401627797583</v>
      </c>
    </row>
    <row r="459" spans="1:32" x14ac:dyDescent="0.25">
      <c r="A459" s="50">
        <v>57100</v>
      </c>
      <c r="B459" s="51">
        <v>0.35537273983608691</v>
      </c>
      <c r="C459" s="50">
        <v>57100</v>
      </c>
      <c r="D459" s="51">
        <v>0.35537983948518337</v>
      </c>
      <c r="E459" s="50">
        <v>57100</v>
      </c>
      <c r="F459" s="51">
        <v>0.60716331846189042</v>
      </c>
      <c r="G459" s="50">
        <v>57100</v>
      </c>
      <c r="H459" s="51">
        <v>0.59339376332062255</v>
      </c>
      <c r="I459" s="50">
        <v>57100</v>
      </c>
      <c r="J459" s="51">
        <v>7.4215446580058658E-2</v>
      </c>
      <c r="K459" s="50">
        <v>57100</v>
      </c>
      <c r="L459" s="51">
        <v>7.4216588190251412E-2</v>
      </c>
      <c r="M459" s="50">
        <v>57100</v>
      </c>
      <c r="N459" s="51">
        <v>2.5856137314520782E-2</v>
      </c>
      <c r="O459" s="50">
        <v>57100</v>
      </c>
      <c r="P459" s="51">
        <v>3.7007902458940548E-2</v>
      </c>
      <c r="Q459" s="50">
        <v>57100</v>
      </c>
      <c r="R459" s="51">
        <v>0.74099478991473489</v>
      </c>
      <c r="S459" s="50">
        <v>57100</v>
      </c>
      <c r="T459" s="51">
        <v>0.81644201648728321</v>
      </c>
      <c r="U459" s="50">
        <v>57100</v>
      </c>
      <c r="V459" s="51">
        <v>0.57517381377079979</v>
      </c>
      <c r="W459" s="50">
        <v>57100</v>
      </c>
      <c r="X459" s="51">
        <v>0.51825655670499116</v>
      </c>
      <c r="Y459" s="50">
        <v>57100</v>
      </c>
      <c r="Z459" s="51">
        <v>0.73453179397582979</v>
      </c>
      <c r="AA459" s="50">
        <v>57100</v>
      </c>
      <c r="AB459" s="51">
        <v>0.76972197403742881</v>
      </c>
      <c r="AC459" s="50">
        <v>57100</v>
      </c>
      <c r="AD459" s="51">
        <v>0.37543290830400056</v>
      </c>
      <c r="AE459" s="50">
        <v>57100</v>
      </c>
      <c r="AF459" s="51">
        <v>0.39516822373848465</v>
      </c>
    </row>
    <row r="460" spans="1:32" x14ac:dyDescent="0.25">
      <c r="A460" s="50">
        <v>57131</v>
      </c>
      <c r="B460" s="51">
        <v>0.35459470180252006</v>
      </c>
      <c r="C460" s="50">
        <v>57131</v>
      </c>
      <c r="D460" s="51">
        <v>0.35460178395510167</v>
      </c>
      <c r="E460" s="50">
        <v>57131</v>
      </c>
      <c r="F460" s="51">
        <v>0.60650362127222934</v>
      </c>
      <c r="G460" s="50">
        <v>57131</v>
      </c>
      <c r="H460" s="51">
        <v>0.59272703190329112</v>
      </c>
      <c r="I460" s="50">
        <v>57131</v>
      </c>
      <c r="J460" s="51">
        <v>7.378849803754238E-2</v>
      </c>
      <c r="K460" s="50">
        <v>57131</v>
      </c>
      <c r="L460" s="51">
        <v>7.3789633080250425E-2</v>
      </c>
      <c r="M460" s="50">
        <v>57131</v>
      </c>
      <c r="N460" s="51">
        <v>2.559413342288977E-2</v>
      </c>
      <c r="O460" s="50">
        <v>57131</v>
      </c>
      <c r="P460" s="51">
        <v>3.6673787792503881E-2</v>
      </c>
      <c r="Q460" s="50">
        <v>57131</v>
      </c>
      <c r="R460" s="51">
        <v>0.74030505962526849</v>
      </c>
      <c r="S460" s="50">
        <v>57131</v>
      </c>
      <c r="T460" s="51">
        <v>0.81566358783250725</v>
      </c>
      <c r="U460" s="50">
        <v>57131</v>
      </c>
      <c r="V460" s="51">
        <v>0.57450151740339006</v>
      </c>
      <c r="W460" s="50">
        <v>57131</v>
      </c>
      <c r="X460" s="51">
        <v>0.51742357711944287</v>
      </c>
      <c r="Y460" s="50">
        <v>57131</v>
      </c>
      <c r="Z460" s="51">
        <v>0.73386474734626395</v>
      </c>
      <c r="AA460" s="50">
        <v>57131</v>
      </c>
      <c r="AB460" s="51">
        <v>0.76910758256246048</v>
      </c>
      <c r="AC460" s="50">
        <v>57131</v>
      </c>
      <c r="AD460" s="51">
        <v>0.37462214494897461</v>
      </c>
      <c r="AE460" s="50">
        <v>57131</v>
      </c>
      <c r="AF460" s="51">
        <v>0.39435623811434373</v>
      </c>
    </row>
    <row r="461" spans="1:32" x14ac:dyDescent="0.25">
      <c r="A461" s="50">
        <v>57161</v>
      </c>
      <c r="B461" s="51">
        <v>0.35384176177003601</v>
      </c>
      <c r="C461" s="50">
        <v>57161</v>
      </c>
      <c r="D461" s="51">
        <v>0.3538488269905064</v>
      </c>
      <c r="E461" s="50">
        <v>57161</v>
      </c>
      <c r="F461" s="51">
        <v>0.60586520463707338</v>
      </c>
      <c r="G461" s="50">
        <v>57161</v>
      </c>
      <c r="H461" s="51">
        <v>0.59208180795103482</v>
      </c>
      <c r="I461" s="50">
        <v>57161</v>
      </c>
      <c r="J461" s="51">
        <v>7.3375322028655654E-2</v>
      </c>
      <c r="K461" s="50">
        <v>57161</v>
      </c>
      <c r="L461" s="51">
        <v>7.3376450715733343E-2</v>
      </c>
      <c r="M461" s="50">
        <v>57161</v>
      </c>
      <c r="N461" s="51">
        <v>2.5340581269698469E-2</v>
      </c>
      <c r="O461" s="50">
        <v>57161</v>
      </c>
      <c r="P461" s="51">
        <v>3.6350451018532917E-2</v>
      </c>
      <c r="Q461" s="50">
        <v>57161</v>
      </c>
      <c r="R461" s="51">
        <v>0.73963757869997837</v>
      </c>
      <c r="S461" s="50">
        <v>57161</v>
      </c>
      <c r="T461" s="51">
        <v>0.81491026977949832</v>
      </c>
      <c r="U461" s="50">
        <v>57161</v>
      </c>
      <c r="V461" s="51">
        <v>0.57385090801557403</v>
      </c>
      <c r="W461" s="50">
        <v>57161</v>
      </c>
      <c r="X461" s="51">
        <v>0.51661746784310592</v>
      </c>
      <c r="Y461" s="50">
        <v>57161</v>
      </c>
      <c r="Z461" s="51">
        <v>0.73321921834990988</v>
      </c>
      <c r="AA461" s="50">
        <v>57161</v>
      </c>
      <c r="AB461" s="51">
        <v>0.76851301016732965</v>
      </c>
      <c r="AC461" s="50">
        <v>57161</v>
      </c>
      <c r="AD461" s="51">
        <v>0.37383753525056235</v>
      </c>
      <c r="AE461" s="50">
        <v>57161</v>
      </c>
      <c r="AF461" s="51">
        <v>0.39357044557485249</v>
      </c>
    </row>
    <row r="462" spans="1:32" x14ac:dyDescent="0.25">
      <c r="A462" s="50">
        <v>57192</v>
      </c>
      <c r="B462" s="51">
        <v>0.35308373168222779</v>
      </c>
      <c r="C462" s="50">
        <v>57192</v>
      </c>
      <c r="D462" s="51">
        <v>0.35309077983179193</v>
      </c>
      <c r="E462" s="50">
        <v>57192</v>
      </c>
      <c r="F462" s="51">
        <v>0.60520550744741219</v>
      </c>
      <c r="G462" s="50">
        <v>57192</v>
      </c>
      <c r="H462" s="51">
        <v>0.5914150765337034</v>
      </c>
      <c r="I462" s="50">
        <v>57192</v>
      </c>
      <c r="J462" s="51">
        <v>7.2959729183273522E-2</v>
      </c>
      <c r="K462" s="50">
        <v>57192</v>
      </c>
      <c r="L462" s="51">
        <v>7.2960851477544164E-2</v>
      </c>
      <c r="M462" s="50">
        <v>57192</v>
      </c>
      <c r="N462" s="51">
        <v>2.5078577378067457E-2</v>
      </c>
      <c r="O462" s="50">
        <v>57192</v>
      </c>
      <c r="P462" s="51">
        <v>3.6016336352096265E-2</v>
      </c>
      <c r="Q462" s="50">
        <v>57192</v>
      </c>
      <c r="R462" s="51">
        <v>0.73895900461867625</v>
      </c>
      <c r="S462" s="50">
        <v>57192</v>
      </c>
      <c r="T462" s="51">
        <v>0.81413394412411144</v>
      </c>
      <c r="U462" s="50">
        <v>57192</v>
      </c>
      <c r="V462" s="51">
        <v>0.57320343628019299</v>
      </c>
      <c r="W462" s="50">
        <v>57192</v>
      </c>
      <c r="X462" s="51">
        <v>0.51581048856396727</v>
      </c>
      <c r="Y462" s="50">
        <v>57192</v>
      </c>
      <c r="Z462" s="51">
        <v>0.73255217172034404</v>
      </c>
      <c r="AA462" s="50">
        <v>57192</v>
      </c>
      <c r="AB462" s="51">
        <v>0.76789861869236131</v>
      </c>
      <c r="AC462" s="50">
        <v>57192</v>
      </c>
      <c r="AD462" s="51">
        <v>0.37305897486151579</v>
      </c>
      <c r="AE462" s="50">
        <v>57192</v>
      </c>
      <c r="AF462" s="51">
        <v>0.39279028115015213</v>
      </c>
    </row>
    <row r="463" spans="1:32" x14ac:dyDescent="0.25">
      <c r="A463" s="50">
        <v>57223</v>
      </c>
      <c r="B463" s="51">
        <v>0.35232636852594484</v>
      </c>
      <c r="C463" s="50">
        <v>57223</v>
      </c>
      <c r="D463" s="51">
        <v>0.35233339961878968</v>
      </c>
      <c r="E463" s="50">
        <v>57223</v>
      </c>
      <c r="F463" s="51">
        <v>0.60454581025775112</v>
      </c>
      <c r="G463" s="50">
        <v>57223</v>
      </c>
      <c r="H463" s="51">
        <v>0.59074834511637186</v>
      </c>
      <c r="I463" s="50">
        <v>57223</v>
      </c>
      <c r="J463" s="51">
        <v>7.2544514861129186E-2</v>
      </c>
      <c r="K463" s="50">
        <v>57223</v>
      </c>
      <c r="L463" s="51">
        <v>7.2545630768415387E-2</v>
      </c>
      <c r="M463" s="50">
        <v>57223</v>
      </c>
      <c r="N463" s="51">
        <v>2.4816573486436445E-2</v>
      </c>
      <c r="O463" s="50">
        <v>57223</v>
      </c>
      <c r="P463" s="51">
        <v>3.5682221685659599E-2</v>
      </c>
      <c r="Q463" s="50">
        <v>57223</v>
      </c>
      <c r="R463" s="51">
        <v>0.73828080241097971</v>
      </c>
      <c r="S463" s="50">
        <v>57223</v>
      </c>
      <c r="T463" s="51">
        <v>0.81335768856870416</v>
      </c>
      <c r="U463" s="50">
        <v>57223</v>
      </c>
      <c r="V463" s="51">
        <v>0.57255679203254606</v>
      </c>
      <c r="W463" s="50">
        <v>57223</v>
      </c>
      <c r="X463" s="51">
        <v>0.515004375961709</v>
      </c>
      <c r="Y463" s="50">
        <v>57223</v>
      </c>
      <c r="Z463" s="51">
        <v>0.73188512509077819</v>
      </c>
      <c r="AA463" s="50">
        <v>57223</v>
      </c>
      <c r="AB463" s="51">
        <v>0.76728422721739287</v>
      </c>
      <c r="AC463" s="50">
        <v>57223</v>
      </c>
      <c r="AD463" s="51">
        <v>0.37228148790466853</v>
      </c>
      <c r="AE463" s="50">
        <v>57223</v>
      </c>
      <c r="AF463" s="51">
        <v>0.39201117743209979</v>
      </c>
    </row>
    <row r="464" spans="1:32" x14ac:dyDescent="0.25">
      <c r="A464" s="50">
        <v>57253</v>
      </c>
      <c r="B464" s="51">
        <v>0.35159343643921942</v>
      </c>
      <c r="C464" s="50">
        <v>57253</v>
      </c>
      <c r="D464" s="51">
        <v>0.3516004510255617</v>
      </c>
      <c r="E464" s="50">
        <v>57253</v>
      </c>
      <c r="F464" s="51">
        <v>0.60390739362259516</v>
      </c>
      <c r="G464" s="50">
        <v>57253</v>
      </c>
      <c r="H464" s="51">
        <v>0.59010312116411556</v>
      </c>
      <c r="I464" s="50">
        <v>57253</v>
      </c>
      <c r="J464" s="51">
        <v>7.2142694549376607E-2</v>
      </c>
      <c r="K464" s="50">
        <v>57253</v>
      </c>
      <c r="L464" s="51">
        <v>7.2143804275710113E-2</v>
      </c>
      <c r="M464" s="50">
        <v>57253</v>
      </c>
      <c r="N464" s="51">
        <v>2.4563021333245141E-2</v>
      </c>
      <c r="O464" s="50">
        <v>57253</v>
      </c>
      <c r="P464" s="51">
        <v>3.5358884911688634E-2</v>
      </c>
      <c r="Q464" s="50">
        <v>57253</v>
      </c>
      <c r="R464" s="51">
        <v>0.73762447769385409</v>
      </c>
      <c r="S464" s="50">
        <v>57253</v>
      </c>
      <c r="T464" s="51">
        <v>0.81260647351508419</v>
      </c>
      <c r="U464" s="50">
        <v>57253</v>
      </c>
      <c r="V464" s="51">
        <v>0.57193100727675883</v>
      </c>
      <c r="W464" s="50">
        <v>57253</v>
      </c>
      <c r="X464" s="51">
        <v>0.51422426699178159</v>
      </c>
      <c r="Y464" s="50">
        <v>57253</v>
      </c>
      <c r="Z464" s="51">
        <v>0.73123959609442413</v>
      </c>
      <c r="AA464" s="50">
        <v>57253</v>
      </c>
      <c r="AB464" s="51">
        <v>0.76668965482226215</v>
      </c>
      <c r="AC464" s="50">
        <v>57253</v>
      </c>
      <c r="AD464" s="51">
        <v>0.37152908117223571</v>
      </c>
      <c r="AE464" s="50">
        <v>57253</v>
      </c>
      <c r="AF464" s="51">
        <v>0.39125720609204911</v>
      </c>
    </row>
    <row r="465" spans="1:32" x14ac:dyDescent="0.25">
      <c r="A465" s="50">
        <v>57284</v>
      </c>
      <c r="B465" s="51">
        <v>0.35083607328293648</v>
      </c>
      <c r="C465" s="50">
        <v>57284</v>
      </c>
      <c r="D465" s="51">
        <v>0.35084307081255944</v>
      </c>
      <c r="E465" s="50">
        <v>57284</v>
      </c>
      <c r="F465" s="51">
        <v>0.60324769643293408</v>
      </c>
      <c r="G465" s="50">
        <v>57284</v>
      </c>
      <c r="H465" s="51">
        <v>0.58943638974678414</v>
      </c>
      <c r="I465" s="50">
        <v>57284</v>
      </c>
      <c r="J465" s="51">
        <v>7.1742676898984267E-2</v>
      </c>
      <c r="K465" s="50">
        <v>57284</v>
      </c>
      <c r="L465" s="51">
        <v>7.1743780472094343E-2</v>
      </c>
      <c r="M465" s="50">
        <v>57284</v>
      </c>
      <c r="N465" s="51">
        <v>2.4301017441614128E-2</v>
      </c>
      <c r="O465" s="50">
        <v>57284</v>
      </c>
      <c r="P465" s="51">
        <v>3.5024770245251975E-2</v>
      </c>
      <c r="Q465" s="50">
        <v>57284</v>
      </c>
      <c r="R465" s="51">
        <v>0.73694627548615754</v>
      </c>
      <c r="S465" s="50">
        <v>57284</v>
      </c>
      <c r="T465" s="51">
        <v>0.8118302179596768</v>
      </c>
      <c r="U465" s="50">
        <v>57284</v>
      </c>
      <c r="V465" s="51">
        <v>0.57128436302911201</v>
      </c>
      <c r="W465" s="50">
        <v>57284</v>
      </c>
      <c r="X465" s="51">
        <v>0.51341815438952321</v>
      </c>
      <c r="Y465" s="50">
        <v>57284</v>
      </c>
      <c r="Z465" s="51">
        <v>0.73057254946485828</v>
      </c>
      <c r="AA465" s="50">
        <v>57284</v>
      </c>
      <c r="AB465" s="51">
        <v>0.7660752633472937</v>
      </c>
      <c r="AC465" s="50">
        <v>57284</v>
      </c>
      <c r="AD465" s="51">
        <v>0.37075159421538845</v>
      </c>
      <c r="AE465" s="50">
        <v>57284</v>
      </c>
      <c r="AF465" s="51">
        <v>0.39047810237399677</v>
      </c>
    </row>
    <row r="466" spans="1:32" x14ac:dyDescent="0.25">
      <c r="A466" s="50">
        <v>57314</v>
      </c>
      <c r="B466" s="51">
        <v>0.35010314119621105</v>
      </c>
      <c r="C466" s="50">
        <v>57314</v>
      </c>
      <c r="D466" s="51">
        <v>0.35011012221933147</v>
      </c>
      <c r="E466" s="50">
        <v>57314</v>
      </c>
      <c r="F466" s="51">
        <v>0.60260927979777812</v>
      </c>
      <c r="G466" s="50">
        <v>57314</v>
      </c>
      <c r="H466" s="51">
        <v>0.58879116579452784</v>
      </c>
      <c r="I466" s="50">
        <v>57314</v>
      </c>
      <c r="J466" s="51">
        <v>7.1356053258983684E-2</v>
      </c>
      <c r="K466" s="50">
        <v>57314</v>
      </c>
      <c r="L466" s="51">
        <v>7.135715088490209E-2</v>
      </c>
      <c r="M466" s="50">
        <v>57314</v>
      </c>
      <c r="N466" s="51">
        <v>2.4047465288422828E-2</v>
      </c>
      <c r="O466" s="50">
        <v>57314</v>
      </c>
      <c r="P466" s="51">
        <v>3.4701433471281011E-2</v>
      </c>
      <c r="Q466" s="50">
        <v>57314</v>
      </c>
      <c r="R466" s="51">
        <v>0.73628995076903181</v>
      </c>
      <c r="S466" s="50">
        <v>57314</v>
      </c>
      <c r="T466" s="51">
        <v>0.81107900290605683</v>
      </c>
      <c r="U466" s="50">
        <v>57314</v>
      </c>
      <c r="V466" s="51">
        <v>0.57065857827332467</v>
      </c>
      <c r="W466" s="50">
        <v>57314</v>
      </c>
      <c r="X466" s="51">
        <v>0.51263804541959579</v>
      </c>
      <c r="Y466" s="50">
        <v>57314</v>
      </c>
      <c r="Z466" s="51">
        <v>0.72992702046850422</v>
      </c>
      <c r="AA466" s="50">
        <v>57314</v>
      </c>
      <c r="AB466" s="51">
        <v>0.76548069095216298</v>
      </c>
      <c r="AC466" s="50">
        <v>57314</v>
      </c>
      <c r="AD466" s="51">
        <v>0.36999918748295563</v>
      </c>
      <c r="AE466" s="50">
        <v>57314</v>
      </c>
      <c r="AF466" s="51">
        <v>0.3897241310339461</v>
      </c>
    </row>
    <row r="467" spans="1:32" x14ac:dyDescent="0.25">
      <c r="A467" s="50">
        <v>57345</v>
      </c>
      <c r="B467" s="51">
        <v>0.34934577803992811</v>
      </c>
      <c r="C467" s="50">
        <v>57345</v>
      </c>
      <c r="D467" s="51">
        <v>0.34935274200632921</v>
      </c>
      <c r="E467" s="50">
        <v>57345</v>
      </c>
      <c r="F467" s="51">
        <v>0.60194958260811704</v>
      </c>
      <c r="G467" s="50">
        <v>57345</v>
      </c>
      <c r="H467" s="51">
        <v>0.58812443437719641</v>
      </c>
      <c r="I467" s="50">
        <v>57345</v>
      </c>
      <c r="J467" s="51">
        <v>7.0956542164316405E-2</v>
      </c>
      <c r="K467" s="50">
        <v>57345</v>
      </c>
      <c r="L467" s="51">
        <v>7.0957633644803425E-2</v>
      </c>
      <c r="M467" s="50">
        <v>57345</v>
      </c>
      <c r="N467" s="51">
        <v>2.3785461396791815E-2</v>
      </c>
      <c r="O467" s="50">
        <v>57345</v>
      </c>
      <c r="P467" s="51">
        <v>3.4367318804844352E-2</v>
      </c>
      <c r="Q467" s="50">
        <v>57345</v>
      </c>
      <c r="R467" s="51">
        <v>0.73561174856133527</v>
      </c>
      <c r="S467" s="50">
        <v>57345</v>
      </c>
      <c r="T467" s="51">
        <v>0.81030274735064955</v>
      </c>
      <c r="U467" s="50">
        <v>57345</v>
      </c>
      <c r="V467" s="51">
        <v>0.57001193402567785</v>
      </c>
      <c r="W467" s="50">
        <v>57345</v>
      </c>
      <c r="X467" s="51">
        <v>0.51183193281733752</v>
      </c>
      <c r="Y467" s="50">
        <v>57345</v>
      </c>
      <c r="Z467" s="51">
        <v>0.72925997383893837</v>
      </c>
      <c r="AA467" s="50">
        <v>57345</v>
      </c>
      <c r="AB467" s="51">
        <v>0.76486629947719453</v>
      </c>
      <c r="AC467" s="50">
        <v>57345</v>
      </c>
      <c r="AD467" s="51">
        <v>0.36922170052610837</v>
      </c>
      <c r="AE467" s="50">
        <v>57345</v>
      </c>
      <c r="AF467" s="51">
        <v>0.38894502731589375</v>
      </c>
    </row>
    <row r="468" spans="1:32" x14ac:dyDescent="0.25">
      <c r="A468" s="50">
        <v>57376</v>
      </c>
      <c r="B468" s="51">
        <v>0.34858641989348976</v>
      </c>
      <c r="C468" s="50">
        <v>57376</v>
      </c>
      <c r="D468" s="51">
        <v>0.34859336678947062</v>
      </c>
      <c r="E468" s="50">
        <v>57376</v>
      </c>
      <c r="F468" s="51">
        <v>0.60129677474323351</v>
      </c>
      <c r="G468" s="50">
        <v>57376</v>
      </c>
      <c r="H468" s="51">
        <v>0.58746493689073098</v>
      </c>
      <c r="I468" s="50">
        <v>57376</v>
      </c>
      <c r="J468" s="51">
        <v>7.0550688570583359E-2</v>
      </c>
      <c r="K468" s="50">
        <v>57376</v>
      </c>
      <c r="L468" s="51">
        <v>7.0551773808076243E-2</v>
      </c>
      <c r="M468" s="50">
        <v>57376</v>
      </c>
      <c r="N468" s="51">
        <v>2.3523457505160803E-2</v>
      </c>
      <c r="O468" s="50">
        <v>57376</v>
      </c>
      <c r="P468" s="51">
        <v>3.4033204138407692E-2</v>
      </c>
      <c r="Q468" s="50">
        <v>57376</v>
      </c>
      <c r="R468" s="51">
        <v>0.73491648658425257</v>
      </c>
      <c r="S468" s="50">
        <v>57376</v>
      </c>
      <c r="T468" s="51">
        <v>0.80950786419996024</v>
      </c>
      <c r="U468" s="50">
        <v>57376</v>
      </c>
      <c r="V468" s="51">
        <v>0.56934839494255851</v>
      </c>
      <c r="W468" s="50">
        <v>57376</v>
      </c>
      <c r="X468" s="51">
        <v>0.51100762634298491</v>
      </c>
      <c r="Y468" s="50">
        <v>57376</v>
      </c>
      <c r="Z468" s="51">
        <v>0.72858970839344062</v>
      </c>
      <c r="AA468" s="50">
        <v>57376</v>
      </c>
      <c r="AB468" s="51">
        <v>0.76424732861548517</v>
      </c>
      <c r="AC468" s="50">
        <v>57376</v>
      </c>
      <c r="AD468" s="51">
        <v>0.36842867298789383</v>
      </c>
      <c r="AE468" s="50">
        <v>57376</v>
      </c>
      <c r="AF468" s="51">
        <v>0.38814987521592609</v>
      </c>
    </row>
    <row r="469" spans="1:32" x14ac:dyDescent="0.25">
      <c r="A469" s="50">
        <v>57404</v>
      </c>
      <c r="B469" s="51">
        <v>0.34790048795506762</v>
      </c>
      <c r="C469" s="50">
        <v>57404</v>
      </c>
      <c r="D469" s="51">
        <v>0.34790741943219194</v>
      </c>
      <c r="E469" s="50">
        <v>57404</v>
      </c>
      <c r="F469" s="51">
        <v>0.60070734925354718</v>
      </c>
      <c r="G469" s="50">
        <v>57404</v>
      </c>
      <c r="H469" s="51">
        <v>0.58686947953743351</v>
      </c>
      <c r="I469" s="50">
        <v>57404</v>
      </c>
      <c r="J469" s="51">
        <v>7.0183920174121422E-2</v>
      </c>
      <c r="K469" s="50">
        <v>57404</v>
      </c>
      <c r="L469" s="51">
        <v>7.018499976984352E-2</v>
      </c>
      <c r="M469" s="50">
        <v>57404</v>
      </c>
      <c r="N469" s="51">
        <v>2.3286808828848919E-2</v>
      </c>
      <c r="O469" s="50">
        <v>57404</v>
      </c>
      <c r="P469" s="51">
        <v>3.3731423149368125E-2</v>
      </c>
      <c r="Q469" s="50">
        <v>57404</v>
      </c>
      <c r="R469" s="51">
        <v>0.73428799439684145</v>
      </c>
      <c r="S469" s="50">
        <v>57404</v>
      </c>
      <c r="T469" s="51">
        <v>0.80878934439431838</v>
      </c>
      <c r="U469" s="50">
        <v>57404</v>
      </c>
      <c r="V469" s="51">
        <v>0.56874856065738266</v>
      </c>
      <c r="W469" s="50">
        <v>57404</v>
      </c>
      <c r="X469" s="51">
        <v>0.51026254369043123</v>
      </c>
      <c r="Y469" s="50">
        <v>57404</v>
      </c>
      <c r="Z469" s="51">
        <v>0.72798421043530703</v>
      </c>
      <c r="AA469" s="50">
        <v>57404</v>
      </c>
      <c r="AB469" s="51">
        <v>0.76368812028573829</v>
      </c>
      <c r="AC469" s="50">
        <v>57404</v>
      </c>
      <c r="AD469" s="51">
        <v>0.36771192216168047</v>
      </c>
      <c r="AE469" s="50">
        <v>57404</v>
      </c>
      <c r="AF469" s="51">
        <v>0.38743119014209115</v>
      </c>
    </row>
    <row r="470" spans="1:32" x14ac:dyDescent="0.25">
      <c r="A470" s="50">
        <v>57435</v>
      </c>
      <c r="B470" s="51">
        <v>0.34714106330895744</v>
      </c>
      <c r="C470" s="50">
        <v>57435</v>
      </c>
      <c r="D470" s="51">
        <v>0.34714797771520478</v>
      </c>
      <c r="E470" s="50">
        <v>57435</v>
      </c>
      <c r="F470" s="51">
        <v>0.6000547710328229</v>
      </c>
      <c r="G470" s="50">
        <v>57435</v>
      </c>
      <c r="H470" s="51">
        <v>0.586210223181997</v>
      </c>
      <c r="I470" s="50">
        <v>57435</v>
      </c>
      <c r="J470" s="51">
        <v>6.9777855163752844E-2</v>
      </c>
      <c r="K470" s="50">
        <v>57435</v>
      </c>
      <c r="L470" s="51">
        <v>6.9778928513228713E-2</v>
      </c>
      <c r="M470" s="50">
        <v>57435</v>
      </c>
      <c r="N470" s="51">
        <v>2.302480493721791E-2</v>
      </c>
      <c r="O470" s="50">
        <v>57435</v>
      </c>
      <c r="P470" s="51">
        <v>3.3397308482931466E-2</v>
      </c>
      <c r="Q470" s="50">
        <v>57435</v>
      </c>
      <c r="R470" s="51">
        <v>0.73359216376077918</v>
      </c>
      <c r="S470" s="50">
        <v>57435</v>
      </c>
      <c r="T470" s="51">
        <v>0.80799384032378618</v>
      </c>
      <c r="U470" s="50">
        <v>57435</v>
      </c>
      <c r="V470" s="51">
        <v>0.56808445841308086</v>
      </c>
      <c r="W470" s="50">
        <v>57435</v>
      </c>
      <c r="X470" s="51">
        <v>0.50943763075367554</v>
      </c>
      <c r="Y470" s="50">
        <v>57435</v>
      </c>
      <c r="Z470" s="51">
        <v>0.72731383769594482</v>
      </c>
      <c r="AA470" s="50">
        <v>57435</v>
      </c>
      <c r="AB470" s="51">
        <v>0.76306899677780426</v>
      </c>
      <c r="AC470" s="50">
        <v>57435</v>
      </c>
      <c r="AD470" s="51">
        <v>0.36691837660408705</v>
      </c>
      <c r="AE470" s="50">
        <v>57435</v>
      </c>
      <c r="AF470" s="51">
        <v>0.3866355030960596</v>
      </c>
    </row>
    <row r="471" spans="1:32" x14ac:dyDescent="0.25">
      <c r="A471" s="50">
        <v>57465</v>
      </c>
      <c r="B471" s="51">
        <v>0.34640613623207661</v>
      </c>
      <c r="C471" s="50">
        <v>57465</v>
      </c>
      <c r="D471" s="51">
        <v>0.34641303411812052</v>
      </c>
      <c r="E471" s="50">
        <v>57465</v>
      </c>
      <c r="F471" s="51">
        <v>0.5994232437224446</v>
      </c>
      <c r="G471" s="50">
        <v>57465</v>
      </c>
      <c r="H471" s="51">
        <v>0.58557223316060691</v>
      </c>
      <c r="I471" s="50">
        <v>57465</v>
      </c>
      <c r="J471" s="51">
        <v>6.9391314730978371E-2</v>
      </c>
      <c r="K471" s="50">
        <v>57465</v>
      </c>
      <c r="L471" s="51">
        <v>6.9392382134542449E-2</v>
      </c>
      <c r="M471" s="50">
        <v>57465</v>
      </c>
      <c r="N471" s="51">
        <v>2.2771252784026606E-2</v>
      </c>
      <c r="O471" s="50">
        <v>57465</v>
      </c>
      <c r="P471" s="51">
        <v>3.3073971708960502E-2</v>
      </c>
      <c r="Q471" s="50">
        <v>57465</v>
      </c>
      <c r="R471" s="51">
        <v>0.7329187792742673</v>
      </c>
      <c r="S471" s="50">
        <v>57465</v>
      </c>
      <c r="T471" s="51">
        <v>0.80722399767488417</v>
      </c>
      <c r="U471" s="50">
        <v>57465</v>
      </c>
      <c r="V471" s="51">
        <v>0.56744177882182112</v>
      </c>
      <c r="W471" s="50">
        <v>57465</v>
      </c>
      <c r="X471" s="51">
        <v>0.50863932791165378</v>
      </c>
      <c r="Y471" s="50">
        <v>57465</v>
      </c>
      <c r="Z471" s="51">
        <v>0.72666508988365885</v>
      </c>
      <c r="AA471" s="50">
        <v>57465</v>
      </c>
      <c r="AB471" s="51">
        <v>0.76246984499593251</v>
      </c>
      <c r="AC471" s="50">
        <v>57465</v>
      </c>
      <c r="AD471" s="51">
        <v>0.36615042929028696</v>
      </c>
      <c r="AE471" s="50">
        <v>57465</v>
      </c>
      <c r="AF471" s="51">
        <v>0.3858654833740936</v>
      </c>
    </row>
    <row r="472" spans="1:32" x14ac:dyDescent="0.25">
      <c r="A472" s="50">
        <v>57496</v>
      </c>
      <c r="B472" s="51">
        <v>0.34564671158596638</v>
      </c>
      <c r="C472" s="50">
        <v>57496</v>
      </c>
      <c r="D472" s="51">
        <v>0.34565359240113336</v>
      </c>
      <c r="E472" s="50">
        <v>57496</v>
      </c>
      <c r="F472" s="51">
        <v>0.59877066550172042</v>
      </c>
      <c r="G472" s="50">
        <v>57496</v>
      </c>
      <c r="H472" s="51">
        <v>0.5849129768051704</v>
      </c>
      <c r="I472" s="50">
        <v>57496</v>
      </c>
      <c r="J472" s="51">
        <v>6.899211857905975E-2</v>
      </c>
      <c r="K472" s="50">
        <v>57496</v>
      </c>
      <c r="L472" s="51">
        <v>6.8993179842036942E-2</v>
      </c>
      <c r="M472" s="50">
        <v>57496</v>
      </c>
      <c r="N472" s="51">
        <v>2.2509248892395594E-2</v>
      </c>
      <c r="O472" s="50">
        <v>57496</v>
      </c>
      <c r="P472" s="51">
        <v>3.2739857042523836E-2</v>
      </c>
      <c r="Q472" s="50">
        <v>57496</v>
      </c>
      <c r="R472" s="51">
        <v>0.73222294863820503</v>
      </c>
      <c r="S472" s="50">
        <v>57496</v>
      </c>
      <c r="T472" s="51">
        <v>0.80642849360435209</v>
      </c>
      <c r="U472" s="50">
        <v>57496</v>
      </c>
      <c r="V472" s="51">
        <v>0.56677767657751932</v>
      </c>
      <c r="W472" s="50">
        <v>57496</v>
      </c>
      <c r="X472" s="51">
        <v>0.5078144149748981</v>
      </c>
      <c r="Y472" s="50">
        <v>57496</v>
      </c>
      <c r="Z472" s="51">
        <v>0.72599471714429664</v>
      </c>
      <c r="AA472" s="50">
        <v>57496</v>
      </c>
      <c r="AB472" s="51">
        <v>0.76185072148799848</v>
      </c>
      <c r="AC472" s="50">
        <v>57496</v>
      </c>
      <c r="AD472" s="51">
        <v>0.36535688373269359</v>
      </c>
      <c r="AE472" s="50">
        <v>57496</v>
      </c>
      <c r="AF472" s="51">
        <v>0.3850697963280621</v>
      </c>
    </row>
    <row r="473" spans="1:32" x14ac:dyDescent="0.25">
      <c r="A473" s="50">
        <v>57526</v>
      </c>
      <c r="B473" s="51">
        <v>0.34491178450908555</v>
      </c>
      <c r="C473" s="50">
        <v>57526</v>
      </c>
      <c r="D473" s="51">
        <v>0.34491864880404904</v>
      </c>
      <c r="E473" s="50">
        <v>57526</v>
      </c>
      <c r="F473" s="51">
        <v>0.59813913819134212</v>
      </c>
      <c r="G473" s="50">
        <v>57526</v>
      </c>
      <c r="H473" s="51">
        <v>0.5842749867837802</v>
      </c>
      <c r="I473" s="50">
        <v>57526</v>
      </c>
      <c r="J473" s="51">
        <v>6.8605799722364316E-2</v>
      </c>
      <c r="K473" s="50">
        <v>57526</v>
      </c>
      <c r="L473" s="51">
        <v>6.8606855042838061E-2</v>
      </c>
      <c r="M473" s="50">
        <v>57526</v>
      </c>
      <c r="N473" s="51">
        <v>2.225569673920429E-2</v>
      </c>
      <c r="O473" s="50">
        <v>57526</v>
      </c>
      <c r="P473" s="51">
        <v>3.2416520268552872E-2</v>
      </c>
      <c r="Q473" s="50">
        <v>57526</v>
      </c>
      <c r="R473" s="51">
        <v>0.73154956415169314</v>
      </c>
      <c r="S473" s="50">
        <v>57526</v>
      </c>
      <c r="T473" s="51">
        <v>0.80565865095545008</v>
      </c>
      <c r="U473" s="50">
        <v>57526</v>
      </c>
      <c r="V473" s="51">
        <v>0.56613499698625946</v>
      </c>
      <c r="W473" s="50">
        <v>57526</v>
      </c>
      <c r="X473" s="51">
        <v>0.50701611213287634</v>
      </c>
      <c r="Y473" s="50">
        <v>57526</v>
      </c>
      <c r="Z473" s="51">
        <v>0.72534596933201057</v>
      </c>
      <c r="AA473" s="50">
        <v>57526</v>
      </c>
      <c r="AB473" s="51">
        <v>0.76125156970612684</v>
      </c>
      <c r="AC473" s="50">
        <v>57526</v>
      </c>
      <c r="AD473" s="51">
        <v>0.36458893641889351</v>
      </c>
      <c r="AE473" s="50">
        <v>57526</v>
      </c>
      <c r="AF473" s="51">
        <v>0.3842997766060961</v>
      </c>
    </row>
    <row r="474" spans="1:32" x14ac:dyDescent="0.25">
      <c r="A474" s="50">
        <v>57557</v>
      </c>
      <c r="B474" s="51">
        <v>0.34417617322011329</v>
      </c>
      <c r="C474" s="50">
        <v>57557</v>
      </c>
      <c r="D474" s="51">
        <v>0.34418302094414394</v>
      </c>
      <c r="E474" s="50">
        <v>57557</v>
      </c>
      <c r="F474" s="51">
        <v>0.59748655997061795</v>
      </c>
      <c r="G474" s="50">
        <v>57557</v>
      </c>
      <c r="H474" s="51">
        <v>0.58361573042834369</v>
      </c>
      <c r="I474" s="50">
        <v>57557</v>
      </c>
      <c r="J474" s="51">
        <v>6.82172211277082E-2</v>
      </c>
      <c r="K474" s="50">
        <v>57557</v>
      </c>
      <c r="L474" s="51">
        <v>6.8218270470918399E-2</v>
      </c>
      <c r="M474" s="50">
        <v>57557</v>
      </c>
      <c r="N474" s="51">
        <v>2.1993692847573278E-2</v>
      </c>
      <c r="O474" s="50">
        <v>57557</v>
      </c>
      <c r="P474" s="51">
        <v>3.2082405602116212E-2</v>
      </c>
      <c r="Q474" s="50">
        <v>57557</v>
      </c>
      <c r="R474" s="51">
        <v>0.73086757404728087</v>
      </c>
      <c r="S474" s="50">
        <v>57557</v>
      </c>
      <c r="T474" s="51">
        <v>0.80486754843874475</v>
      </c>
      <c r="U474" s="50">
        <v>57557</v>
      </c>
      <c r="V474" s="51">
        <v>0.56549917335938082</v>
      </c>
      <c r="W474" s="50">
        <v>57557</v>
      </c>
      <c r="X474" s="51">
        <v>0.50622085697129449</v>
      </c>
      <c r="Y474" s="50">
        <v>57557</v>
      </c>
      <c r="Z474" s="51">
        <v>0.72467559659264846</v>
      </c>
      <c r="AA474" s="50">
        <v>57557</v>
      </c>
      <c r="AB474" s="51">
        <v>0.76063244619819281</v>
      </c>
      <c r="AC474" s="50">
        <v>57557</v>
      </c>
      <c r="AD474" s="51">
        <v>0.36383114115287285</v>
      </c>
      <c r="AE474" s="50">
        <v>57557</v>
      </c>
      <c r="AF474" s="51">
        <v>0.38353951949622189</v>
      </c>
    </row>
    <row r="475" spans="1:32" x14ac:dyDescent="0.25">
      <c r="A475" s="50">
        <v>57588</v>
      </c>
      <c r="B475" s="51">
        <v>0.34344135570971224</v>
      </c>
      <c r="C475" s="50">
        <v>57588</v>
      </c>
      <c r="D475" s="51">
        <v>0.34344818687947487</v>
      </c>
      <c r="E475" s="50">
        <v>57588</v>
      </c>
      <c r="F475" s="51">
        <v>0.59683398174989366</v>
      </c>
      <c r="G475" s="50">
        <v>57588</v>
      </c>
      <c r="H475" s="51">
        <v>0.58295647407290718</v>
      </c>
      <c r="I475" s="50">
        <v>57588</v>
      </c>
      <c r="J475" s="51">
        <v>6.7828996451627516E-2</v>
      </c>
      <c r="K475" s="50">
        <v>57588</v>
      </c>
      <c r="L475" s="51">
        <v>6.7830039823018273E-2</v>
      </c>
      <c r="M475" s="50">
        <v>57588</v>
      </c>
      <c r="N475" s="51">
        <v>2.1731688955942269E-2</v>
      </c>
      <c r="O475" s="50">
        <v>57588</v>
      </c>
      <c r="P475" s="51">
        <v>3.1748290935679553E-2</v>
      </c>
      <c r="Q475" s="50">
        <v>57588</v>
      </c>
      <c r="R475" s="51">
        <v>0.73018604529392361</v>
      </c>
      <c r="S475" s="50">
        <v>57588</v>
      </c>
      <c r="T475" s="51">
        <v>0.80407659264050024</v>
      </c>
      <c r="U475" s="50">
        <v>57588</v>
      </c>
      <c r="V475" s="51">
        <v>0.56486429235308289</v>
      </c>
      <c r="W475" s="50">
        <v>57588</v>
      </c>
      <c r="X475" s="51">
        <v>0.50542659040221838</v>
      </c>
      <c r="Y475" s="50">
        <v>57588</v>
      </c>
      <c r="Z475" s="51">
        <v>0.72400522385328625</v>
      </c>
      <c r="AA475" s="50">
        <v>57588</v>
      </c>
      <c r="AB475" s="51">
        <v>0.76001332269025879</v>
      </c>
      <c r="AC475" s="50">
        <v>57588</v>
      </c>
      <c r="AD475" s="51">
        <v>0.36307453756323793</v>
      </c>
      <c r="AE475" s="50">
        <v>57588</v>
      </c>
      <c r="AF475" s="51">
        <v>0.38278044338421957</v>
      </c>
    </row>
    <row r="476" spans="1:32" x14ac:dyDescent="0.25">
      <c r="A476" s="50">
        <v>57618</v>
      </c>
      <c r="B476" s="51">
        <v>0.34273024198996932</v>
      </c>
      <c r="C476" s="50">
        <v>57618</v>
      </c>
      <c r="D476" s="51">
        <v>0.34273705713947256</v>
      </c>
      <c r="E476" s="50">
        <v>57618</v>
      </c>
      <c r="F476" s="51">
        <v>0.59620245443951536</v>
      </c>
      <c r="G476" s="50">
        <v>57618</v>
      </c>
      <c r="H476" s="51">
        <v>0.58231848405151709</v>
      </c>
      <c r="I476" s="50">
        <v>57618</v>
      </c>
      <c r="J476" s="51">
        <v>6.7453295152194601E-2</v>
      </c>
      <c r="K476" s="50">
        <v>57618</v>
      </c>
      <c r="L476" s="51">
        <v>6.7454332744405238E-2</v>
      </c>
      <c r="M476" s="50">
        <v>57618</v>
      </c>
      <c r="N476" s="51">
        <v>2.1478136802750965E-2</v>
      </c>
      <c r="O476" s="50">
        <v>57618</v>
      </c>
      <c r="P476" s="51">
        <v>3.1424954161708589E-2</v>
      </c>
      <c r="Q476" s="50">
        <v>57618</v>
      </c>
      <c r="R476" s="51">
        <v>0.72952650133906172</v>
      </c>
      <c r="S476" s="50">
        <v>57618</v>
      </c>
      <c r="T476" s="51">
        <v>0.80331115154542498</v>
      </c>
      <c r="U476" s="50">
        <v>57618</v>
      </c>
      <c r="V476" s="51">
        <v>0.56424989137924619</v>
      </c>
      <c r="W476" s="50">
        <v>57618</v>
      </c>
      <c r="X476" s="51">
        <v>0.50465794533537045</v>
      </c>
      <c r="Y476" s="50">
        <v>57618</v>
      </c>
      <c r="Z476" s="51">
        <v>0.72335647604100028</v>
      </c>
      <c r="AA476" s="50">
        <v>57618</v>
      </c>
      <c r="AB476" s="51">
        <v>0.75941417090838714</v>
      </c>
      <c r="AC476" s="50">
        <v>57618</v>
      </c>
      <c r="AD476" s="51">
        <v>0.36234234054101055</v>
      </c>
      <c r="AE476" s="50">
        <v>57618</v>
      </c>
      <c r="AF476" s="51">
        <v>0.38204585359841092</v>
      </c>
    </row>
    <row r="477" spans="1:32" x14ac:dyDescent="0.25">
      <c r="A477" s="50">
        <v>57649</v>
      </c>
      <c r="B477" s="51">
        <v>0.34199542447956827</v>
      </c>
      <c r="C477" s="50">
        <v>57649</v>
      </c>
      <c r="D477" s="51">
        <v>0.34200222307480349</v>
      </c>
      <c r="E477" s="50">
        <v>57649</v>
      </c>
      <c r="F477" s="51">
        <v>0.59554987621879119</v>
      </c>
      <c r="G477" s="50">
        <v>57649</v>
      </c>
      <c r="H477" s="51">
        <v>0.58165922769608058</v>
      </c>
      <c r="I477" s="50">
        <v>57649</v>
      </c>
      <c r="J477" s="51">
        <v>6.7079279338028763E-2</v>
      </c>
      <c r="K477" s="50">
        <v>57649</v>
      </c>
      <c r="L477" s="51">
        <v>6.7080311176986096E-2</v>
      </c>
      <c r="M477" s="50">
        <v>57649</v>
      </c>
      <c r="N477" s="51">
        <v>2.1216132911119952E-2</v>
      </c>
      <c r="O477" s="50">
        <v>57649</v>
      </c>
      <c r="P477" s="51">
        <v>3.109083949527193E-2</v>
      </c>
      <c r="Q477" s="50">
        <v>57649</v>
      </c>
      <c r="R477" s="51">
        <v>0.72884497258570446</v>
      </c>
      <c r="S477" s="50">
        <v>57649</v>
      </c>
      <c r="T477" s="51">
        <v>0.80252019574718059</v>
      </c>
      <c r="U477" s="50">
        <v>57649</v>
      </c>
      <c r="V477" s="51">
        <v>0.56361501037294837</v>
      </c>
      <c r="W477" s="50">
        <v>57649</v>
      </c>
      <c r="X477" s="51">
        <v>0.50386367876629434</v>
      </c>
      <c r="Y477" s="50">
        <v>57649</v>
      </c>
      <c r="Z477" s="51">
        <v>0.72268610330163807</v>
      </c>
      <c r="AA477" s="50">
        <v>57649</v>
      </c>
      <c r="AB477" s="51">
        <v>0.758795047400453</v>
      </c>
      <c r="AC477" s="50">
        <v>57649</v>
      </c>
      <c r="AD477" s="51">
        <v>0.36158573695137564</v>
      </c>
      <c r="AE477" s="50">
        <v>57649</v>
      </c>
      <c r="AF477" s="51">
        <v>0.3812867774864086</v>
      </c>
    </row>
    <row r="478" spans="1:32" x14ac:dyDescent="0.25">
      <c r="A478" s="50">
        <v>57679</v>
      </c>
      <c r="B478" s="51">
        <v>0.34128431075982535</v>
      </c>
      <c r="C478" s="50">
        <v>57679</v>
      </c>
      <c r="D478" s="51">
        <v>0.34129109333480118</v>
      </c>
      <c r="E478" s="50">
        <v>57679</v>
      </c>
      <c r="F478" s="51">
        <v>0.59491834890841289</v>
      </c>
      <c r="G478" s="50">
        <v>57679</v>
      </c>
      <c r="H478" s="51">
        <v>0.58102123767469038</v>
      </c>
      <c r="I478" s="50">
        <v>57679</v>
      </c>
      <c r="J478" s="51">
        <v>6.6717786900510695E-2</v>
      </c>
      <c r="K478" s="50">
        <v>57679</v>
      </c>
      <c r="L478" s="51">
        <v>6.6718813178854058E-2</v>
      </c>
      <c r="M478" s="50">
        <v>57679</v>
      </c>
      <c r="N478" s="51">
        <v>2.0962580757928648E-2</v>
      </c>
      <c r="O478" s="50">
        <v>57679</v>
      </c>
      <c r="P478" s="51">
        <v>3.0767502721300966E-2</v>
      </c>
      <c r="Q478" s="50">
        <v>57679</v>
      </c>
      <c r="R478" s="51">
        <v>0.72818542863084257</v>
      </c>
      <c r="S478" s="50">
        <v>57679</v>
      </c>
      <c r="T478" s="51">
        <v>0.80175475465210533</v>
      </c>
      <c r="U478" s="50">
        <v>57679</v>
      </c>
      <c r="V478" s="51">
        <v>0.56300060939911167</v>
      </c>
      <c r="W478" s="50">
        <v>57679</v>
      </c>
      <c r="X478" s="51">
        <v>0.50309503369944653</v>
      </c>
      <c r="Y478" s="50">
        <v>57679</v>
      </c>
      <c r="Z478" s="51">
        <v>0.722037355489352</v>
      </c>
      <c r="AA478" s="50">
        <v>57679</v>
      </c>
      <c r="AB478" s="51">
        <v>0.75819589561858136</v>
      </c>
      <c r="AC478" s="50">
        <v>57679</v>
      </c>
      <c r="AD478" s="51">
        <v>0.36085353992914831</v>
      </c>
      <c r="AE478" s="50">
        <v>57679</v>
      </c>
      <c r="AF478" s="51">
        <v>0.38055218770059995</v>
      </c>
    </row>
    <row r="479" spans="1:32" x14ac:dyDescent="0.25">
      <c r="A479" s="50">
        <v>57710</v>
      </c>
      <c r="B479" s="51">
        <v>0.3405494932494243</v>
      </c>
      <c r="C479" s="50">
        <v>57710</v>
      </c>
      <c r="D479" s="51">
        <v>0.34055625927013211</v>
      </c>
      <c r="E479" s="50">
        <v>57710</v>
      </c>
      <c r="F479" s="51">
        <v>0.59426577068768871</v>
      </c>
      <c r="G479" s="50">
        <v>57710</v>
      </c>
      <c r="H479" s="51">
        <v>0.58036198131925387</v>
      </c>
      <c r="I479" s="50">
        <v>57710</v>
      </c>
      <c r="J479" s="51">
        <v>6.6344244715075357E-2</v>
      </c>
      <c r="K479" s="50">
        <v>57710</v>
      </c>
      <c r="L479" s="51">
        <v>6.6345265247450963E-2</v>
      </c>
      <c r="M479" s="50">
        <v>57710</v>
      </c>
      <c r="N479" s="51">
        <v>2.0700576866297636E-2</v>
      </c>
      <c r="O479" s="50">
        <v>57710</v>
      </c>
      <c r="P479" s="51">
        <v>3.0433388054864306E-2</v>
      </c>
      <c r="Q479" s="50">
        <v>57710</v>
      </c>
      <c r="R479" s="51">
        <v>0.72750389987748532</v>
      </c>
      <c r="S479" s="50">
        <v>57710</v>
      </c>
      <c r="T479" s="51">
        <v>0.80096379885386082</v>
      </c>
      <c r="U479" s="50">
        <v>57710</v>
      </c>
      <c r="V479" s="51">
        <v>0.56236572839281374</v>
      </c>
      <c r="W479" s="50">
        <v>57710</v>
      </c>
      <c r="X479" s="51">
        <v>0.50230076713037042</v>
      </c>
      <c r="Y479" s="50">
        <v>57710</v>
      </c>
      <c r="Z479" s="51">
        <v>0.72136698274998989</v>
      </c>
      <c r="AA479" s="50">
        <v>57710</v>
      </c>
      <c r="AB479" s="51">
        <v>0.75757677211064733</v>
      </c>
      <c r="AC479" s="50">
        <v>57710</v>
      </c>
      <c r="AD479" s="51">
        <v>0.3600969363395134</v>
      </c>
      <c r="AE479" s="50">
        <v>57710</v>
      </c>
      <c r="AF479" s="51">
        <v>0.37979311158859763</v>
      </c>
    </row>
    <row r="480" spans="1:32" x14ac:dyDescent="0.25">
      <c r="A480" s="50">
        <v>57741</v>
      </c>
      <c r="B480" s="51">
        <v>0.33981268803259335</v>
      </c>
      <c r="C480" s="50">
        <v>57741</v>
      </c>
      <c r="D480" s="51">
        <v>0.3398194374855229</v>
      </c>
      <c r="E480" s="50">
        <v>57741</v>
      </c>
      <c r="F480" s="51">
        <v>0.59362173699719578</v>
      </c>
      <c r="G480" s="50">
        <v>57741</v>
      </c>
      <c r="H480" s="51">
        <v>0.57971162404356635</v>
      </c>
      <c r="I480" s="50">
        <v>57741</v>
      </c>
      <c r="J480" s="51">
        <v>6.5964772303937214E-2</v>
      </c>
      <c r="K480" s="50">
        <v>57741</v>
      </c>
      <c r="L480" s="51">
        <v>6.596578699912399E-2</v>
      </c>
      <c r="M480" s="50">
        <v>57741</v>
      </c>
      <c r="N480" s="51">
        <v>2.0438572974666627E-2</v>
      </c>
      <c r="O480" s="50">
        <v>57741</v>
      </c>
      <c r="P480" s="51">
        <v>3.009927338842764E-2</v>
      </c>
      <c r="Q480" s="50">
        <v>57741</v>
      </c>
      <c r="R480" s="51">
        <v>0.72680542732063513</v>
      </c>
      <c r="S480" s="50">
        <v>57741</v>
      </c>
      <c r="T480" s="51">
        <v>0.8001542466285837</v>
      </c>
      <c r="U480" s="50">
        <v>57741</v>
      </c>
      <c r="V480" s="51">
        <v>0.56171418582226296</v>
      </c>
      <c r="W480" s="50">
        <v>57741</v>
      </c>
      <c r="X480" s="51">
        <v>0.50148864892309852</v>
      </c>
      <c r="Y480" s="50">
        <v>57741</v>
      </c>
      <c r="Z480" s="51">
        <v>0.72069484969711417</v>
      </c>
      <c r="AA480" s="50">
        <v>57741</v>
      </c>
      <c r="AB480" s="51">
        <v>0.75695437498712181</v>
      </c>
      <c r="AC480" s="50">
        <v>57741</v>
      </c>
      <c r="AD480" s="51">
        <v>0.35932516400277115</v>
      </c>
      <c r="AE480" s="50">
        <v>57741</v>
      </c>
      <c r="AF480" s="51">
        <v>0.37901835394424899</v>
      </c>
    </row>
    <row r="481" spans="1:32" x14ac:dyDescent="0.25">
      <c r="A481" s="50">
        <v>57769</v>
      </c>
      <c r="B481" s="51">
        <v>0.3391471267014986</v>
      </c>
      <c r="C481" s="50">
        <v>57769</v>
      </c>
      <c r="D481" s="51">
        <v>0.33915386118957658</v>
      </c>
      <c r="E481" s="50">
        <v>57769</v>
      </c>
      <c r="F481" s="51">
        <v>0.59304028640239204</v>
      </c>
      <c r="G481" s="50">
        <v>57769</v>
      </c>
      <c r="H481" s="51">
        <v>0.57912447249803467</v>
      </c>
      <c r="I481" s="50">
        <v>57769</v>
      </c>
      <c r="J481" s="51">
        <v>6.562184448493108E-2</v>
      </c>
      <c r="K481" s="50">
        <v>57769</v>
      </c>
      <c r="L481" s="51">
        <v>6.5622853905071818E-2</v>
      </c>
      <c r="M481" s="50">
        <v>57769</v>
      </c>
      <c r="N481" s="51">
        <v>2.0201924298354743E-2</v>
      </c>
      <c r="O481" s="50">
        <v>57769</v>
      </c>
      <c r="P481" s="51">
        <v>2.9797492399388073E-2</v>
      </c>
      <c r="Q481" s="50">
        <v>57769</v>
      </c>
      <c r="R481" s="51">
        <v>0.72617403874617059</v>
      </c>
      <c r="S481" s="50">
        <v>57769</v>
      </c>
      <c r="T481" s="51">
        <v>0.79942247827461621</v>
      </c>
      <c r="U481" s="50">
        <v>57769</v>
      </c>
      <c r="V481" s="51">
        <v>0.56112519412004602</v>
      </c>
      <c r="W481" s="50">
        <v>57769</v>
      </c>
      <c r="X481" s="51">
        <v>0.50075458533172446</v>
      </c>
      <c r="Y481" s="50">
        <v>57769</v>
      </c>
      <c r="Z481" s="51">
        <v>0.7200877087797013</v>
      </c>
      <c r="AA481" s="50">
        <v>57769</v>
      </c>
      <c r="AB481" s="51">
        <v>0.75639211128282291</v>
      </c>
      <c r="AC481" s="50">
        <v>57769</v>
      </c>
      <c r="AD481" s="51">
        <v>0.35862762261805881</v>
      </c>
      <c r="AE481" s="50">
        <v>57769</v>
      </c>
      <c r="AF481" s="51">
        <v>0.37831810071397093</v>
      </c>
    </row>
    <row r="482" spans="1:32" x14ac:dyDescent="0.25">
      <c r="A482" s="50">
        <v>57800</v>
      </c>
      <c r="B482" s="51">
        <v>0.33841025522778662</v>
      </c>
      <c r="C482" s="50">
        <v>57800</v>
      </c>
      <c r="D482" s="51">
        <v>0.33841697314763602</v>
      </c>
      <c r="E482" s="50">
        <v>57800</v>
      </c>
      <c r="F482" s="51">
        <v>0.59239653752957355</v>
      </c>
      <c r="G482" s="50">
        <v>57800</v>
      </c>
      <c r="H482" s="51">
        <v>0.5784744118583387</v>
      </c>
      <c r="I482" s="50">
        <v>57800</v>
      </c>
      <c r="J482" s="51">
        <v>6.5242174399602837E-2</v>
      </c>
      <c r="K482" s="50">
        <v>57800</v>
      </c>
      <c r="L482" s="51">
        <v>6.5243177979514053E-2</v>
      </c>
      <c r="M482" s="50">
        <v>57800</v>
      </c>
      <c r="N482" s="51">
        <v>1.9939920406723731E-2</v>
      </c>
      <c r="O482" s="50">
        <v>57800</v>
      </c>
      <c r="P482" s="51">
        <v>2.9463377732951414E-2</v>
      </c>
      <c r="Q482" s="50">
        <v>57800</v>
      </c>
      <c r="R482" s="51">
        <v>0.72547500139587051</v>
      </c>
      <c r="S482" s="50">
        <v>57800</v>
      </c>
      <c r="T482" s="51">
        <v>0.79861230616843792</v>
      </c>
      <c r="U482" s="50">
        <v>57800</v>
      </c>
      <c r="V482" s="51">
        <v>0.56047309616402019</v>
      </c>
      <c r="W482" s="50">
        <v>57800</v>
      </c>
      <c r="X482" s="51">
        <v>0.49994187206984603</v>
      </c>
      <c r="Y482" s="50">
        <v>57800</v>
      </c>
      <c r="Z482" s="51">
        <v>0.71941551704970852</v>
      </c>
      <c r="AA482" s="50">
        <v>57800</v>
      </c>
      <c r="AB482" s="51">
        <v>0.75576960503877766</v>
      </c>
      <c r="AC482" s="50">
        <v>57800</v>
      </c>
      <c r="AD482" s="51">
        <v>0.357855344656413</v>
      </c>
      <c r="AE482" s="50">
        <v>57800</v>
      </c>
      <c r="AF482" s="51">
        <v>0.37754282035187736</v>
      </c>
    </row>
    <row r="483" spans="1:32" x14ac:dyDescent="0.25">
      <c r="A483" s="50">
        <v>57830</v>
      </c>
      <c r="B483" s="51">
        <v>0.33769715380161375</v>
      </c>
      <c r="C483" s="50">
        <v>57830</v>
      </c>
      <c r="D483" s="51">
        <v>0.33770385568769357</v>
      </c>
      <c r="E483" s="50">
        <v>57830</v>
      </c>
      <c r="F483" s="51">
        <v>0.59177355474942672</v>
      </c>
      <c r="G483" s="50">
        <v>57830</v>
      </c>
      <c r="H483" s="51">
        <v>0.5778453209166976</v>
      </c>
      <c r="I483" s="50">
        <v>57830</v>
      </c>
      <c r="J483" s="51">
        <v>6.4880759760697931E-2</v>
      </c>
      <c r="K483" s="50">
        <v>57830</v>
      </c>
      <c r="L483" s="51">
        <v>6.4881757781191832E-2</v>
      </c>
      <c r="M483" s="50">
        <v>57830</v>
      </c>
      <c r="N483" s="51">
        <v>1.968636825353243E-2</v>
      </c>
      <c r="O483" s="50">
        <v>57830</v>
      </c>
      <c r="P483" s="51">
        <v>2.914004095898045E-2</v>
      </c>
      <c r="Q483" s="50">
        <v>57830</v>
      </c>
      <c r="R483" s="51">
        <v>0.72479851363751568</v>
      </c>
      <c r="S483" s="50">
        <v>57830</v>
      </c>
      <c r="T483" s="51">
        <v>0.79782826864632983</v>
      </c>
      <c r="U483" s="50">
        <v>57830</v>
      </c>
      <c r="V483" s="51">
        <v>0.55984203362593066</v>
      </c>
      <c r="W483" s="50">
        <v>57830</v>
      </c>
      <c r="X483" s="51">
        <v>0.49915537536480237</v>
      </c>
      <c r="Y483" s="50">
        <v>57830</v>
      </c>
      <c r="Z483" s="51">
        <v>0.71876500892390893</v>
      </c>
      <c r="AA483" s="50">
        <v>57830</v>
      </c>
      <c r="AB483" s="51">
        <v>0.75516717964131452</v>
      </c>
      <c r="AC483" s="50">
        <v>57830</v>
      </c>
      <c r="AD483" s="51">
        <v>0.35710797888707829</v>
      </c>
      <c r="AE483" s="50">
        <v>57830</v>
      </c>
      <c r="AF483" s="51">
        <v>0.37679254903372233</v>
      </c>
    </row>
    <row r="484" spans="1:32" x14ac:dyDescent="0.25">
      <c r="A484" s="50">
        <v>57861</v>
      </c>
      <c r="B484" s="51">
        <v>0.33696028232790176</v>
      </c>
      <c r="C484" s="50">
        <v>57861</v>
      </c>
      <c r="D484" s="51">
        <v>0.33696696764575301</v>
      </c>
      <c r="E484" s="50">
        <v>57861</v>
      </c>
      <c r="F484" s="51">
        <v>0.59112980587660824</v>
      </c>
      <c r="G484" s="50">
        <v>57861</v>
      </c>
      <c r="H484" s="51">
        <v>0.57719526027700163</v>
      </c>
      <c r="I484" s="50">
        <v>57861</v>
      </c>
      <c r="J484" s="51">
        <v>6.4507512046190207E-2</v>
      </c>
      <c r="K484" s="50">
        <v>57861</v>
      </c>
      <c r="L484" s="51">
        <v>6.4508504325245922E-2</v>
      </c>
      <c r="M484" s="50">
        <v>57861</v>
      </c>
      <c r="N484" s="51">
        <v>1.9424364361901418E-2</v>
      </c>
      <c r="O484" s="50">
        <v>57861</v>
      </c>
      <c r="P484" s="51">
        <v>2.880592629254379E-2</v>
      </c>
      <c r="Q484" s="50">
        <v>57861</v>
      </c>
      <c r="R484" s="51">
        <v>0.7240994762872156</v>
      </c>
      <c r="S484" s="50">
        <v>57861</v>
      </c>
      <c r="T484" s="51">
        <v>0.79701809654015154</v>
      </c>
      <c r="U484" s="50">
        <v>57861</v>
      </c>
      <c r="V484" s="51">
        <v>0.55918993566990471</v>
      </c>
      <c r="W484" s="50">
        <v>57861</v>
      </c>
      <c r="X484" s="51">
        <v>0.49834266210292394</v>
      </c>
      <c r="Y484" s="50">
        <v>57861</v>
      </c>
      <c r="Z484" s="51">
        <v>0.71809281719391616</v>
      </c>
      <c r="AA484" s="50">
        <v>57861</v>
      </c>
      <c r="AB484" s="51">
        <v>0.75454467339726927</v>
      </c>
      <c r="AC484" s="50">
        <v>57861</v>
      </c>
      <c r="AD484" s="51">
        <v>0.35633570092543249</v>
      </c>
      <c r="AE484" s="50">
        <v>57861</v>
      </c>
      <c r="AF484" s="51">
        <v>0.37601726867162877</v>
      </c>
    </row>
    <row r="485" spans="1:32" x14ac:dyDescent="0.25">
      <c r="A485" s="50">
        <v>57891</v>
      </c>
      <c r="B485" s="51">
        <v>0.33624718090172889</v>
      </c>
      <c r="C485" s="50">
        <v>57891</v>
      </c>
      <c r="D485" s="51">
        <v>0.33625385018581055</v>
      </c>
      <c r="E485" s="50">
        <v>57891</v>
      </c>
      <c r="F485" s="51">
        <v>0.5905068230964613</v>
      </c>
      <c r="G485" s="50">
        <v>57891</v>
      </c>
      <c r="H485" s="51">
        <v>0.57656616933536053</v>
      </c>
      <c r="I485" s="50">
        <v>57891</v>
      </c>
      <c r="J485" s="51">
        <v>6.4146304580537578E-2</v>
      </c>
      <c r="K485" s="50">
        <v>57891</v>
      </c>
      <c r="L485" s="51">
        <v>6.4147291303362802E-2</v>
      </c>
      <c r="M485" s="50">
        <v>57891</v>
      </c>
      <c r="N485" s="51">
        <v>1.9170812208710114E-2</v>
      </c>
      <c r="O485" s="50">
        <v>57891</v>
      </c>
      <c r="P485" s="51">
        <v>2.8482589518572826E-2</v>
      </c>
      <c r="Q485" s="50">
        <v>57891</v>
      </c>
      <c r="R485" s="51">
        <v>0.72342298852886078</v>
      </c>
      <c r="S485" s="50">
        <v>57891</v>
      </c>
      <c r="T485" s="51">
        <v>0.79623405901804356</v>
      </c>
      <c r="U485" s="50">
        <v>57891</v>
      </c>
      <c r="V485" s="51">
        <v>0.55855887313181518</v>
      </c>
      <c r="W485" s="50">
        <v>57891</v>
      </c>
      <c r="X485" s="51">
        <v>0.49755616539788028</v>
      </c>
      <c r="Y485" s="50">
        <v>57891</v>
      </c>
      <c r="Z485" s="51">
        <v>0.71744230906811668</v>
      </c>
      <c r="AA485" s="50">
        <v>57891</v>
      </c>
      <c r="AB485" s="51">
        <v>0.75394224799980614</v>
      </c>
      <c r="AC485" s="50">
        <v>57891</v>
      </c>
      <c r="AD485" s="51">
        <v>0.35558833515609783</v>
      </c>
      <c r="AE485" s="50">
        <v>57891</v>
      </c>
      <c r="AF485" s="51">
        <v>0.37526699735347369</v>
      </c>
    </row>
    <row r="486" spans="1:32" x14ac:dyDescent="0.25">
      <c r="A486" s="50">
        <v>57922</v>
      </c>
      <c r="B486" s="51">
        <v>0.33553345290896375</v>
      </c>
      <c r="C486" s="50">
        <v>57922</v>
      </c>
      <c r="D486" s="51">
        <v>0.33554010610978841</v>
      </c>
      <c r="E486" s="50">
        <v>57922</v>
      </c>
      <c r="F486" s="51">
        <v>0.58986307422364281</v>
      </c>
      <c r="G486" s="50">
        <v>57922</v>
      </c>
      <c r="H486" s="51">
        <v>0.57591610869566467</v>
      </c>
      <c r="I486" s="50">
        <v>57922</v>
      </c>
      <c r="J486" s="51">
        <v>6.3782984263783579E-2</v>
      </c>
      <c r="K486" s="50">
        <v>57922</v>
      </c>
      <c r="L486" s="51">
        <v>6.3783965397877715E-2</v>
      </c>
      <c r="M486" s="50">
        <v>57922</v>
      </c>
      <c r="N486" s="51">
        <v>1.8908808317079102E-2</v>
      </c>
      <c r="O486" s="50">
        <v>57922</v>
      </c>
      <c r="P486" s="51">
        <v>2.8148474852136167E-2</v>
      </c>
      <c r="Q486" s="50">
        <v>57922</v>
      </c>
      <c r="R486" s="51">
        <v>0.72273783808406145</v>
      </c>
      <c r="S486" s="50">
        <v>57922</v>
      </c>
      <c r="T486" s="51">
        <v>0.79542864938503544</v>
      </c>
      <c r="U486" s="50">
        <v>57922</v>
      </c>
      <c r="V486" s="51">
        <v>0.55793461006105838</v>
      </c>
      <c r="W486" s="50">
        <v>57922</v>
      </c>
      <c r="X486" s="51">
        <v>0.49677262502952024</v>
      </c>
      <c r="Y486" s="50">
        <v>57922</v>
      </c>
      <c r="Z486" s="51">
        <v>0.7167701173381239</v>
      </c>
      <c r="AA486" s="50">
        <v>57922</v>
      </c>
      <c r="AB486" s="51">
        <v>0.75331974175576089</v>
      </c>
      <c r="AC486" s="50">
        <v>57922</v>
      </c>
      <c r="AD486" s="51">
        <v>0.35485088468525999</v>
      </c>
      <c r="AE486" s="50">
        <v>57922</v>
      </c>
      <c r="AF486" s="51">
        <v>0.37452627377847381</v>
      </c>
    </row>
    <row r="487" spans="1:32" x14ac:dyDescent="0.25">
      <c r="A487" s="50">
        <v>57953</v>
      </c>
      <c r="B487" s="51">
        <v>0.33482049636556349</v>
      </c>
      <c r="C487" s="50">
        <v>57953</v>
      </c>
      <c r="D487" s="51">
        <v>0.33482713349929688</v>
      </c>
      <c r="E487" s="50">
        <v>57953</v>
      </c>
      <c r="F487" s="51">
        <v>0.58921932535082433</v>
      </c>
      <c r="G487" s="50">
        <v>57953</v>
      </c>
      <c r="H487" s="51">
        <v>0.5752660480559687</v>
      </c>
      <c r="I487" s="50">
        <v>57953</v>
      </c>
      <c r="J487" s="51">
        <v>6.3419994860288029E-2</v>
      </c>
      <c r="K487" s="50">
        <v>57953</v>
      </c>
      <c r="L487" s="51">
        <v>6.3420970410741323E-2</v>
      </c>
      <c r="M487" s="50">
        <v>57953</v>
      </c>
      <c r="N487" s="51">
        <v>1.8646804425448089E-2</v>
      </c>
      <c r="O487" s="50">
        <v>57953</v>
      </c>
      <c r="P487" s="51">
        <v>2.7814360185699508E-2</v>
      </c>
      <c r="Q487" s="50">
        <v>57953</v>
      </c>
      <c r="R487" s="51">
        <v>0.72205315053611208</v>
      </c>
      <c r="S487" s="50">
        <v>57953</v>
      </c>
      <c r="T487" s="51">
        <v>0.79462339850113295</v>
      </c>
      <c r="U487" s="50">
        <v>57953</v>
      </c>
      <c r="V487" s="51">
        <v>0.55731127481981058</v>
      </c>
      <c r="W487" s="50">
        <v>57953</v>
      </c>
      <c r="X487" s="51">
        <v>0.49599005709094413</v>
      </c>
      <c r="Y487" s="50">
        <v>57953</v>
      </c>
      <c r="Z487" s="51">
        <v>0.71609792560813101</v>
      </c>
      <c r="AA487" s="50">
        <v>57953</v>
      </c>
      <c r="AB487" s="51">
        <v>0.75269723551171575</v>
      </c>
      <c r="AC487" s="50">
        <v>57953</v>
      </c>
      <c r="AD487" s="51">
        <v>0.35411459513078242</v>
      </c>
      <c r="AE487" s="50">
        <v>57953</v>
      </c>
      <c r="AF487" s="51">
        <v>0.37378670209637704</v>
      </c>
    </row>
    <row r="488" spans="1:32" x14ac:dyDescent="0.25">
      <c r="A488" s="50">
        <v>57983</v>
      </c>
      <c r="B488" s="51">
        <v>0.33413053842033746</v>
      </c>
      <c r="C488" s="50">
        <v>57983</v>
      </c>
      <c r="D488" s="51">
        <v>0.33413716000527277</v>
      </c>
      <c r="E488" s="50">
        <v>57983</v>
      </c>
      <c r="F488" s="51">
        <v>0.5885963425706775</v>
      </c>
      <c r="G488" s="50">
        <v>57983</v>
      </c>
      <c r="H488" s="51">
        <v>0.57463695711432761</v>
      </c>
      <c r="I488" s="50">
        <v>57983</v>
      </c>
      <c r="J488" s="51">
        <v>6.3068714792389124E-2</v>
      </c>
      <c r="K488" s="50">
        <v>57983</v>
      </c>
      <c r="L488" s="51">
        <v>6.3069684939319012E-2</v>
      </c>
      <c r="M488" s="50">
        <v>57983</v>
      </c>
      <c r="N488" s="51">
        <v>1.8393252272256789E-2</v>
      </c>
      <c r="O488" s="50">
        <v>57983</v>
      </c>
      <c r="P488" s="51">
        <v>2.7491023411728543E-2</v>
      </c>
      <c r="Q488" s="50">
        <v>57983</v>
      </c>
      <c r="R488" s="51">
        <v>0.72139054968325778</v>
      </c>
      <c r="S488" s="50">
        <v>57983</v>
      </c>
      <c r="T488" s="51">
        <v>0.79384412345219513</v>
      </c>
      <c r="U488" s="50">
        <v>57983</v>
      </c>
      <c r="V488" s="51">
        <v>0.55670804716699007</v>
      </c>
      <c r="W488" s="50">
        <v>57983</v>
      </c>
      <c r="X488" s="51">
        <v>0.49523273327941886</v>
      </c>
      <c r="Y488" s="50">
        <v>57983</v>
      </c>
      <c r="Z488" s="51">
        <v>0.71544741748233154</v>
      </c>
      <c r="AA488" s="50">
        <v>57983</v>
      </c>
      <c r="AB488" s="51">
        <v>0.75209481011425261</v>
      </c>
      <c r="AC488" s="50">
        <v>57983</v>
      </c>
      <c r="AD488" s="51">
        <v>0.35340205685225579</v>
      </c>
      <c r="AE488" s="50">
        <v>57983</v>
      </c>
      <c r="AF488" s="51">
        <v>0.37307098756531565</v>
      </c>
    </row>
    <row r="489" spans="1:32" x14ac:dyDescent="0.25">
      <c r="A489" s="50">
        <v>58014</v>
      </c>
      <c r="B489" s="51">
        <v>0.33341758187693721</v>
      </c>
      <c r="C489" s="50">
        <v>58014</v>
      </c>
      <c r="D489" s="51">
        <v>0.33342418739478125</v>
      </c>
      <c r="E489" s="50">
        <v>58014</v>
      </c>
      <c r="F489" s="51">
        <v>0.58795259369785902</v>
      </c>
      <c r="G489" s="50">
        <v>58014</v>
      </c>
      <c r="H489" s="51">
        <v>0.57398689647463164</v>
      </c>
      <c r="I489" s="50">
        <v>58014</v>
      </c>
      <c r="J489" s="51">
        <v>6.2719010650312129E-2</v>
      </c>
      <c r="K489" s="50">
        <v>58014</v>
      </c>
      <c r="L489" s="51">
        <v>6.2719975417959997E-2</v>
      </c>
      <c r="M489" s="50">
        <v>58014</v>
      </c>
      <c r="N489" s="51">
        <v>1.8131248380625777E-2</v>
      </c>
      <c r="O489" s="50">
        <v>58014</v>
      </c>
      <c r="P489" s="51">
        <v>2.7156908745291877E-2</v>
      </c>
      <c r="Q489" s="50">
        <v>58014</v>
      </c>
      <c r="R489" s="51">
        <v>0.72070586213530841</v>
      </c>
      <c r="S489" s="50">
        <v>58014</v>
      </c>
      <c r="T489" s="51">
        <v>0.79303887256829264</v>
      </c>
      <c r="U489" s="50">
        <v>58014</v>
      </c>
      <c r="V489" s="51">
        <v>0.55608471192574227</v>
      </c>
      <c r="W489" s="50">
        <v>58014</v>
      </c>
      <c r="X489" s="51">
        <v>0.4944501653408428</v>
      </c>
      <c r="Y489" s="50">
        <v>58014</v>
      </c>
      <c r="Z489" s="51">
        <v>0.71477522575233876</v>
      </c>
      <c r="AA489" s="50">
        <v>58014</v>
      </c>
      <c r="AB489" s="51">
        <v>0.75147230387020736</v>
      </c>
      <c r="AC489" s="50">
        <v>58014</v>
      </c>
      <c r="AD489" s="51">
        <v>0.35266576729777821</v>
      </c>
      <c r="AE489" s="50">
        <v>58014</v>
      </c>
      <c r="AF489" s="51">
        <v>0.37233141588321883</v>
      </c>
    </row>
    <row r="490" spans="1:32" x14ac:dyDescent="0.25">
      <c r="A490" s="50">
        <v>58044</v>
      </c>
      <c r="B490" s="51">
        <v>0.33272762393171113</v>
      </c>
      <c r="C490" s="50">
        <v>58044</v>
      </c>
      <c r="D490" s="51">
        <v>0.33273421390075719</v>
      </c>
      <c r="E490" s="50">
        <v>58044</v>
      </c>
      <c r="F490" s="51">
        <v>0.58732961091771207</v>
      </c>
      <c r="G490" s="50">
        <v>58044</v>
      </c>
      <c r="H490" s="51">
        <v>0.57335780553299054</v>
      </c>
      <c r="I490" s="50">
        <v>58044</v>
      </c>
      <c r="J490" s="51">
        <v>6.238101584383178E-2</v>
      </c>
      <c r="K490" s="50">
        <v>58044</v>
      </c>
      <c r="L490" s="51">
        <v>6.2381975412315056E-2</v>
      </c>
      <c r="M490" s="50">
        <v>58044</v>
      </c>
      <c r="N490" s="51">
        <v>1.7877696227434476E-2</v>
      </c>
      <c r="O490" s="50">
        <v>58044</v>
      </c>
      <c r="P490" s="51">
        <v>2.683357197132092E-2</v>
      </c>
      <c r="Q490" s="50">
        <v>58044</v>
      </c>
      <c r="R490" s="51">
        <v>0.72004326128245422</v>
      </c>
      <c r="S490" s="50">
        <v>58044</v>
      </c>
      <c r="T490" s="51">
        <v>0.79225959751935482</v>
      </c>
      <c r="U490" s="50">
        <v>58044</v>
      </c>
      <c r="V490" s="51">
        <v>0.55548148427292177</v>
      </c>
      <c r="W490" s="50">
        <v>58044</v>
      </c>
      <c r="X490" s="51">
        <v>0.49369284152931753</v>
      </c>
      <c r="Y490" s="50">
        <v>58044</v>
      </c>
      <c r="Z490" s="51">
        <v>0.71412471762653917</v>
      </c>
      <c r="AA490" s="50">
        <v>58044</v>
      </c>
      <c r="AB490" s="51">
        <v>0.75086987847274422</v>
      </c>
      <c r="AC490" s="50">
        <v>58044</v>
      </c>
      <c r="AD490" s="51">
        <v>0.35195322901925152</v>
      </c>
      <c r="AE490" s="50">
        <v>58044</v>
      </c>
      <c r="AF490" s="51">
        <v>0.37161570135215743</v>
      </c>
    </row>
    <row r="491" spans="1:32" x14ac:dyDescent="0.25">
      <c r="A491" s="50">
        <v>58075</v>
      </c>
      <c r="B491" s="51">
        <v>0.33201466738831092</v>
      </c>
      <c r="C491" s="50">
        <v>58075</v>
      </c>
      <c r="D491" s="51">
        <v>0.33202124129026567</v>
      </c>
      <c r="E491" s="50">
        <v>58075</v>
      </c>
      <c r="F491" s="51">
        <v>0.58668586204489359</v>
      </c>
      <c r="G491" s="50">
        <v>58075</v>
      </c>
      <c r="H491" s="51">
        <v>0.57270774489329457</v>
      </c>
      <c r="I491" s="50">
        <v>58075</v>
      </c>
      <c r="J491" s="51">
        <v>6.2031754543802074E-2</v>
      </c>
      <c r="K491" s="50">
        <v>58075</v>
      </c>
      <c r="L491" s="51">
        <v>6.2032708739815284E-2</v>
      </c>
      <c r="M491" s="50">
        <v>58075</v>
      </c>
      <c r="N491" s="51">
        <v>1.761569233580346E-2</v>
      </c>
      <c r="O491" s="50">
        <v>58075</v>
      </c>
      <c r="P491" s="51">
        <v>2.6499457304884254E-2</v>
      </c>
      <c r="Q491" s="50">
        <v>58075</v>
      </c>
      <c r="R491" s="51">
        <v>0.71935857373450485</v>
      </c>
      <c r="S491" s="50">
        <v>58075</v>
      </c>
      <c r="T491" s="51">
        <v>0.79145434663545233</v>
      </c>
      <c r="U491" s="50">
        <v>58075</v>
      </c>
      <c r="V491" s="51">
        <v>0.55485814903167385</v>
      </c>
      <c r="W491" s="50">
        <v>58075</v>
      </c>
      <c r="X491" s="51">
        <v>0.49291027359074141</v>
      </c>
      <c r="Y491" s="50">
        <v>58075</v>
      </c>
      <c r="Z491" s="51">
        <v>0.7134525258965464</v>
      </c>
      <c r="AA491" s="50">
        <v>58075</v>
      </c>
      <c r="AB491" s="51">
        <v>0.75024737222869897</v>
      </c>
      <c r="AC491" s="50">
        <v>58075</v>
      </c>
      <c r="AD491" s="51">
        <v>0.35121693946477395</v>
      </c>
      <c r="AE491" s="50">
        <v>58075</v>
      </c>
      <c r="AF491" s="51">
        <v>0.37087612967006067</v>
      </c>
    </row>
    <row r="492" spans="1:32" x14ac:dyDescent="0.25">
      <c r="A492" s="50">
        <v>58106</v>
      </c>
      <c r="B492" s="51">
        <v>0.33123648696764724</v>
      </c>
      <c r="C492" s="50">
        <v>58106</v>
      </c>
      <c r="D492" s="51">
        <v>0.33124304539882554</v>
      </c>
      <c r="E492" s="50">
        <v>58106</v>
      </c>
      <c r="F492" s="51">
        <v>0.58604065469881794</v>
      </c>
      <c r="G492" s="50">
        <v>58106</v>
      </c>
      <c r="H492" s="51">
        <v>0.57205658499628909</v>
      </c>
      <c r="I492" s="50">
        <v>58106</v>
      </c>
      <c r="J492" s="51">
        <v>6.1676948492953819E-2</v>
      </c>
      <c r="K492" s="50">
        <v>58106</v>
      </c>
      <c r="L492" s="51">
        <v>6.1677897231205564E-2</v>
      </c>
      <c r="M492" s="50">
        <v>58106</v>
      </c>
      <c r="N492" s="51">
        <v>1.7468170170809282E-2</v>
      </c>
      <c r="O492" s="50">
        <v>58106</v>
      </c>
      <c r="P492" s="51">
        <v>2.6299664713375151E-2</v>
      </c>
      <c r="Q492" s="50">
        <v>58106</v>
      </c>
      <c r="R492" s="51">
        <v>0.71886164081898485</v>
      </c>
      <c r="S492" s="50">
        <v>58106</v>
      </c>
      <c r="T492" s="51">
        <v>0.79106510364757221</v>
      </c>
      <c r="U492" s="50">
        <v>58106</v>
      </c>
      <c r="V492" s="51">
        <v>0.55415846734538288</v>
      </c>
      <c r="W492" s="50">
        <v>58106</v>
      </c>
      <c r="X492" s="51">
        <v>0.49216846509489615</v>
      </c>
      <c r="Y492" s="50">
        <v>58106</v>
      </c>
      <c r="Z492" s="51">
        <v>0.71295247804286499</v>
      </c>
      <c r="AA492" s="50">
        <v>58106</v>
      </c>
      <c r="AB492" s="51">
        <v>0.74980096502218518</v>
      </c>
      <c r="AC492" s="50">
        <v>58106</v>
      </c>
      <c r="AD492" s="51">
        <v>0.3504354909084208</v>
      </c>
      <c r="AE492" s="50">
        <v>58106</v>
      </c>
      <c r="AF492" s="51">
        <v>0.37009028210109801</v>
      </c>
    </row>
    <row r="493" spans="1:32" x14ac:dyDescent="0.25">
      <c r="A493" s="50">
        <v>58134</v>
      </c>
      <c r="B493" s="51">
        <v>0.3305316505999904</v>
      </c>
      <c r="C493" s="50">
        <v>58134</v>
      </c>
      <c r="D493" s="51">
        <v>0.33053819507551768</v>
      </c>
      <c r="E493" s="50">
        <v>58134</v>
      </c>
      <c r="F493" s="51">
        <v>0.58545784286230751</v>
      </c>
      <c r="G493" s="50">
        <v>58134</v>
      </c>
      <c r="H493" s="51">
        <v>0.57146840747726824</v>
      </c>
      <c r="I493" s="50">
        <v>58134</v>
      </c>
      <c r="J493" s="51">
        <v>6.1356311572808166E-2</v>
      </c>
      <c r="K493" s="50">
        <v>58134</v>
      </c>
      <c r="L493" s="51">
        <v>6.1357255378901007E-2</v>
      </c>
      <c r="M493" s="50">
        <v>58134</v>
      </c>
      <c r="N493" s="51">
        <v>1.7338371106025111E-2</v>
      </c>
      <c r="O493" s="50">
        <v>58134</v>
      </c>
      <c r="P493" s="51">
        <v>2.6123250994267971E-2</v>
      </c>
      <c r="Q493" s="50">
        <v>58134</v>
      </c>
      <c r="R493" s="51">
        <v>0.71841845101325508</v>
      </c>
      <c r="S493" s="50">
        <v>58134</v>
      </c>
      <c r="T493" s="51">
        <v>0.79072605430485099</v>
      </c>
      <c r="U493" s="50">
        <v>58134</v>
      </c>
      <c r="V493" s="51">
        <v>0.55352419818737675</v>
      </c>
      <c r="W493" s="50">
        <v>58134</v>
      </c>
      <c r="X493" s="51">
        <v>0.49149967168402131</v>
      </c>
      <c r="Y493" s="50">
        <v>58134</v>
      </c>
      <c r="Z493" s="51">
        <v>0.7125060047433428</v>
      </c>
      <c r="AA493" s="50">
        <v>58134</v>
      </c>
      <c r="AB493" s="51">
        <v>0.74940306041958227</v>
      </c>
      <c r="AC493" s="50">
        <v>58134</v>
      </c>
      <c r="AD493" s="51">
        <v>0.34972830678004535</v>
      </c>
      <c r="AE493" s="50">
        <v>58134</v>
      </c>
      <c r="AF493" s="51">
        <v>0.36937909104436584</v>
      </c>
    </row>
    <row r="494" spans="1:32" x14ac:dyDescent="0.25">
      <c r="A494" s="50">
        <v>58165</v>
      </c>
      <c r="B494" s="51">
        <v>0.32975129605008457</v>
      </c>
      <c r="C494" s="50">
        <v>58165</v>
      </c>
      <c r="D494" s="51">
        <v>0.32975782507471257</v>
      </c>
      <c r="E494" s="50">
        <v>58165</v>
      </c>
      <c r="F494" s="51">
        <v>0.58481258690045657</v>
      </c>
      <c r="G494" s="50">
        <v>58165</v>
      </c>
      <c r="H494" s="51">
        <v>0.57081721093835236</v>
      </c>
      <c r="I494" s="50">
        <v>58165</v>
      </c>
      <c r="J494" s="51">
        <v>6.100132069693262E-2</v>
      </c>
      <c r="K494" s="50">
        <v>58165</v>
      </c>
      <c r="L494" s="51">
        <v>6.1002259042420959E-2</v>
      </c>
      <c r="M494" s="50">
        <v>58165</v>
      </c>
      <c r="N494" s="51">
        <v>1.7194664998585494E-2</v>
      </c>
      <c r="O494" s="50">
        <v>58165</v>
      </c>
      <c r="P494" s="51">
        <v>2.5927935805256448E-2</v>
      </c>
      <c r="Q494" s="50">
        <v>58165</v>
      </c>
      <c r="R494" s="51">
        <v>0.71792777658548279</v>
      </c>
      <c r="S494" s="50">
        <v>58165</v>
      </c>
      <c r="T494" s="51">
        <v>0.79035067824683813</v>
      </c>
      <c r="U494" s="50">
        <v>58165</v>
      </c>
      <c r="V494" s="51">
        <v>0.55282197161958424</v>
      </c>
      <c r="W494" s="50">
        <v>58165</v>
      </c>
      <c r="X494" s="51">
        <v>0.49075922183626708</v>
      </c>
      <c r="Y494" s="50">
        <v>58165</v>
      </c>
      <c r="Z494" s="51">
        <v>0.71201169501887185</v>
      </c>
      <c r="AA494" s="50">
        <v>58165</v>
      </c>
      <c r="AB494" s="51">
        <v>0.74896252318098622</v>
      </c>
      <c r="AC494" s="50">
        <v>58165</v>
      </c>
      <c r="AD494" s="51">
        <v>0.34894535292362966</v>
      </c>
      <c r="AE494" s="50">
        <v>58165</v>
      </c>
      <c r="AF494" s="51">
        <v>0.36859170094584093</v>
      </c>
    </row>
    <row r="495" spans="1:32" x14ac:dyDescent="0.25">
      <c r="A495" s="50">
        <v>58195</v>
      </c>
      <c r="B495" s="51">
        <v>0.32899611422759512</v>
      </c>
      <c r="C495" s="50">
        <v>58195</v>
      </c>
      <c r="D495" s="51">
        <v>0.32900262829973992</v>
      </c>
      <c r="E495" s="50">
        <v>58195</v>
      </c>
      <c r="F495" s="51">
        <v>0.58418814564705246</v>
      </c>
      <c r="G495" s="50">
        <v>58195</v>
      </c>
      <c r="H495" s="51">
        <v>0.57018702073940153</v>
      </c>
      <c r="I495" s="50">
        <v>58195</v>
      </c>
      <c r="J495" s="51">
        <v>6.0663398632021456E-2</v>
      </c>
      <c r="K495" s="50">
        <v>58195</v>
      </c>
      <c r="L495" s="51">
        <v>6.0664331779464273E-2</v>
      </c>
      <c r="M495" s="50">
        <v>58195</v>
      </c>
      <c r="N495" s="51">
        <v>1.7055594572031024E-2</v>
      </c>
      <c r="O495" s="50">
        <v>58195</v>
      </c>
      <c r="P495" s="51">
        <v>2.573892110621304E-2</v>
      </c>
      <c r="Q495" s="50">
        <v>58195</v>
      </c>
      <c r="R495" s="51">
        <v>0.71745293036505797</v>
      </c>
      <c r="S495" s="50">
        <v>58195</v>
      </c>
      <c r="T495" s="51">
        <v>0.78998741109392256</v>
      </c>
      <c r="U495" s="50">
        <v>58195</v>
      </c>
      <c r="V495" s="51">
        <v>0.55214239752172056</v>
      </c>
      <c r="W495" s="50">
        <v>58195</v>
      </c>
      <c r="X495" s="51">
        <v>0.49004265746747266</v>
      </c>
      <c r="Y495" s="50">
        <v>58195</v>
      </c>
      <c r="Z495" s="51">
        <v>0.71153333076938374</v>
      </c>
      <c r="AA495" s="50">
        <v>58195</v>
      </c>
      <c r="AB495" s="51">
        <v>0.74853619682105466</v>
      </c>
      <c r="AC495" s="50">
        <v>58195</v>
      </c>
      <c r="AD495" s="51">
        <v>0.3481876556432274</v>
      </c>
      <c r="AE495" s="50">
        <v>58195</v>
      </c>
      <c r="AF495" s="51">
        <v>0.36782971052791363</v>
      </c>
    </row>
    <row r="496" spans="1:32" x14ac:dyDescent="0.25">
      <c r="A496" s="50">
        <v>58226</v>
      </c>
      <c r="B496" s="51">
        <v>0.32821575967768929</v>
      </c>
      <c r="C496" s="50">
        <v>58226</v>
      </c>
      <c r="D496" s="51">
        <v>0.32822225829893481</v>
      </c>
      <c r="E496" s="50">
        <v>58226</v>
      </c>
      <c r="F496" s="51">
        <v>0.58354288968520163</v>
      </c>
      <c r="G496" s="50">
        <v>58226</v>
      </c>
      <c r="H496" s="51">
        <v>0.56953582420048554</v>
      </c>
      <c r="I496" s="50">
        <v>58226</v>
      </c>
      <c r="J496" s="51">
        <v>6.0314412661801778E-2</v>
      </c>
      <c r="K496" s="50">
        <v>58226</v>
      </c>
      <c r="L496" s="51">
        <v>6.0315340441009883E-2</v>
      </c>
      <c r="M496" s="50">
        <v>58226</v>
      </c>
      <c r="N496" s="51">
        <v>1.6911888464591407E-2</v>
      </c>
      <c r="O496" s="50">
        <v>58226</v>
      </c>
      <c r="P496" s="51">
        <v>2.554360591720152E-2</v>
      </c>
      <c r="Q496" s="50">
        <v>58226</v>
      </c>
      <c r="R496" s="51">
        <v>0.71696225593728569</v>
      </c>
      <c r="S496" s="50">
        <v>58226</v>
      </c>
      <c r="T496" s="51">
        <v>0.78961203503590971</v>
      </c>
      <c r="U496" s="50">
        <v>58226</v>
      </c>
      <c r="V496" s="51">
        <v>0.55144017095392805</v>
      </c>
      <c r="W496" s="50">
        <v>58226</v>
      </c>
      <c r="X496" s="51">
        <v>0.48930220761971838</v>
      </c>
      <c r="Y496" s="50">
        <v>58226</v>
      </c>
      <c r="Z496" s="51">
        <v>0.71103902104491268</v>
      </c>
      <c r="AA496" s="50">
        <v>58226</v>
      </c>
      <c r="AB496" s="51">
        <v>0.74809565958245861</v>
      </c>
      <c r="AC496" s="50">
        <v>58226</v>
      </c>
      <c r="AD496" s="51">
        <v>0.34740470178681176</v>
      </c>
      <c r="AE496" s="50">
        <v>58226</v>
      </c>
      <c r="AF496" s="51">
        <v>0.36704232042938878</v>
      </c>
    </row>
    <row r="497" spans="1:32" x14ac:dyDescent="0.25">
      <c r="A497" s="50">
        <v>58256</v>
      </c>
      <c r="B497" s="51">
        <v>0.32746057785519983</v>
      </c>
      <c r="C497" s="50">
        <v>58256</v>
      </c>
      <c r="D497" s="51">
        <v>0.3274670615239621</v>
      </c>
      <c r="E497" s="50">
        <v>58256</v>
      </c>
      <c r="F497" s="51">
        <v>0.58291844843179752</v>
      </c>
      <c r="G497" s="50">
        <v>58256</v>
      </c>
      <c r="H497" s="51">
        <v>0.56890563400153471</v>
      </c>
      <c r="I497" s="50">
        <v>58256</v>
      </c>
      <c r="J497" s="51">
        <v>5.997668430352468E-2</v>
      </c>
      <c r="K497" s="50">
        <v>58256</v>
      </c>
      <c r="L497" s="51">
        <v>5.9977606887666936E-2</v>
      </c>
      <c r="M497" s="50">
        <v>58256</v>
      </c>
      <c r="N497" s="51">
        <v>1.6772818038036937E-2</v>
      </c>
      <c r="O497" s="50">
        <v>58256</v>
      </c>
      <c r="P497" s="51">
        <v>2.5354591218158112E-2</v>
      </c>
      <c r="Q497" s="50">
        <v>58256</v>
      </c>
      <c r="R497" s="51">
        <v>0.71648740971686087</v>
      </c>
      <c r="S497" s="50">
        <v>58256</v>
      </c>
      <c r="T497" s="51">
        <v>0.78924876788299414</v>
      </c>
      <c r="U497" s="50">
        <v>58256</v>
      </c>
      <c r="V497" s="51">
        <v>0.55076059685606438</v>
      </c>
      <c r="W497" s="50">
        <v>58256</v>
      </c>
      <c r="X497" s="51">
        <v>0.48858564325092396</v>
      </c>
      <c r="Y497" s="50">
        <v>58256</v>
      </c>
      <c r="Z497" s="51">
        <v>0.71056065679542457</v>
      </c>
      <c r="AA497" s="50">
        <v>58256</v>
      </c>
      <c r="AB497" s="51">
        <v>0.74766933322252693</v>
      </c>
      <c r="AC497" s="50">
        <v>58256</v>
      </c>
      <c r="AD497" s="51">
        <v>0.34664700450640951</v>
      </c>
      <c r="AE497" s="50">
        <v>58256</v>
      </c>
      <c r="AF497" s="51">
        <v>0.36628033001146143</v>
      </c>
    </row>
    <row r="498" spans="1:32" x14ac:dyDescent="0.25">
      <c r="A498" s="50">
        <v>58287</v>
      </c>
      <c r="B498" s="51">
        <v>0.32670273120996629</v>
      </c>
      <c r="C498" s="50">
        <v>58287</v>
      </c>
      <c r="D498" s="51">
        <v>0.32670919987348229</v>
      </c>
      <c r="E498" s="50">
        <v>58287</v>
      </c>
      <c r="F498" s="51">
        <v>0.58227319246994658</v>
      </c>
      <c r="G498" s="50">
        <v>58287</v>
      </c>
      <c r="H498" s="51">
        <v>0.56825443746261883</v>
      </c>
      <c r="I498" s="50">
        <v>58287</v>
      </c>
      <c r="J498" s="51">
        <v>5.9636980433106862E-2</v>
      </c>
      <c r="K498" s="50">
        <v>58287</v>
      </c>
      <c r="L498" s="51">
        <v>5.9637897791795125E-2</v>
      </c>
      <c r="M498" s="50">
        <v>58287</v>
      </c>
      <c r="N498" s="51">
        <v>1.662911193059732E-2</v>
      </c>
      <c r="O498" s="50">
        <v>58287</v>
      </c>
      <c r="P498" s="51">
        <v>2.5159276029146589E-2</v>
      </c>
      <c r="Q498" s="50">
        <v>58287</v>
      </c>
      <c r="R498" s="51">
        <v>0.71601137476105148</v>
      </c>
      <c r="S498" s="50">
        <v>58287</v>
      </c>
      <c r="T498" s="51">
        <v>0.78888416706723574</v>
      </c>
      <c r="U498" s="50">
        <v>58287</v>
      </c>
      <c r="V498" s="51">
        <v>0.55008155010500026</v>
      </c>
      <c r="W498" s="50">
        <v>58287</v>
      </c>
      <c r="X498" s="51">
        <v>0.48787058793667593</v>
      </c>
      <c r="Y498" s="50">
        <v>58287</v>
      </c>
      <c r="Z498" s="51">
        <v>0.71006634707095362</v>
      </c>
      <c r="AA498" s="50">
        <v>58287</v>
      </c>
      <c r="AB498" s="51">
        <v>0.74722879598393088</v>
      </c>
      <c r="AC498" s="50">
        <v>58287</v>
      </c>
      <c r="AD498" s="51">
        <v>0.34589399959399741</v>
      </c>
      <c r="AE498" s="50">
        <v>58287</v>
      </c>
      <c r="AF498" s="51">
        <v>0.36552260360187538</v>
      </c>
    </row>
    <row r="499" spans="1:32" x14ac:dyDescent="0.25">
      <c r="A499" s="50">
        <v>58318</v>
      </c>
      <c r="B499" s="51">
        <v>0.32594563482822175</v>
      </c>
      <c r="C499" s="50">
        <v>58318</v>
      </c>
      <c r="D499" s="51">
        <v>0.3259520885013466</v>
      </c>
      <c r="E499" s="50">
        <v>58318</v>
      </c>
      <c r="F499" s="51">
        <v>0.58162793650809574</v>
      </c>
      <c r="G499" s="50">
        <v>58318</v>
      </c>
      <c r="H499" s="51">
        <v>0.56760324092370296</v>
      </c>
      <c r="I499" s="50">
        <v>58318</v>
      </c>
      <c r="J499" s="51">
        <v>5.9297585966015781E-2</v>
      </c>
      <c r="K499" s="50">
        <v>58318</v>
      </c>
      <c r="L499" s="51">
        <v>5.9298498104009403E-2</v>
      </c>
      <c r="M499" s="50">
        <v>58318</v>
      </c>
      <c r="N499" s="51">
        <v>1.64854058231577E-2</v>
      </c>
      <c r="O499" s="50">
        <v>58318</v>
      </c>
      <c r="P499" s="51">
        <v>2.4963960840135069E-2</v>
      </c>
      <c r="Q499" s="50">
        <v>58318</v>
      </c>
      <c r="R499" s="51">
        <v>0.7155358277876408</v>
      </c>
      <c r="S499" s="50">
        <v>58318</v>
      </c>
      <c r="T499" s="51">
        <v>0.78851992542621918</v>
      </c>
      <c r="U499" s="50">
        <v>58318</v>
      </c>
      <c r="V499" s="51">
        <v>0.54940327601449379</v>
      </c>
      <c r="W499" s="50">
        <v>58318</v>
      </c>
      <c r="X499" s="51">
        <v>0.48715637910687809</v>
      </c>
      <c r="Y499" s="50">
        <v>58318</v>
      </c>
      <c r="Z499" s="51">
        <v>0.70957203734648255</v>
      </c>
      <c r="AA499" s="50">
        <v>58318</v>
      </c>
      <c r="AB499" s="51">
        <v>0.74678825874533483</v>
      </c>
      <c r="AC499" s="50">
        <v>58318</v>
      </c>
      <c r="AD499" s="51">
        <v>0.34514199297971876</v>
      </c>
      <c r="AE499" s="50">
        <v>58318</v>
      </c>
      <c r="AF499" s="51">
        <v>0.36476586598192068</v>
      </c>
    </row>
    <row r="500" spans="1:32" x14ac:dyDescent="0.25">
      <c r="A500" s="50">
        <v>58348</v>
      </c>
      <c r="B500" s="51">
        <v>0.32521296091040452</v>
      </c>
      <c r="C500" s="50">
        <v>58348</v>
      </c>
      <c r="D500" s="51">
        <v>0.32521940007669919</v>
      </c>
      <c r="E500" s="50">
        <v>58348</v>
      </c>
      <c r="F500" s="51">
        <v>0.58100349525469164</v>
      </c>
      <c r="G500" s="50">
        <v>58348</v>
      </c>
      <c r="H500" s="51">
        <v>0.56697305072475201</v>
      </c>
      <c r="I500" s="50">
        <v>58348</v>
      </c>
      <c r="J500" s="51">
        <v>5.8969139707540544E-2</v>
      </c>
      <c r="K500" s="50">
        <v>58348</v>
      </c>
      <c r="L500" s="51">
        <v>5.8970046793249027E-2</v>
      </c>
      <c r="M500" s="50">
        <v>58348</v>
      </c>
      <c r="N500" s="51">
        <v>1.6346335396603229E-2</v>
      </c>
      <c r="O500" s="50">
        <v>58348</v>
      </c>
      <c r="P500" s="51">
        <v>2.4774946141091662E-2</v>
      </c>
      <c r="Q500" s="50">
        <v>58348</v>
      </c>
      <c r="R500" s="51">
        <v>0.71507562103917888</v>
      </c>
      <c r="S500" s="50">
        <v>58348</v>
      </c>
      <c r="T500" s="51">
        <v>0.78816743351555807</v>
      </c>
      <c r="U500" s="50">
        <v>58348</v>
      </c>
      <c r="V500" s="51">
        <v>0.54874688173335839</v>
      </c>
      <c r="W500" s="50">
        <v>58348</v>
      </c>
      <c r="X500" s="51">
        <v>0.48646520927158987</v>
      </c>
      <c r="Y500" s="50">
        <v>58348</v>
      </c>
      <c r="Z500" s="51">
        <v>0.70909367309699456</v>
      </c>
      <c r="AA500" s="50">
        <v>58348</v>
      </c>
      <c r="AB500" s="51">
        <v>0.74636193238540316</v>
      </c>
      <c r="AC500" s="50">
        <v>58348</v>
      </c>
      <c r="AD500" s="51">
        <v>0.34441424464332004</v>
      </c>
      <c r="AE500" s="50">
        <v>58348</v>
      </c>
      <c r="AF500" s="51">
        <v>0.36403353925293219</v>
      </c>
    </row>
    <row r="501" spans="1:32" x14ac:dyDescent="0.25">
      <c r="A501" s="50">
        <v>58379</v>
      </c>
      <c r="B501" s="51">
        <v>0.32445586452866004</v>
      </c>
      <c r="C501" s="50">
        <v>58379</v>
      </c>
      <c r="D501" s="51">
        <v>0.32446228870456356</v>
      </c>
      <c r="E501" s="50">
        <v>58379</v>
      </c>
      <c r="F501" s="51">
        <v>0.58035823929284069</v>
      </c>
      <c r="G501" s="50">
        <v>58379</v>
      </c>
      <c r="H501" s="51">
        <v>0.56632185418583614</v>
      </c>
      <c r="I501" s="50">
        <v>58379</v>
      </c>
      <c r="J501" s="51">
        <v>5.8638713903012729E-2</v>
      </c>
      <c r="K501" s="50">
        <v>58379</v>
      </c>
      <c r="L501" s="51">
        <v>5.8639615905985952E-2</v>
      </c>
      <c r="M501" s="50">
        <v>58379</v>
      </c>
      <c r="N501" s="51">
        <v>1.6202629289163613E-2</v>
      </c>
      <c r="O501" s="50">
        <v>58379</v>
      </c>
      <c r="P501" s="51">
        <v>2.4579630952080139E-2</v>
      </c>
      <c r="Q501" s="50">
        <v>58379</v>
      </c>
      <c r="R501" s="51">
        <v>0.71460007406576831</v>
      </c>
      <c r="S501" s="50">
        <v>58379</v>
      </c>
      <c r="T501" s="51">
        <v>0.78780319187454151</v>
      </c>
      <c r="U501" s="50">
        <v>58379</v>
      </c>
      <c r="V501" s="51">
        <v>0.54806860764285192</v>
      </c>
      <c r="W501" s="50">
        <v>58379</v>
      </c>
      <c r="X501" s="51">
        <v>0.48575100044179209</v>
      </c>
      <c r="Y501" s="50">
        <v>58379</v>
      </c>
      <c r="Z501" s="51">
        <v>0.70859936337252349</v>
      </c>
      <c r="AA501" s="50">
        <v>58379</v>
      </c>
      <c r="AB501" s="51">
        <v>0.74592139514680711</v>
      </c>
      <c r="AC501" s="50">
        <v>58379</v>
      </c>
      <c r="AD501" s="51">
        <v>0.34366223802904144</v>
      </c>
      <c r="AE501" s="50">
        <v>58379</v>
      </c>
      <c r="AF501" s="51">
        <v>0.36327680163297743</v>
      </c>
    </row>
    <row r="502" spans="1:32" x14ac:dyDescent="0.25">
      <c r="A502" s="50">
        <v>58409</v>
      </c>
      <c r="B502" s="51">
        <v>0.32372319061084276</v>
      </c>
      <c r="C502" s="50">
        <v>58409</v>
      </c>
      <c r="D502" s="51">
        <v>0.32372960027991615</v>
      </c>
      <c r="E502" s="50">
        <v>58409</v>
      </c>
      <c r="F502" s="51">
        <v>0.57973379803943659</v>
      </c>
      <c r="G502" s="50">
        <v>58409</v>
      </c>
      <c r="H502" s="51">
        <v>0.56569166398688531</v>
      </c>
      <c r="I502" s="50">
        <v>58409</v>
      </c>
      <c r="J502" s="51">
        <v>5.8319236307100751E-2</v>
      </c>
      <c r="K502" s="50">
        <v>58409</v>
      </c>
      <c r="L502" s="51">
        <v>5.8320133395748222E-2</v>
      </c>
      <c r="M502" s="50">
        <v>58409</v>
      </c>
      <c r="N502" s="51">
        <v>1.6063558862609142E-2</v>
      </c>
      <c r="O502" s="50">
        <v>58409</v>
      </c>
      <c r="P502" s="51">
        <v>2.4390616253036731E-2</v>
      </c>
      <c r="Q502" s="50">
        <v>58409</v>
      </c>
      <c r="R502" s="51">
        <v>0.71413986731730639</v>
      </c>
      <c r="S502" s="50">
        <v>58409</v>
      </c>
      <c r="T502" s="51">
        <v>0.78745069996388029</v>
      </c>
      <c r="U502" s="50">
        <v>58409</v>
      </c>
      <c r="V502" s="51">
        <v>0.54741221336171664</v>
      </c>
      <c r="W502" s="50">
        <v>58409</v>
      </c>
      <c r="X502" s="51">
        <v>0.48505983060650387</v>
      </c>
      <c r="Y502" s="50">
        <v>58409</v>
      </c>
      <c r="Z502" s="51">
        <v>0.70812099912303539</v>
      </c>
      <c r="AA502" s="50">
        <v>58409</v>
      </c>
      <c r="AB502" s="51">
        <v>0.74549506878687544</v>
      </c>
      <c r="AC502" s="50">
        <v>58409</v>
      </c>
      <c r="AD502" s="51">
        <v>0.34293448969264273</v>
      </c>
      <c r="AE502" s="50">
        <v>58409</v>
      </c>
      <c r="AF502" s="51">
        <v>0.362544474903989</v>
      </c>
    </row>
    <row r="503" spans="1:32" x14ac:dyDescent="0.25">
      <c r="A503" s="50">
        <v>58440</v>
      </c>
      <c r="B503" s="51">
        <v>0.32296609422909828</v>
      </c>
      <c r="C503" s="50">
        <v>58440</v>
      </c>
      <c r="D503" s="51">
        <v>0.32297248890778046</v>
      </c>
      <c r="E503" s="50">
        <v>58440</v>
      </c>
      <c r="F503" s="51">
        <v>0.57908854207758576</v>
      </c>
      <c r="G503" s="50">
        <v>58440</v>
      </c>
      <c r="H503" s="51">
        <v>0.56504046744796943</v>
      </c>
      <c r="I503" s="50">
        <v>58440</v>
      </c>
      <c r="J503" s="51">
        <v>5.7989109457991718E-2</v>
      </c>
      <c r="K503" s="50">
        <v>58440</v>
      </c>
      <c r="L503" s="51">
        <v>5.7990001468502569E-2</v>
      </c>
      <c r="M503" s="50">
        <v>58440</v>
      </c>
      <c r="N503" s="51">
        <v>1.5919852755169526E-2</v>
      </c>
      <c r="O503" s="50">
        <v>58440</v>
      </c>
      <c r="P503" s="51">
        <v>2.4195301064025211E-2</v>
      </c>
      <c r="Q503" s="50">
        <v>58440</v>
      </c>
      <c r="R503" s="51">
        <v>0.71366432034389571</v>
      </c>
      <c r="S503" s="50">
        <v>58440</v>
      </c>
      <c r="T503" s="51">
        <v>0.78708645832286372</v>
      </c>
      <c r="U503" s="50">
        <v>58440</v>
      </c>
      <c r="V503" s="51">
        <v>0.54673393927121017</v>
      </c>
      <c r="W503" s="50">
        <v>58440</v>
      </c>
      <c r="X503" s="51">
        <v>0.48434562177670604</v>
      </c>
      <c r="Y503" s="50">
        <v>58440</v>
      </c>
      <c r="Z503" s="51">
        <v>0.70762668939856443</v>
      </c>
      <c r="AA503" s="50">
        <v>58440</v>
      </c>
      <c r="AB503" s="51">
        <v>0.74505453154827939</v>
      </c>
      <c r="AC503" s="50">
        <v>58440</v>
      </c>
      <c r="AD503" s="51">
        <v>0.34218248307836407</v>
      </c>
      <c r="AE503" s="50">
        <v>58440</v>
      </c>
      <c r="AF503" s="51">
        <v>0.36178773728403424</v>
      </c>
    </row>
  </sheetData>
  <mergeCells count="10">
    <mergeCell ref="A10:AF10"/>
    <mergeCell ref="A1:AF1"/>
    <mergeCell ref="A2:AF2"/>
    <mergeCell ref="A3:AF3"/>
    <mergeCell ref="A9:B9"/>
    <mergeCell ref="A4:C4"/>
    <mergeCell ref="A5:B5"/>
    <mergeCell ref="A6:B6"/>
    <mergeCell ref="A7:B7"/>
    <mergeCell ref="A8:B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2F90F-6A21-4D14-9F35-DAA1DC340DBB}">
  <sheetPr codeName="Sheet1"/>
  <dimension ref="A1:GC192"/>
  <sheetViews>
    <sheetView topLeftCell="A16" workbookViewId="0">
      <selection activeCell="F25" sqref="F25"/>
    </sheetView>
  </sheetViews>
  <sheetFormatPr defaultRowHeight="15" x14ac:dyDescent="0.25"/>
  <cols>
    <col min="1" max="1" width="11" style="3" customWidth="1"/>
    <col min="2" max="2" width="20.140625" style="4" customWidth="1"/>
    <col min="3" max="6" width="17.85546875" style="22" customWidth="1"/>
    <col min="7" max="7" width="11" customWidth="1"/>
    <col min="8" max="9" width="20.140625" style="4" customWidth="1"/>
    <col min="10" max="10" width="11" style="3" customWidth="1"/>
    <col min="11" max="12" width="20.140625" style="4" customWidth="1"/>
    <col min="13" max="13" width="11" style="3" customWidth="1"/>
    <col min="14" max="15" width="20.140625" style="4" customWidth="1"/>
    <col min="16" max="16" width="11" style="3" customWidth="1"/>
    <col min="17" max="18" width="20.140625" style="4" customWidth="1"/>
    <col min="19" max="19" width="11" style="3" customWidth="1"/>
    <col min="20" max="21" width="20.140625" style="4" customWidth="1"/>
    <col min="22" max="22" width="11" style="3" customWidth="1"/>
    <col min="23" max="29" width="20.140625" style="4" customWidth="1"/>
    <col min="30" max="36" width="17.85546875" style="22" customWidth="1"/>
    <col min="37" max="37" width="20.140625" style="3" bestFit="1" customWidth="1"/>
    <col min="38" max="38" width="20.140625" style="4" customWidth="1"/>
    <col min="39" max="39" width="17.85546875" style="22" customWidth="1"/>
    <col min="40" max="40" width="20.140625" style="3" bestFit="1" customWidth="1"/>
    <col min="41" max="41" width="20.140625" style="4" customWidth="1"/>
    <col min="42" max="42" width="17.85546875" style="22" customWidth="1"/>
    <col min="43" max="43" width="20.140625" style="4" customWidth="1"/>
    <col min="44" max="44" width="17.85546875" style="22" customWidth="1"/>
    <col min="45" max="45" width="9.140625" style="3"/>
    <col min="46" max="46" width="20.140625" style="4" customWidth="1"/>
    <col min="47" max="47" width="17.85546875" style="22" customWidth="1"/>
    <col min="48" max="48" width="9.140625" style="3"/>
    <col min="49" max="49" width="20.140625" style="4" customWidth="1"/>
    <col min="50" max="50" width="17.85546875" style="22" customWidth="1"/>
    <col min="51" max="51" width="9.140625" style="3"/>
    <col min="52" max="52" width="20.140625" style="4" customWidth="1"/>
    <col min="53" max="53" width="17.85546875" style="22" customWidth="1"/>
    <col min="54" max="54" width="9.140625" style="3"/>
    <col min="55" max="55" width="20.140625" style="4" customWidth="1"/>
    <col min="56" max="56" width="17.85546875" style="22" customWidth="1"/>
    <col min="57" max="57" width="9.140625" style="3"/>
    <col min="58" max="58" width="20.140625" style="4" customWidth="1"/>
    <col min="59" max="59" width="17.85546875" style="22" customWidth="1"/>
    <col min="60" max="60" width="9.140625" style="3"/>
    <col min="61" max="61" width="20.140625" style="4" customWidth="1"/>
    <col min="62" max="62" width="17.85546875" style="22" customWidth="1"/>
    <col min="63" max="63" width="9.140625" style="3"/>
    <col min="64" max="64" width="20.140625" style="4" customWidth="1"/>
    <col min="65" max="65" width="17.85546875" style="22" customWidth="1"/>
    <col min="66" max="66" width="9.140625" style="3"/>
    <col min="67" max="67" width="20.140625" style="4" customWidth="1"/>
    <col min="68" max="68" width="17.85546875" style="22" customWidth="1"/>
    <col min="69" max="69" width="9.140625" style="3"/>
    <col min="70" max="70" width="20.140625" style="4" customWidth="1"/>
    <col min="71" max="71" width="17.85546875" style="22" customWidth="1"/>
    <col min="72" max="72" width="9.140625" style="3"/>
    <col min="73" max="73" width="20.140625" style="4" customWidth="1"/>
    <col min="74" max="74" width="17.85546875" style="22" customWidth="1"/>
    <col min="75" max="75" width="9.140625" style="3"/>
    <col min="76" max="76" width="20.140625" style="4" customWidth="1"/>
    <col min="77" max="77" width="17.85546875" style="22" customWidth="1"/>
    <col min="78" max="78" width="9.140625" style="3"/>
    <col min="79" max="79" width="20.140625" style="4" customWidth="1"/>
    <col min="80" max="80" width="17.85546875" style="22" customWidth="1"/>
    <col min="81" max="81" width="9.140625" style="3"/>
    <col min="82" max="82" width="20.140625" style="4" customWidth="1"/>
    <col min="83" max="83" width="17.85546875" style="22" customWidth="1"/>
    <col min="84" max="84" width="9.140625" style="3"/>
    <col min="85" max="85" width="20.140625" style="4" customWidth="1"/>
    <col min="86" max="86" width="17.85546875" style="22" customWidth="1"/>
    <col min="87" max="87" width="9.140625" style="3"/>
    <col min="88" max="88" width="20.140625" style="4" customWidth="1"/>
    <col min="89" max="89" width="17.85546875" style="22" customWidth="1"/>
    <col min="90" max="90" width="9.140625" style="3"/>
    <col min="91" max="91" width="20.140625" style="4" customWidth="1"/>
    <col min="92" max="92" width="17.85546875" style="22" customWidth="1"/>
    <col min="93" max="93" width="9.140625" style="3"/>
    <col min="94" max="94" width="20.140625" style="4" customWidth="1"/>
    <col min="95" max="95" width="17.85546875" style="22" customWidth="1"/>
    <col min="96" max="96" width="9.140625" style="3"/>
    <col min="97" max="97" width="20.140625" style="4" customWidth="1"/>
    <col min="98" max="98" width="17.85546875" style="22" customWidth="1"/>
    <col min="99" max="99" width="9.140625" style="3"/>
    <col min="100" max="100" width="20.140625" style="4" customWidth="1"/>
    <col min="101" max="101" width="17.85546875" style="22" customWidth="1"/>
    <col min="102" max="102" width="9.140625" style="3"/>
    <col min="103" max="103" width="20.140625" style="4" customWidth="1"/>
    <col min="104" max="104" width="17.85546875" style="22" customWidth="1"/>
    <col min="105" max="105" width="9.140625" style="3"/>
    <col min="106" max="106" width="20.140625" style="4" customWidth="1"/>
    <col min="107" max="107" width="17.85546875" style="22" customWidth="1"/>
    <col min="108" max="108" width="9.140625" style="3"/>
    <col min="109" max="109" width="20.140625" style="4" customWidth="1"/>
    <col min="110" max="110" width="17.85546875" style="22" customWidth="1"/>
    <col min="111" max="111" width="9.140625" style="3"/>
    <col min="112" max="112" width="20.140625" style="4" customWidth="1"/>
    <col min="113" max="113" width="17.85546875" style="22" customWidth="1"/>
    <col min="114" max="114" width="9.140625" style="3"/>
    <col min="115" max="115" width="20.140625" style="4" customWidth="1"/>
    <col min="116" max="116" width="17.85546875" style="22" customWidth="1"/>
    <col min="117" max="117" width="9.140625" style="3"/>
    <col min="118" max="118" width="20.140625" style="4" customWidth="1"/>
    <col min="119" max="119" width="17.85546875" style="22" customWidth="1"/>
    <col min="120" max="120" width="9.140625" style="3"/>
    <col min="121" max="121" width="20.140625" style="4" customWidth="1"/>
    <col min="122" max="122" width="17.85546875" style="22" customWidth="1"/>
    <col min="123" max="123" width="9.140625" style="3"/>
    <col min="124" max="124" width="20.140625" style="4" customWidth="1"/>
    <col min="125" max="125" width="17.85546875" style="22" customWidth="1"/>
    <col min="126" max="126" width="9.140625" style="3"/>
    <col min="127" max="127" width="20.140625" style="4" customWidth="1"/>
    <col min="128" max="128" width="17.85546875" style="22" customWidth="1"/>
    <col min="129" max="129" width="9.140625" style="3"/>
    <col min="130" max="130" width="20.140625" style="4" customWidth="1"/>
    <col min="131" max="131" width="17.85546875" style="22" customWidth="1"/>
    <col min="132" max="132" width="9.140625" style="3"/>
    <col min="133" max="133" width="20.140625" style="4" customWidth="1"/>
    <col min="134" max="134" width="17.85546875" style="22" customWidth="1"/>
    <col min="135" max="135" width="9.140625" style="3"/>
    <col min="136" max="136" width="20.140625" style="4" customWidth="1"/>
    <col min="137" max="137" width="17.85546875" style="22" customWidth="1"/>
    <col min="138" max="138" width="9.140625" style="3"/>
    <col min="139" max="139" width="20.140625" style="4" customWidth="1"/>
    <col min="140" max="140" width="17.85546875" style="22" customWidth="1"/>
    <col min="141" max="141" width="9.140625" style="3"/>
    <col min="142" max="142" width="20.140625" style="4" customWidth="1"/>
    <col min="143" max="143" width="17.85546875" style="22" customWidth="1"/>
    <col min="144" max="144" width="9.140625" style="3"/>
    <col min="145" max="145" width="20.140625" style="4" customWidth="1"/>
    <col min="146" max="146" width="17.85546875" style="22" customWidth="1"/>
    <col min="147" max="147" width="9.140625" style="3"/>
    <col min="148" max="148" width="20.140625" style="4" customWidth="1"/>
    <col min="149" max="149" width="17.85546875" style="22" customWidth="1"/>
    <col min="150" max="150" width="9.140625" style="3"/>
    <col min="151" max="151" width="20.140625" style="4" customWidth="1"/>
    <col min="152" max="152" width="17.85546875" style="22" customWidth="1"/>
    <col min="153" max="153" width="9.140625" style="3"/>
    <col min="154" max="154" width="20.140625" style="4" customWidth="1"/>
    <col min="155" max="155" width="17.85546875" style="22" customWidth="1"/>
    <col min="156" max="156" width="9.140625" style="3"/>
    <col min="157" max="157" width="20.140625" style="4" customWidth="1"/>
    <col min="158" max="158" width="17.85546875" style="22" customWidth="1"/>
    <col min="159" max="159" width="9.140625" style="3"/>
    <col min="160" max="160" width="20.140625" style="4" customWidth="1"/>
    <col min="161" max="161" width="17.85546875" style="22" customWidth="1"/>
    <col min="162" max="162" width="9.140625" style="3"/>
    <col min="163" max="163" width="20.140625" style="4" customWidth="1"/>
    <col min="164" max="164" width="17.85546875" style="22" customWidth="1"/>
    <col min="165" max="165" width="9.140625" style="3"/>
    <col min="166" max="166" width="20.140625" style="4" customWidth="1"/>
    <col min="167" max="167" width="17.85546875" style="22" customWidth="1"/>
    <col min="168" max="168" width="9.140625" style="3"/>
    <col min="169" max="169" width="20.140625" style="4" customWidth="1"/>
    <col min="170" max="170" width="17.85546875" style="22" customWidth="1"/>
    <col min="171" max="171" width="9.140625" style="3"/>
    <col min="172" max="172" width="20.140625" style="4" customWidth="1"/>
    <col min="173" max="173" width="17.85546875" style="22" customWidth="1"/>
    <col min="174" max="174" width="9.140625" style="3"/>
    <col min="175" max="175" width="20.140625" style="4" customWidth="1"/>
    <col min="176" max="176" width="17.85546875" style="22" customWidth="1"/>
    <col min="177" max="177" width="9.140625" style="3"/>
    <col min="178" max="178" width="20.140625" style="4" customWidth="1"/>
    <col min="179" max="179" width="17.85546875" style="22" customWidth="1"/>
    <col min="180" max="180" width="9.140625" style="3"/>
    <col min="181" max="181" width="20.140625" style="4" customWidth="1"/>
    <col min="182" max="182" width="17.85546875" style="22" customWidth="1"/>
    <col min="183" max="183" width="9.140625" style="3"/>
    <col min="184" max="184" width="20.140625" style="4" customWidth="1"/>
    <col min="185" max="185" width="17.85546875" style="22" customWidth="1"/>
  </cols>
  <sheetData>
    <row r="1" spans="1:185" x14ac:dyDescent="0.25">
      <c r="A1" s="4" t="s">
        <v>25</v>
      </c>
      <c r="B1" s="22" t="s">
        <v>483</v>
      </c>
      <c r="D1" s="4" t="s">
        <v>25</v>
      </c>
      <c r="E1" s="22" t="s">
        <v>483</v>
      </c>
      <c r="G1" s="4" t="s">
        <v>25</v>
      </c>
      <c r="H1" s="22" t="s">
        <v>483</v>
      </c>
      <c r="I1" s="22"/>
      <c r="J1" s="4" t="s">
        <v>25</v>
      </c>
      <c r="K1" s="22" t="s">
        <v>483</v>
      </c>
      <c r="L1" s="22"/>
      <c r="M1" s="4" t="s">
        <v>25</v>
      </c>
      <c r="N1" s="22" t="s">
        <v>483</v>
      </c>
      <c r="O1" s="22"/>
      <c r="P1" s="4" t="s">
        <v>25</v>
      </c>
      <c r="Q1" s="22" t="s">
        <v>483</v>
      </c>
      <c r="R1" s="22"/>
      <c r="S1" s="4" t="s">
        <v>25</v>
      </c>
      <c r="T1" s="22" t="s">
        <v>483</v>
      </c>
      <c r="U1" s="22"/>
      <c r="V1" s="4" t="s">
        <v>25</v>
      </c>
      <c r="W1" s="22" t="s">
        <v>483</v>
      </c>
      <c r="X1" s="22"/>
      <c r="Y1" s="4" t="s">
        <v>25</v>
      </c>
      <c r="Z1" s="22" t="s">
        <v>483</v>
      </c>
      <c r="AA1" s="22"/>
      <c r="AB1" s="4" t="s">
        <v>25</v>
      </c>
      <c r="AC1" s="22" t="s">
        <v>483</v>
      </c>
      <c r="AD1"/>
      <c r="AE1" s="4" t="s">
        <v>25</v>
      </c>
      <c r="AF1" s="22" t="s">
        <v>483</v>
      </c>
      <c r="AH1" s="4" t="s">
        <v>25</v>
      </c>
      <c r="AI1" s="22" t="s">
        <v>483</v>
      </c>
      <c r="AK1" s="4" t="s">
        <v>25</v>
      </c>
      <c r="AL1" s="22" t="s">
        <v>483</v>
      </c>
      <c r="AN1" s="4" t="s">
        <v>25</v>
      </c>
      <c r="AO1" s="22" t="s">
        <v>483</v>
      </c>
      <c r="AP1" s="3"/>
      <c r="AQ1" s="4" t="s">
        <v>25</v>
      </c>
      <c r="AR1" s="22" t="s">
        <v>483</v>
      </c>
      <c r="AT1" s="4" t="s">
        <v>25</v>
      </c>
      <c r="AU1" s="22" t="s">
        <v>483</v>
      </c>
      <c r="AW1" s="4" t="s">
        <v>25</v>
      </c>
      <c r="AX1" s="22" t="s">
        <v>483</v>
      </c>
      <c r="AZ1" s="4" t="s">
        <v>25</v>
      </c>
      <c r="BA1" s="22" t="s">
        <v>483</v>
      </c>
      <c r="BC1" s="4" t="s">
        <v>25</v>
      </c>
      <c r="BD1" s="22" t="s">
        <v>483</v>
      </c>
      <c r="BF1" s="4" t="s">
        <v>25</v>
      </c>
      <c r="BG1" s="22" t="s">
        <v>483</v>
      </c>
      <c r="BI1" s="4" t="s">
        <v>25</v>
      </c>
      <c r="BJ1" s="22" t="s">
        <v>483</v>
      </c>
      <c r="BL1" s="4" t="s">
        <v>25</v>
      </c>
      <c r="BM1" s="22" t="s">
        <v>483</v>
      </c>
      <c r="BO1" s="4" t="s">
        <v>25</v>
      </c>
      <c r="BP1" s="22" t="s">
        <v>483</v>
      </c>
      <c r="BR1" s="4" t="s">
        <v>25</v>
      </c>
      <c r="BS1" s="22" t="s">
        <v>483</v>
      </c>
      <c r="BU1" s="4" t="s">
        <v>25</v>
      </c>
      <c r="BV1" s="22" t="s">
        <v>483</v>
      </c>
      <c r="BX1" s="4" t="s">
        <v>25</v>
      </c>
      <c r="BY1" s="22" t="s">
        <v>483</v>
      </c>
      <c r="CA1" s="4" t="s">
        <v>25</v>
      </c>
      <c r="CB1" s="22" t="s">
        <v>483</v>
      </c>
      <c r="CD1" s="4" t="s">
        <v>25</v>
      </c>
      <c r="CE1" s="22" t="s">
        <v>483</v>
      </c>
      <c r="CG1" s="4" t="s">
        <v>25</v>
      </c>
      <c r="CH1" s="22" t="s">
        <v>483</v>
      </c>
      <c r="CJ1" s="4" t="s">
        <v>25</v>
      </c>
      <c r="CK1" s="22" t="s">
        <v>483</v>
      </c>
      <c r="CM1" s="4" t="s">
        <v>25</v>
      </c>
      <c r="CN1" s="22" t="s">
        <v>483</v>
      </c>
      <c r="CP1" s="4" t="s">
        <v>25</v>
      </c>
      <c r="CQ1" s="22" t="s">
        <v>483</v>
      </c>
      <c r="CS1" s="4" t="s">
        <v>25</v>
      </c>
      <c r="CT1" s="22" t="s">
        <v>483</v>
      </c>
      <c r="CV1" s="4" t="s">
        <v>25</v>
      </c>
      <c r="CW1" s="22" t="s">
        <v>483</v>
      </c>
      <c r="CY1" s="4" t="s">
        <v>25</v>
      </c>
      <c r="CZ1" s="22" t="s">
        <v>483</v>
      </c>
      <c r="DB1" s="4" t="s">
        <v>25</v>
      </c>
      <c r="DC1" s="22" t="s">
        <v>483</v>
      </c>
      <c r="DE1" s="4" t="s">
        <v>25</v>
      </c>
      <c r="DF1" s="22" t="s">
        <v>483</v>
      </c>
      <c r="DH1" s="4" t="s">
        <v>25</v>
      </c>
      <c r="DI1" s="22" t="s">
        <v>483</v>
      </c>
      <c r="DK1" s="4" t="s">
        <v>25</v>
      </c>
      <c r="DL1" s="22" t="s">
        <v>483</v>
      </c>
      <c r="DN1" s="4" t="s">
        <v>25</v>
      </c>
      <c r="DO1" s="22" t="s">
        <v>483</v>
      </c>
      <c r="DQ1" s="4" t="s">
        <v>25</v>
      </c>
      <c r="DR1" s="22" t="s">
        <v>483</v>
      </c>
      <c r="DT1" s="4" t="s">
        <v>25</v>
      </c>
      <c r="DU1" s="22" t="s">
        <v>483</v>
      </c>
      <c r="DW1" s="4" t="s">
        <v>25</v>
      </c>
      <c r="DX1" s="22" t="s">
        <v>483</v>
      </c>
      <c r="DZ1" s="4" t="s">
        <v>25</v>
      </c>
      <c r="EA1" s="22" t="s">
        <v>483</v>
      </c>
      <c r="EC1" s="4" t="s">
        <v>25</v>
      </c>
      <c r="ED1" s="22" t="s">
        <v>483</v>
      </c>
      <c r="EF1" s="4" t="s">
        <v>25</v>
      </c>
      <c r="EG1" s="22" t="s">
        <v>483</v>
      </c>
      <c r="EI1" s="4" t="s">
        <v>25</v>
      </c>
      <c r="EJ1" s="22" t="s">
        <v>483</v>
      </c>
      <c r="EL1" s="4" t="s">
        <v>25</v>
      </c>
      <c r="EM1" s="22" t="s">
        <v>483</v>
      </c>
      <c r="EO1" s="4" t="s">
        <v>25</v>
      </c>
      <c r="EP1" s="22" t="s">
        <v>483</v>
      </c>
      <c r="ER1" s="4" t="s">
        <v>25</v>
      </c>
      <c r="ES1" s="22" t="s">
        <v>483</v>
      </c>
      <c r="EU1" s="4" t="s">
        <v>25</v>
      </c>
      <c r="EV1" s="22" t="s">
        <v>483</v>
      </c>
      <c r="EX1" s="4" t="s">
        <v>25</v>
      </c>
      <c r="EY1" s="22" t="s">
        <v>483</v>
      </c>
      <c r="FA1" s="4" t="s">
        <v>25</v>
      </c>
      <c r="FB1" s="22" t="s">
        <v>483</v>
      </c>
      <c r="FD1" s="4" t="s">
        <v>25</v>
      </c>
      <c r="FE1" s="22" t="s">
        <v>483</v>
      </c>
      <c r="FG1" s="4" t="s">
        <v>25</v>
      </c>
      <c r="FH1" s="22" t="s">
        <v>483</v>
      </c>
      <c r="FJ1" s="4" t="s">
        <v>25</v>
      </c>
      <c r="FK1" s="22" t="s">
        <v>483</v>
      </c>
      <c r="FM1" s="4" t="s">
        <v>25</v>
      </c>
      <c r="FN1" s="22" t="s">
        <v>483</v>
      </c>
      <c r="FP1" s="4" t="s">
        <v>25</v>
      </c>
      <c r="FQ1" s="22" t="s">
        <v>483</v>
      </c>
      <c r="FS1" s="4" t="s">
        <v>25</v>
      </c>
      <c r="FT1" s="22" t="s">
        <v>483</v>
      </c>
      <c r="FV1" s="4" t="s">
        <v>25</v>
      </c>
      <c r="FW1" s="22" t="s">
        <v>483</v>
      </c>
      <c r="FY1" s="4" t="s">
        <v>25</v>
      </c>
      <c r="FZ1" s="22" t="s">
        <v>483</v>
      </c>
      <c r="GB1" s="4" t="s">
        <v>25</v>
      </c>
      <c r="GC1" s="22" t="s">
        <v>483</v>
      </c>
    </row>
    <row r="2" spans="1:185" x14ac:dyDescent="0.25">
      <c r="A2" s="4" t="s">
        <v>484</v>
      </c>
      <c r="B2" s="42" t="s">
        <v>572</v>
      </c>
      <c r="C2" s="23"/>
      <c r="D2" s="4" t="s">
        <v>484</v>
      </c>
      <c r="E2" s="42" t="s">
        <v>571</v>
      </c>
      <c r="F2" s="23"/>
      <c r="G2" s="4" t="s">
        <v>484</v>
      </c>
      <c r="H2" s="42" t="s">
        <v>574</v>
      </c>
      <c r="I2" s="42"/>
      <c r="J2" s="4" t="s">
        <v>484</v>
      </c>
      <c r="K2" s="42" t="s">
        <v>573</v>
      </c>
      <c r="L2" s="42"/>
      <c r="M2" s="4" t="s">
        <v>484</v>
      </c>
      <c r="N2" s="42" t="s">
        <v>543</v>
      </c>
      <c r="O2" s="42"/>
      <c r="P2" s="4" t="s">
        <v>484</v>
      </c>
      <c r="Q2" s="42" t="s">
        <v>544</v>
      </c>
      <c r="R2" s="42"/>
      <c r="S2" s="4" t="s">
        <v>484</v>
      </c>
      <c r="T2" s="42" t="s">
        <v>545</v>
      </c>
      <c r="U2" s="42"/>
      <c r="V2" s="4" t="s">
        <v>484</v>
      </c>
      <c r="W2" s="42" t="s">
        <v>546</v>
      </c>
      <c r="X2" s="42"/>
      <c r="Y2" s="4" t="s">
        <v>484</v>
      </c>
      <c r="Z2" s="42" t="s">
        <v>547</v>
      </c>
      <c r="AA2" s="42"/>
      <c r="AB2" s="4" t="s">
        <v>484</v>
      </c>
      <c r="AC2" s="42" t="s">
        <v>548</v>
      </c>
      <c r="AD2"/>
      <c r="AE2" s="4" t="s">
        <v>484</v>
      </c>
      <c r="AF2" s="42" t="s">
        <v>549</v>
      </c>
      <c r="AG2" s="42"/>
      <c r="AH2" s="4" t="s">
        <v>484</v>
      </c>
      <c r="AI2" s="42" t="s">
        <v>550</v>
      </c>
      <c r="AJ2" s="42"/>
      <c r="AK2" s="4" t="s">
        <v>484</v>
      </c>
      <c r="AL2" s="23" t="s">
        <v>576</v>
      </c>
      <c r="AM2" s="42"/>
      <c r="AN2" s="4" t="s">
        <v>484</v>
      </c>
      <c r="AO2" s="23" t="s">
        <v>577</v>
      </c>
      <c r="AP2" s="3"/>
      <c r="AQ2" s="4" t="s">
        <v>484</v>
      </c>
      <c r="AR2" s="22" t="s">
        <v>583</v>
      </c>
      <c r="AT2" s="4" t="s">
        <v>484</v>
      </c>
      <c r="AU2" s="42" t="s">
        <v>584</v>
      </c>
      <c r="AW2" s="4" t="s">
        <v>484</v>
      </c>
      <c r="AX2" s="23" t="s">
        <v>581</v>
      </c>
      <c r="AZ2" s="4" t="s">
        <v>484</v>
      </c>
      <c r="BA2" s="23" t="s">
        <v>585</v>
      </c>
      <c r="BC2" s="4" t="s">
        <v>484</v>
      </c>
      <c r="BD2" s="23" t="s">
        <v>586</v>
      </c>
      <c r="BF2" s="4" t="s">
        <v>484</v>
      </c>
      <c r="BG2" s="23" t="s">
        <v>587</v>
      </c>
      <c r="BI2" s="4" t="s">
        <v>484</v>
      </c>
      <c r="BJ2" s="23" t="s">
        <v>588</v>
      </c>
      <c r="BL2" s="4" t="s">
        <v>484</v>
      </c>
      <c r="BM2" s="23" t="s">
        <v>589</v>
      </c>
      <c r="BO2" s="4" t="s">
        <v>484</v>
      </c>
      <c r="BP2" s="23" t="s">
        <v>590</v>
      </c>
      <c r="BR2" s="4" t="s">
        <v>484</v>
      </c>
      <c r="BS2" s="23" t="s">
        <v>591</v>
      </c>
      <c r="BU2" s="4" t="s">
        <v>484</v>
      </c>
      <c r="BV2" s="23" t="s">
        <v>592</v>
      </c>
      <c r="BX2" s="4" t="s">
        <v>484</v>
      </c>
      <c r="BY2" s="23" t="s">
        <v>593</v>
      </c>
      <c r="CA2" s="4" t="s">
        <v>484</v>
      </c>
      <c r="CB2" s="23" t="s">
        <v>594</v>
      </c>
      <c r="CD2" s="4" t="s">
        <v>484</v>
      </c>
      <c r="CE2" s="23" t="s">
        <v>595</v>
      </c>
      <c r="CG2" s="4" t="s">
        <v>484</v>
      </c>
      <c r="CH2" s="23" t="s">
        <v>596</v>
      </c>
      <c r="CJ2" s="4" t="s">
        <v>484</v>
      </c>
      <c r="CK2" s="23" t="s">
        <v>597</v>
      </c>
      <c r="CM2" s="4" t="s">
        <v>484</v>
      </c>
      <c r="CN2" s="23" t="s">
        <v>598</v>
      </c>
      <c r="CP2" s="4" t="s">
        <v>484</v>
      </c>
      <c r="CQ2" s="23" t="s">
        <v>599</v>
      </c>
      <c r="CS2" s="4" t="s">
        <v>484</v>
      </c>
      <c r="CT2" s="23" t="s">
        <v>600</v>
      </c>
      <c r="CV2" s="4" t="s">
        <v>484</v>
      </c>
      <c r="CW2" s="23" t="s">
        <v>601</v>
      </c>
      <c r="CY2" s="4" t="s">
        <v>484</v>
      </c>
      <c r="CZ2" s="23" t="s">
        <v>602</v>
      </c>
      <c r="DB2" s="4" t="s">
        <v>484</v>
      </c>
      <c r="DC2" s="23" t="s">
        <v>603</v>
      </c>
      <c r="DE2" s="4" t="s">
        <v>484</v>
      </c>
      <c r="DF2" s="23" t="s">
        <v>604</v>
      </c>
      <c r="DH2" s="4" t="s">
        <v>484</v>
      </c>
      <c r="DI2" s="23" t="s">
        <v>605</v>
      </c>
      <c r="DK2" s="4" t="s">
        <v>484</v>
      </c>
      <c r="DL2" s="23" t="s">
        <v>606</v>
      </c>
      <c r="DN2" s="4" t="s">
        <v>484</v>
      </c>
      <c r="DO2" s="23" t="s">
        <v>607</v>
      </c>
      <c r="DQ2" s="4" t="s">
        <v>484</v>
      </c>
      <c r="DR2" s="23" t="s">
        <v>608</v>
      </c>
      <c r="DT2" s="4" t="s">
        <v>484</v>
      </c>
      <c r="DU2" s="23" t="s">
        <v>609</v>
      </c>
      <c r="DW2" s="4" t="s">
        <v>484</v>
      </c>
      <c r="DX2" s="23" t="s">
        <v>610</v>
      </c>
      <c r="DZ2" s="4" t="s">
        <v>484</v>
      </c>
      <c r="EA2" s="23" t="s">
        <v>611</v>
      </c>
      <c r="EC2" s="4" t="s">
        <v>484</v>
      </c>
      <c r="ED2" s="23" t="s">
        <v>612</v>
      </c>
      <c r="EF2" s="4" t="s">
        <v>484</v>
      </c>
      <c r="EG2" s="23" t="s">
        <v>613</v>
      </c>
      <c r="EI2" s="4" t="s">
        <v>484</v>
      </c>
      <c r="EJ2" s="23" t="s">
        <v>614</v>
      </c>
      <c r="EL2" s="4" t="s">
        <v>484</v>
      </c>
      <c r="EM2" s="23" t="s">
        <v>615</v>
      </c>
      <c r="EO2" s="4" t="s">
        <v>484</v>
      </c>
      <c r="EP2" s="23" t="s">
        <v>616</v>
      </c>
      <c r="ER2" s="4" t="s">
        <v>484</v>
      </c>
      <c r="ES2" s="23" t="s">
        <v>617</v>
      </c>
      <c r="EU2" s="4" t="s">
        <v>484</v>
      </c>
      <c r="EV2" s="23" t="s">
        <v>618</v>
      </c>
      <c r="EX2" s="4" t="s">
        <v>484</v>
      </c>
      <c r="EY2" s="23" t="s">
        <v>619</v>
      </c>
      <c r="FA2" s="4" t="s">
        <v>484</v>
      </c>
      <c r="FB2" s="23" t="s">
        <v>620</v>
      </c>
      <c r="FD2" s="4" t="s">
        <v>484</v>
      </c>
      <c r="FE2" s="23" t="s">
        <v>621</v>
      </c>
      <c r="FG2" s="4" t="s">
        <v>484</v>
      </c>
      <c r="FH2" s="23" t="s">
        <v>622</v>
      </c>
      <c r="FJ2" s="4" t="s">
        <v>484</v>
      </c>
      <c r="FK2" s="23" t="s">
        <v>623</v>
      </c>
      <c r="FM2" s="4" t="s">
        <v>484</v>
      </c>
      <c r="FN2" s="23" t="s">
        <v>624</v>
      </c>
      <c r="FP2" s="4" t="s">
        <v>484</v>
      </c>
      <c r="FQ2" s="23" t="s">
        <v>625</v>
      </c>
      <c r="FS2" s="4" t="s">
        <v>484</v>
      </c>
      <c r="FT2" s="23" t="s">
        <v>626</v>
      </c>
      <c r="FV2" s="4" t="s">
        <v>484</v>
      </c>
      <c r="FW2" s="23" t="s">
        <v>627</v>
      </c>
      <c r="FY2" s="4" t="s">
        <v>484</v>
      </c>
      <c r="FZ2" s="23" t="s">
        <v>628</v>
      </c>
      <c r="GB2" s="4" t="s">
        <v>484</v>
      </c>
      <c r="GC2" s="23" t="s">
        <v>629</v>
      </c>
    </row>
    <row r="3" spans="1:185" x14ac:dyDescent="0.25">
      <c r="A3" s="4" t="s">
        <v>485</v>
      </c>
      <c r="B3" s="22" t="s">
        <v>12</v>
      </c>
      <c r="D3" s="4" t="s">
        <v>485</v>
      </c>
      <c r="E3" s="22" t="s">
        <v>12</v>
      </c>
      <c r="G3" s="4" t="s">
        <v>485</v>
      </c>
      <c r="H3" s="22" t="s">
        <v>12</v>
      </c>
      <c r="I3" s="22"/>
      <c r="J3" s="4" t="s">
        <v>485</v>
      </c>
      <c r="K3" s="22" t="s">
        <v>12</v>
      </c>
      <c r="L3" s="22"/>
      <c r="M3" s="4" t="s">
        <v>485</v>
      </c>
      <c r="N3" s="22" t="s">
        <v>12</v>
      </c>
      <c r="O3" s="22"/>
      <c r="P3" s="4" t="s">
        <v>485</v>
      </c>
      <c r="Q3" s="22" t="s">
        <v>12</v>
      </c>
      <c r="R3" s="22"/>
      <c r="S3" s="4" t="s">
        <v>485</v>
      </c>
      <c r="T3" s="22" t="s">
        <v>12</v>
      </c>
      <c r="U3" s="22"/>
      <c r="V3" s="4" t="s">
        <v>485</v>
      </c>
      <c r="W3" s="22" t="s">
        <v>12</v>
      </c>
      <c r="X3" s="22"/>
      <c r="Y3" s="4" t="s">
        <v>485</v>
      </c>
      <c r="Z3" s="22" t="s">
        <v>12</v>
      </c>
      <c r="AA3" s="22"/>
      <c r="AB3" s="4" t="s">
        <v>485</v>
      </c>
      <c r="AC3" s="22" t="s">
        <v>12</v>
      </c>
      <c r="AD3"/>
      <c r="AE3" s="4" t="s">
        <v>485</v>
      </c>
      <c r="AF3" s="22" t="s">
        <v>12</v>
      </c>
      <c r="AH3" s="4" t="s">
        <v>485</v>
      </c>
      <c r="AI3" s="22" t="s">
        <v>12</v>
      </c>
      <c r="AK3" s="4" t="s">
        <v>485</v>
      </c>
      <c r="AL3" s="22" t="s">
        <v>12</v>
      </c>
      <c r="AN3" s="4" t="s">
        <v>485</v>
      </c>
      <c r="AO3" s="22" t="s">
        <v>510</v>
      </c>
      <c r="AP3" s="3"/>
      <c r="AQ3" s="4" t="s">
        <v>485</v>
      </c>
      <c r="AR3" s="22" t="s">
        <v>12</v>
      </c>
      <c r="AT3" s="4" t="s">
        <v>485</v>
      </c>
      <c r="AU3" s="22" t="s">
        <v>12</v>
      </c>
      <c r="AW3" s="4" t="s">
        <v>485</v>
      </c>
      <c r="AX3" s="22" t="s">
        <v>13</v>
      </c>
      <c r="AZ3" s="4" t="s">
        <v>485</v>
      </c>
      <c r="BA3" s="22" t="s">
        <v>13</v>
      </c>
      <c r="BC3" s="4" t="s">
        <v>485</v>
      </c>
      <c r="BD3" s="22" t="s">
        <v>13</v>
      </c>
      <c r="BF3" s="4" t="s">
        <v>485</v>
      </c>
      <c r="BG3" s="22" t="s">
        <v>13</v>
      </c>
      <c r="BI3" s="4" t="s">
        <v>485</v>
      </c>
      <c r="BJ3" s="22" t="s">
        <v>13</v>
      </c>
      <c r="BL3" s="4" t="s">
        <v>485</v>
      </c>
      <c r="BM3" s="22" t="s">
        <v>13</v>
      </c>
      <c r="BO3" s="4" t="s">
        <v>485</v>
      </c>
      <c r="BP3" s="22" t="s">
        <v>13</v>
      </c>
      <c r="BR3" s="4" t="s">
        <v>485</v>
      </c>
      <c r="BS3" s="22" t="s">
        <v>13</v>
      </c>
      <c r="BU3" s="4" t="s">
        <v>485</v>
      </c>
      <c r="BV3" s="22" t="s">
        <v>13</v>
      </c>
      <c r="BX3" s="4" t="s">
        <v>485</v>
      </c>
      <c r="BY3" s="22" t="s">
        <v>13</v>
      </c>
      <c r="CA3" s="4" t="s">
        <v>485</v>
      </c>
      <c r="CB3" s="22" t="s">
        <v>13</v>
      </c>
      <c r="CD3" s="4" t="s">
        <v>485</v>
      </c>
      <c r="CE3" s="22" t="s">
        <v>13</v>
      </c>
      <c r="CG3" s="4" t="s">
        <v>485</v>
      </c>
      <c r="CH3" s="22" t="s">
        <v>13</v>
      </c>
      <c r="CJ3" s="4" t="s">
        <v>485</v>
      </c>
      <c r="CK3" s="22" t="s">
        <v>13</v>
      </c>
      <c r="CM3" s="4" t="s">
        <v>485</v>
      </c>
      <c r="CN3" s="22" t="s">
        <v>13</v>
      </c>
      <c r="CP3" s="4" t="s">
        <v>485</v>
      </c>
      <c r="CQ3" s="22" t="s">
        <v>13</v>
      </c>
      <c r="CS3" s="4" t="s">
        <v>485</v>
      </c>
      <c r="CT3" s="22" t="s">
        <v>13</v>
      </c>
      <c r="CV3" s="4" t="s">
        <v>485</v>
      </c>
      <c r="CW3" s="22" t="s">
        <v>13</v>
      </c>
      <c r="CY3" s="4" t="s">
        <v>485</v>
      </c>
      <c r="CZ3" s="22" t="s">
        <v>13</v>
      </c>
      <c r="DB3" s="4" t="s">
        <v>485</v>
      </c>
      <c r="DC3" s="22" t="s">
        <v>13</v>
      </c>
      <c r="DE3" s="4" t="s">
        <v>485</v>
      </c>
      <c r="DF3" s="22" t="s">
        <v>13</v>
      </c>
      <c r="DH3" s="4" t="s">
        <v>485</v>
      </c>
      <c r="DI3" s="22" t="s">
        <v>13</v>
      </c>
      <c r="DK3" s="4" t="s">
        <v>485</v>
      </c>
      <c r="DL3" s="22" t="s">
        <v>13</v>
      </c>
      <c r="DN3" s="4" t="s">
        <v>485</v>
      </c>
      <c r="DO3" s="22" t="s">
        <v>13</v>
      </c>
      <c r="DQ3" s="4" t="s">
        <v>485</v>
      </c>
      <c r="DR3" s="22" t="s">
        <v>13</v>
      </c>
      <c r="DT3" s="4" t="s">
        <v>485</v>
      </c>
      <c r="DU3" s="22" t="s">
        <v>13</v>
      </c>
      <c r="DW3" s="4" t="s">
        <v>485</v>
      </c>
      <c r="DX3" s="22" t="s">
        <v>13</v>
      </c>
      <c r="DZ3" s="4" t="s">
        <v>485</v>
      </c>
      <c r="EA3" s="22" t="s">
        <v>13</v>
      </c>
      <c r="EC3" s="4" t="s">
        <v>485</v>
      </c>
      <c r="ED3" s="22" t="s">
        <v>13</v>
      </c>
      <c r="EF3" s="4" t="s">
        <v>485</v>
      </c>
      <c r="EG3" s="22" t="s">
        <v>13</v>
      </c>
      <c r="EI3" s="4" t="s">
        <v>485</v>
      </c>
      <c r="EJ3" s="22" t="s">
        <v>13</v>
      </c>
      <c r="EL3" s="4" t="s">
        <v>485</v>
      </c>
      <c r="EM3" s="22" t="s">
        <v>13</v>
      </c>
      <c r="EO3" s="4" t="s">
        <v>485</v>
      </c>
      <c r="EP3" s="22" t="s">
        <v>13</v>
      </c>
      <c r="ER3" s="4" t="s">
        <v>485</v>
      </c>
      <c r="ES3" s="22" t="s">
        <v>13</v>
      </c>
      <c r="EU3" s="4" t="s">
        <v>485</v>
      </c>
      <c r="EV3" s="22" t="s">
        <v>13</v>
      </c>
      <c r="EX3" s="4" t="s">
        <v>485</v>
      </c>
      <c r="EY3" s="22" t="s">
        <v>13</v>
      </c>
      <c r="FA3" s="4" t="s">
        <v>485</v>
      </c>
      <c r="FB3" s="22" t="s">
        <v>13</v>
      </c>
      <c r="FD3" s="4" t="s">
        <v>485</v>
      </c>
      <c r="FE3" s="22" t="s">
        <v>13</v>
      </c>
      <c r="FG3" s="4" t="s">
        <v>485</v>
      </c>
      <c r="FH3" s="22" t="s">
        <v>13</v>
      </c>
      <c r="FJ3" s="4" t="s">
        <v>485</v>
      </c>
      <c r="FK3" s="22" t="s">
        <v>13</v>
      </c>
      <c r="FM3" s="4" t="s">
        <v>485</v>
      </c>
      <c r="FN3" s="22" t="s">
        <v>13</v>
      </c>
      <c r="FP3" s="4" t="s">
        <v>485</v>
      </c>
      <c r="FQ3" s="22" t="s">
        <v>13</v>
      </c>
      <c r="FS3" s="4" t="s">
        <v>485</v>
      </c>
      <c r="FT3" s="22" t="s">
        <v>13</v>
      </c>
      <c r="FV3" s="4" t="s">
        <v>485</v>
      </c>
      <c r="FW3" s="22" t="s">
        <v>13</v>
      </c>
      <c r="FY3" s="4" t="s">
        <v>485</v>
      </c>
      <c r="FZ3" s="22" t="s">
        <v>13</v>
      </c>
      <c r="GB3" s="4" t="s">
        <v>485</v>
      </c>
      <c r="GC3" s="22" t="s">
        <v>13</v>
      </c>
    </row>
    <row r="4" spans="1:185" x14ac:dyDescent="0.25">
      <c r="A4" s="4" t="s">
        <v>486</v>
      </c>
      <c r="B4" s="22" t="s">
        <v>12</v>
      </c>
      <c r="D4" s="4" t="s">
        <v>486</v>
      </c>
      <c r="E4" s="22" t="s">
        <v>12</v>
      </c>
      <c r="G4" s="4" t="s">
        <v>486</v>
      </c>
      <c r="H4" s="22" t="s">
        <v>12</v>
      </c>
      <c r="I4" s="22"/>
      <c r="J4" s="4" t="s">
        <v>486</v>
      </c>
      <c r="K4" s="22" t="s">
        <v>12</v>
      </c>
      <c r="L4" s="22"/>
      <c r="M4" s="4" t="s">
        <v>486</v>
      </c>
      <c r="N4" s="22" t="s">
        <v>12</v>
      </c>
      <c r="O4" s="22"/>
      <c r="P4" s="4" t="s">
        <v>486</v>
      </c>
      <c r="Q4" s="22" t="s">
        <v>12</v>
      </c>
      <c r="R4" s="22"/>
      <c r="S4" s="4" t="s">
        <v>486</v>
      </c>
      <c r="T4" s="22" t="s">
        <v>12</v>
      </c>
      <c r="U4" s="22"/>
      <c r="V4" s="4" t="s">
        <v>486</v>
      </c>
      <c r="W4" s="22" t="s">
        <v>12</v>
      </c>
      <c r="X4" s="22"/>
      <c r="Y4" s="4" t="s">
        <v>486</v>
      </c>
      <c r="Z4" s="22" t="s">
        <v>12</v>
      </c>
      <c r="AA4" s="22"/>
      <c r="AB4" s="4" t="s">
        <v>486</v>
      </c>
      <c r="AC4" s="22" t="s">
        <v>12</v>
      </c>
      <c r="AD4"/>
      <c r="AE4" s="4" t="s">
        <v>486</v>
      </c>
      <c r="AF4" s="22" t="s">
        <v>12</v>
      </c>
      <c r="AH4" s="4" t="s">
        <v>486</v>
      </c>
      <c r="AI4" s="22" t="s">
        <v>12</v>
      </c>
      <c r="AK4" s="4" t="s">
        <v>486</v>
      </c>
      <c r="AL4" s="22" t="s">
        <v>12</v>
      </c>
      <c r="AN4" s="4" t="s">
        <v>486</v>
      </c>
      <c r="AO4" s="22" t="s">
        <v>510</v>
      </c>
      <c r="AP4" s="3"/>
      <c r="AQ4" s="4" t="s">
        <v>486</v>
      </c>
      <c r="AR4" s="22" t="s">
        <v>12</v>
      </c>
      <c r="AT4" s="4" t="s">
        <v>486</v>
      </c>
      <c r="AU4" s="22" t="s">
        <v>12</v>
      </c>
      <c r="AW4" s="4" t="s">
        <v>486</v>
      </c>
      <c r="AX4" s="22" t="s">
        <v>13</v>
      </c>
      <c r="AZ4" s="4" t="s">
        <v>486</v>
      </c>
      <c r="BA4" s="22" t="s">
        <v>13</v>
      </c>
      <c r="BC4" s="4" t="s">
        <v>486</v>
      </c>
      <c r="BD4" s="22" t="s">
        <v>13</v>
      </c>
      <c r="BF4" s="4" t="s">
        <v>486</v>
      </c>
      <c r="BG4" s="22" t="s">
        <v>13</v>
      </c>
      <c r="BI4" s="4" t="s">
        <v>486</v>
      </c>
      <c r="BJ4" s="22" t="s">
        <v>13</v>
      </c>
      <c r="BL4" s="4" t="s">
        <v>486</v>
      </c>
      <c r="BM4" s="22" t="s">
        <v>13</v>
      </c>
      <c r="BO4" s="4" t="s">
        <v>486</v>
      </c>
      <c r="BP4" s="22" t="s">
        <v>13</v>
      </c>
      <c r="BR4" s="4" t="s">
        <v>486</v>
      </c>
      <c r="BS4" s="22" t="s">
        <v>13</v>
      </c>
      <c r="BU4" s="4" t="s">
        <v>486</v>
      </c>
      <c r="BV4" s="22" t="s">
        <v>13</v>
      </c>
      <c r="BX4" s="4" t="s">
        <v>486</v>
      </c>
      <c r="BY4" s="22" t="s">
        <v>13</v>
      </c>
      <c r="CA4" s="4" t="s">
        <v>486</v>
      </c>
      <c r="CB4" s="22" t="s">
        <v>13</v>
      </c>
      <c r="CD4" s="4" t="s">
        <v>486</v>
      </c>
      <c r="CE4" s="22" t="s">
        <v>13</v>
      </c>
      <c r="CG4" s="4" t="s">
        <v>486</v>
      </c>
      <c r="CH4" s="22" t="s">
        <v>13</v>
      </c>
      <c r="CJ4" s="4" t="s">
        <v>486</v>
      </c>
      <c r="CK4" s="22" t="s">
        <v>13</v>
      </c>
      <c r="CM4" s="4" t="s">
        <v>486</v>
      </c>
      <c r="CN4" s="22" t="s">
        <v>13</v>
      </c>
      <c r="CP4" s="4" t="s">
        <v>486</v>
      </c>
      <c r="CQ4" s="22" t="s">
        <v>13</v>
      </c>
      <c r="CS4" s="4" t="s">
        <v>486</v>
      </c>
      <c r="CT4" s="22" t="s">
        <v>13</v>
      </c>
      <c r="CV4" s="4" t="s">
        <v>486</v>
      </c>
      <c r="CW4" s="22" t="s">
        <v>13</v>
      </c>
      <c r="CY4" s="4" t="s">
        <v>486</v>
      </c>
      <c r="CZ4" s="22" t="s">
        <v>13</v>
      </c>
      <c r="DB4" s="4" t="s">
        <v>486</v>
      </c>
      <c r="DC4" s="22" t="s">
        <v>13</v>
      </c>
      <c r="DE4" s="4" t="s">
        <v>486</v>
      </c>
      <c r="DF4" s="22" t="s">
        <v>13</v>
      </c>
      <c r="DH4" s="4" t="s">
        <v>486</v>
      </c>
      <c r="DI4" s="22" t="s">
        <v>13</v>
      </c>
      <c r="DK4" s="4" t="s">
        <v>486</v>
      </c>
      <c r="DL4" s="22" t="s">
        <v>13</v>
      </c>
      <c r="DN4" s="4" t="s">
        <v>486</v>
      </c>
      <c r="DO4" s="22" t="s">
        <v>13</v>
      </c>
      <c r="DQ4" s="4" t="s">
        <v>486</v>
      </c>
      <c r="DR4" s="22" t="s">
        <v>13</v>
      </c>
      <c r="DT4" s="4" t="s">
        <v>486</v>
      </c>
      <c r="DU4" s="22" t="s">
        <v>13</v>
      </c>
      <c r="DW4" s="4" t="s">
        <v>486</v>
      </c>
      <c r="DX4" s="22" t="s">
        <v>13</v>
      </c>
      <c r="DZ4" s="4" t="s">
        <v>486</v>
      </c>
      <c r="EA4" s="22" t="s">
        <v>13</v>
      </c>
      <c r="EC4" s="4" t="s">
        <v>486</v>
      </c>
      <c r="ED4" s="22" t="s">
        <v>13</v>
      </c>
      <c r="EF4" s="4" t="s">
        <v>486</v>
      </c>
      <c r="EG4" s="22" t="s">
        <v>13</v>
      </c>
      <c r="EI4" s="4" t="s">
        <v>486</v>
      </c>
      <c r="EJ4" s="22" t="s">
        <v>13</v>
      </c>
      <c r="EL4" s="4" t="s">
        <v>486</v>
      </c>
      <c r="EM4" s="22" t="s">
        <v>13</v>
      </c>
      <c r="EO4" s="4" t="s">
        <v>486</v>
      </c>
      <c r="EP4" s="22" t="s">
        <v>13</v>
      </c>
      <c r="ER4" s="4" t="s">
        <v>486</v>
      </c>
      <c r="ES4" s="22" t="s">
        <v>13</v>
      </c>
      <c r="EU4" s="4" t="s">
        <v>486</v>
      </c>
      <c r="EV4" s="22" t="s">
        <v>13</v>
      </c>
      <c r="EX4" s="4" t="s">
        <v>486</v>
      </c>
      <c r="EY4" s="22" t="s">
        <v>13</v>
      </c>
      <c r="FA4" s="4" t="s">
        <v>486</v>
      </c>
      <c r="FB4" s="22" t="s">
        <v>13</v>
      </c>
      <c r="FD4" s="4" t="s">
        <v>486</v>
      </c>
      <c r="FE4" s="22" t="s">
        <v>13</v>
      </c>
      <c r="FG4" s="4" t="s">
        <v>486</v>
      </c>
      <c r="FH4" s="22" t="s">
        <v>13</v>
      </c>
      <c r="FJ4" s="4" t="s">
        <v>486</v>
      </c>
      <c r="FK4" s="22" t="s">
        <v>13</v>
      </c>
      <c r="FM4" s="4" t="s">
        <v>486</v>
      </c>
      <c r="FN4" s="22" t="s">
        <v>13</v>
      </c>
      <c r="FP4" s="4" t="s">
        <v>486</v>
      </c>
      <c r="FQ4" s="22" t="s">
        <v>13</v>
      </c>
      <c r="FS4" s="4" t="s">
        <v>486</v>
      </c>
      <c r="FT4" s="22" t="s">
        <v>13</v>
      </c>
      <c r="FV4" s="4" t="s">
        <v>486</v>
      </c>
      <c r="FW4" s="22" t="s">
        <v>13</v>
      </c>
      <c r="FY4" s="4" t="s">
        <v>486</v>
      </c>
      <c r="FZ4" s="22" t="s">
        <v>13</v>
      </c>
      <c r="GB4" s="4" t="s">
        <v>486</v>
      </c>
      <c r="GC4" s="22" t="s">
        <v>13</v>
      </c>
    </row>
    <row r="5" spans="1:185" x14ac:dyDescent="0.25">
      <c r="A5" s="4" t="s">
        <v>487</v>
      </c>
      <c r="B5" s="22" t="s">
        <v>537</v>
      </c>
      <c r="D5" s="4" t="s">
        <v>487</v>
      </c>
      <c r="E5" s="22" t="s">
        <v>537</v>
      </c>
      <c r="G5" s="4" t="s">
        <v>487</v>
      </c>
      <c r="H5" s="22" t="s">
        <v>537</v>
      </c>
      <c r="I5" s="22"/>
      <c r="J5" s="4" t="s">
        <v>487</v>
      </c>
      <c r="K5" s="22" t="s">
        <v>537</v>
      </c>
      <c r="L5" s="22"/>
      <c r="M5" s="4" t="s">
        <v>487</v>
      </c>
      <c r="N5" s="22" t="s">
        <v>537</v>
      </c>
      <c r="O5" s="22"/>
      <c r="P5" s="4" t="s">
        <v>487</v>
      </c>
      <c r="Q5" s="22" t="s">
        <v>537</v>
      </c>
      <c r="R5" s="22"/>
      <c r="S5" s="4" t="s">
        <v>487</v>
      </c>
      <c r="T5" s="22" t="s">
        <v>537</v>
      </c>
      <c r="U5" s="22"/>
      <c r="V5" s="4" t="s">
        <v>487</v>
      </c>
      <c r="W5" s="22" t="s">
        <v>537</v>
      </c>
      <c r="X5" s="22"/>
      <c r="Y5" s="4" t="s">
        <v>487</v>
      </c>
      <c r="Z5" s="22" t="s">
        <v>537</v>
      </c>
      <c r="AA5" s="22"/>
      <c r="AB5" s="4" t="s">
        <v>487</v>
      </c>
      <c r="AC5" s="22" t="s">
        <v>537</v>
      </c>
      <c r="AD5"/>
      <c r="AE5" s="4" t="s">
        <v>487</v>
      </c>
      <c r="AF5" s="22" t="s">
        <v>537</v>
      </c>
      <c r="AH5" s="4" t="s">
        <v>487</v>
      </c>
      <c r="AI5" s="22" t="s">
        <v>537</v>
      </c>
      <c r="AK5" s="4" t="s">
        <v>487</v>
      </c>
      <c r="AL5" s="22" t="s">
        <v>579</v>
      </c>
      <c r="AN5" s="4" t="s">
        <v>487</v>
      </c>
      <c r="AO5" s="22" t="s">
        <v>580</v>
      </c>
      <c r="AP5" s="3"/>
      <c r="AQ5" s="4" t="s">
        <v>487</v>
      </c>
      <c r="AR5" s="22" t="s">
        <v>630</v>
      </c>
      <c r="AT5" s="4" t="s">
        <v>487</v>
      </c>
      <c r="AU5" s="22" t="s">
        <v>631</v>
      </c>
      <c r="AW5" s="4" t="s">
        <v>487</v>
      </c>
      <c r="AX5" s="22" t="s">
        <v>537</v>
      </c>
      <c r="AZ5" s="4" t="s">
        <v>487</v>
      </c>
      <c r="BA5" s="22" t="s">
        <v>537</v>
      </c>
      <c r="BC5" s="4" t="s">
        <v>487</v>
      </c>
      <c r="BD5" s="22" t="s">
        <v>537</v>
      </c>
      <c r="BF5" s="4" t="s">
        <v>487</v>
      </c>
      <c r="BG5" s="22" t="s">
        <v>537</v>
      </c>
      <c r="BI5" s="4" t="s">
        <v>487</v>
      </c>
      <c r="BJ5" s="22" t="s">
        <v>537</v>
      </c>
      <c r="BL5" s="4" t="s">
        <v>487</v>
      </c>
      <c r="BM5" s="22" t="s">
        <v>537</v>
      </c>
      <c r="BO5" s="4" t="s">
        <v>487</v>
      </c>
      <c r="BP5" s="22" t="s">
        <v>537</v>
      </c>
      <c r="BR5" s="4" t="s">
        <v>487</v>
      </c>
      <c r="BS5" s="22" t="s">
        <v>537</v>
      </c>
      <c r="BU5" s="4" t="s">
        <v>487</v>
      </c>
      <c r="BV5" s="22" t="s">
        <v>537</v>
      </c>
      <c r="BX5" s="4" t="s">
        <v>487</v>
      </c>
      <c r="BY5" s="22" t="s">
        <v>537</v>
      </c>
      <c r="CA5" s="4" t="s">
        <v>487</v>
      </c>
      <c r="CB5" s="22" t="s">
        <v>537</v>
      </c>
      <c r="CD5" s="4" t="s">
        <v>487</v>
      </c>
      <c r="CE5" s="22" t="s">
        <v>537</v>
      </c>
      <c r="CG5" s="4" t="s">
        <v>487</v>
      </c>
      <c r="CH5" s="22" t="s">
        <v>537</v>
      </c>
      <c r="CJ5" s="4" t="s">
        <v>487</v>
      </c>
      <c r="CK5" s="22" t="s">
        <v>537</v>
      </c>
      <c r="CM5" s="4" t="s">
        <v>487</v>
      </c>
      <c r="CN5" s="22" t="s">
        <v>537</v>
      </c>
      <c r="CP5" s="4" t="s">
        <v>487</v>
      </c>
      <c r="CQ5" s="22" t="s">
        <v>631</v>
      </c>
      <c r="CS5" s="4" t="s">
        <v>487</v>
      </c>
      <c r="CT5" s="22" t="s">
        <v>631</v>
      </c>
      <c r="CV5" s="4" t="s">
        <v>487</v>
      </c>
      <c r="CW5" s="22" t="s">
        <v>631</v>
      </c>
      <c r="CY5" s="4" t="s">
        <v>487</v>
      </c>
      <c r="CZ5" s="22" t="s">
        <v>631</v>
      </c>
      <c r="DB5" s="4" t="s">
        <v>487</v>
      </c>
      <c r="DC5" s="22" t="s">
        <v>631</v>
      </c>
      <c r="DE5" s="4" t="s">
        <v>487</v>
      </c>
      <c r="DF5" s="22" t="s">
        <v>631</v>
      </c>
      <c r="DH5" s="4" t="s">
        <v>487</v>
      </c>
      <c r="DI5" s="22" t="s">
        <v>631</v>
      </c>
      <c r="DK5" s="4" t="s">
        <v>487</v>
      </c>
      <c r="DL5" s="22" t="s">
        <v>631</v>
      </c>
      <c r="DN5" s="4" t="s">
        <v>487</v>
      </c>
      <c r="DO5" s="22" t="s">
        <v>631</v>
      </c>
      <c r="DQ5" s="4" t="s">
        <v>487</v>
      </c>
      <c r="DR5" s="22" t="s">
        <v>631</v>
      </c>
      <c r="DT5" s="4" t="s">
        <v>487</v>
      </c>
      <c r="DU5" s="22" t="s">
        <v>631</v>
      </c>
      <c r="DW5" s="4" t="s">
        <v>487</v>
      </c>
      <c r="DX5" s="22" t="s">
        <v>631</v>
      </c>
      <c r="DZ5" s="4" t="s">
        <v>487</v>
      </c>
      <c r="EA5" s="22" t="s">
        <v>631</v>
      </c>
      <c r="EC5" s="4" t="s">
        <v>487</v>
      </c>
      <c r="ED5" s="22" t="s">
        <v>631</v>
      </c>
      <c r="EF5" s="4" t="s">
        <v>487</v>
      </c>
      <c r="EG5" s="22" t="s">
        <v>631</v>
      </c>
      <c r="EI5" s="4" t="s">
        <v>487</v>
      </c>
      <c r="EJ5" s="22" t="s">
        <v>537</v>
      </c>
      <c r="EL5" s="4" t="s">
        <v>487</v>
      </c>
      <c r="EM5" s="22" t="s">
        <v>537</v>
      </c>
      <c r="EO5" s="4" t="s">
        <v>487</v>
      </c>
      <c r="EP5" s="22" t="s">
        <v>537</v>
      </c>
      <c r="ER5" s="4" t="s">
        <v>487</v>
      </c>
      <c r="ES5" s="22" t="s">
        <v>537</v>
      </c>
      <c r="EU5" s="4" t="s">
        <v>487</v>
      </c>
      <c r="EV5" s="22" t="s">
        <v>537</v>
      </c>
      <c r="EX5" s="4" t="s">
        <v>487</v>
      </c>
      <c r="EY5" s="22" t="s">
        <v>537</v>
      </c>
      <c r="FA5" s="4" t="s">
        <v>487</v>
      </c>
      <c r="FB5" s="22" t="s">
        <v>631</v>
      </c>
      <c r="FD5" s="4" t="s">
        <v>487</v>
      </c>
      <c r="FE5" s="22" t="s">
        <v>631</v>
      </c>
      <c r="FG5" s="4" t="s">
        <v>487</v>
      </c>
      <c r="FH5" s="22" t="s">
        <v>631</v>
      </c>
      <c r="FJ5" s="4" t="s">
        <v>487</v>
      </c>
      <c r="FK5" s="22" t="s">
        <v>631</v>
      </c>
      <c r="FM5" s="4" t="s">
        <v>487</v>
      </c>
      <c r="FN5" s="22" t="s">
        <v>631</v>
      </c>
      <c r="FP5" s="4" t="s">
        <v>487</v>
      </c>
      <c r="FQ5" s="22" t="s">
        <v>631</v>
      </c>
      <c r="FS5" s="4" t="s">
        <v>487</v>
      </c>
      <c r="FT5" s="22" t="s">
        <v>631</v>
      </c>
      <c r="FV5" s="4" t="s">
        <v>487</v>
      </c>
      <c r="FW5" s="22" t="s">
        <v>631</v>
      </c>
      <c r="FY5" s="4" t="s">
        <v>487</v>
      </c>
      <c r="FZ5" s="22" t="s">
        <v>631</v>
      </c>
      <c r="GB5" s="4" t="s">
        <v>487</v>
      </c>
      <c r="GC5" s="22" t="s">
        <v>631</v>
      </c>
    </row>
    <row r="6" spans="1:185" x14ac:dyDescent="0.25">
      <c r="A6" s="4" t="s">
        <v>488</v>
      </c>
      <c r="B6" s="22" t="s">
        <v>494</v>
      </c>
      <c r="D6" s="4" t="s">
        <v>488</v>
      </c>
      <c r="E6" s="22" t="s">
        <v>494</v>
      </c>
      <c r="G6" s="4" t="s">
        <v>488</v>
      </c>
      <c r="H6" s="22" t="s">
        <v>494</v>
      </c>
      <c r="I6" s="22"/>
      <c r="J6" s="4" t="s">
        <v>488</v>
      </c>
      <c r="K6" s="22" t="s">
        <v>494</v>
      </c>
      <c r="L6" s="22"/>
      <c r="M6" s="4" t="s">
        <v>488</v>
      </c>
      <c r="N6" s="22" t="s">
        <v>494</v>
      </c>
      <c r="O6" s="22"/>
      <c r="P6" s="4" t="s">
        <v>488</v>
      </c>
      <c r="Q6" s="22" t="s">
        <v>494</v>
      </c>
      <c r="R6" s="22"/>
      <c r="S6" s="4" t="s">
        <v>488</v>
      </c>
      <c r="T6" s="22" t="s">
        <v>494</v>
      </c>
      <c r="U6" s="22"/>
      <c r="V6" s="4" t="s">
        <v>488</v>
      </c>
      <c r="W6" s="22" t="s">
        <v>494</v>
      </c>
      <c r="X6" s="22"/>
      <c r="Y6" s="4" t="s">
        <v>488</v>
      </c>
      <c r="Z6" s="22" t="s">
        <v>494</v>
      </c>
      <c r="AA6" s="22"/>
      <c r="AB6" s="4" t="s">
        <v>488</v>
      </c>
      <c r="AC6" s="22" t="s">
        <v>494</v>
      </c>
      <c r="AD6"/>
      <c r="AE6" s="4" t="s">
        <v>488</v>
      </c>
      <c r="AF6" s="22" t="s">
        <v>494</v>
      </c>
      <c r="AH6" s="4" t="s">
        <v>488</v>
      </c>
      <c r="AI6" s="22" t="s">
        <v>494</v>
      </c>
      <c r="AK6" s="4" t="s">
        <v>488</v>
      </c>
      <c r="AL6" s="22" t="s">
        <v>494</v>
      </c>
      <c r="AN6" s="4" t="s">
        <v>488</v>
      </c>
      <c r="AO6" s="22" t="s">
        <v>494</v>
      </c>
      <c r="AP6" s="3"/>
      <c r="AQ6" s="4" t="s">
        <v>488</v>
      </c>
      <c r="AR6" s="22" t="s">
        <v>632</v>
      </c>
      <c r="AT6" s="4" t="s">
        <v>488</v>
      </c>
      <c r="AU6" s="22" t="s">
        <v>633</v>
      </c>
      <c r="AW6" s="4" t="s">
        <v>488</v>
      </c>
      <c r="AX6" s="22" t="s">
        <v>582</v>
      </c>
      <c r="AZ6" s="4" t="s">
        <v>488</v>
      </c>
      <c r="BA6" s="22" t="s">
        <v>582</v>
      </c>
      <c r="BC6" s="4" t="s">
        <v>488</v>
      </c>
      <c r="BD6" s="22" t="s">
        <v>582</v>
      </c>
      <c r="BF6" s="4" t="s">
        <v>488</v>
      </c>
      <c r="BG6" s="22" t="s">
        <v>582</v>
      </c>
      <c r="BI6" s="4" t="s">
        <v>488</v>
      </c>
      <c r="BJ6" s="22" t="s">
        <v>582</v>
      </c>
      <c r="BL6" s="4" t="s">
        <v>488</v>
      </c>
      <c r="BM6" s="22" t="s">
        <v>582</v>
      </c>
      <c r="BO6" s="4" t="s">
        <v>488</v>
      </c>
      <c r="BP6" s="22" t="s">
        <v>582</v>
      </c>
      <c r="BR6" s="4" t="s">
        <v>488</v>
      </c>
      <c r="BS6" s="22" t="s">
        <v>582</v>
      </c>
      <c r="BU6" s="4" t="s">
        <v>488</v>
      </c>
      <c r="BV6" s="22" t="s">
        <v>582</v>
      </c>
      <c r="BX6" s="4" t="s">
        <v>488</v>
      </c>
      <c r="BY6" s="22" t="s">
        <v>582</v>
      </c>
      <c r="CA6" s="4" t="s">
        <v>488</v>
      </c>
      <c r="CB6" s="22" t="s">
        <v>634</v>
      </c>
      <c r="CD6" s="4" t="s">
        <v>488</v>
      </c>
      <c r="CE6" s="22" t="s">
        <v>634</v>
      </c>
      <c r="CG6" s="4" t="s">
        <v>488</v>
      </c>
      <c r="CH6" s="22" t="s">
        <v>634</v>
      </c>
      <c r="CJ6" s="4" t="s">
        <v>488</v>
      </c>
      <c r="CK6" s="22" t="s">
        <v>634</v>
      </c>
      <c r="CM6" s="4" t="s">
        <v>488</v>
      </c>
      <c r="CN6" s="22" t="s">
        <v>634</v>
      </c>
      <c r="CP6" s="4" t="s">
        <v>488</v>
      </c>
      <c r="CQ6" s="22" t="s">
        <v>635</v>
      </c>
      <c r="CS6" s="4" t="s">
        <v>488</v>
      </c>
      <c r="CT6" s="22" t="s">
        <v>635</v>
      </c>
      <c r="CV6" s="4" t="s">
        <v>488</v>
      </c>
      <c r="CW6" s="22" t="s">
        <v>635</v>
      </c>
      <c r="CY6" s="4" t="s">
        <v>488</v>
      </c>
      <c r="CZ6" s="22" t="s">
        <v>636</v>
      </c>
      <c r="DB6" s="4" t="s">
        <v>488</v>
      </c>
      <c r="DC6" s="22" t="s">
        <v>636</v>
      </c>
      <c r="DE6" s="4" t="s">
        <v>488</v>
      </c>
      <c r="DF6" s="22" t="s">
        <v>637</v>
      </c>
      <c r="DH6" s="4" t="s">
        <v>488</v>
      </c>
      <c r="DI6" s="22" t="s">
        <v>638</v>
      </c>
      <c r="DK6" s="4" t="s">
        <v>488</v>
      </c>
      <c r="DL6" s="22" t="s">
        <v>638</v>
      </c>
      <c r="DN6" s="4" t="s">
        <v>488</v>
      </c>
      <c r="DO6" s="22" t="s">
        <v>638</v>
      </c>
      <c r="DQ6" s="4" t="s">
        <v>488</v>
      </c>
      <c r="DR6" s="22" t="s">
        <v>638</v>
      </c>
      <c r="DT6" s="4" t="s">
        <v>488</v>
      </c>
      <c r="DU6" s="22" t="s">
        <v>639</v>
      </c>
      <c r="DW6" s="4" t="s">
        <v>488</v>
      </c>
      <c r="DX6" s="22" t="s">
        <v>639</v>
      </c>
      <c r="DZ6" s="4" t="s">
        <v>488</v>
      </c>
      <c r="EA6" s="22" t="s">
        <v>640</v>
      </c>
      <c r="EC6" s="4" t="s">
        <v>488</v>
      </c>
      <c r="ED6" s="22" t="s">
        <v>641</v>
      </c>
      <c r="EF6" s="4" t="s">
        <v>488</v>
      </c>
      <c r="EG6" s="22" t="s">
        <v>641</v>
      </c>
      <c r="EI6" s="4" t="s">
        <v>488</v>
      </c>
      <c r="EJ6" s="22" t="s">
        <v>642</v>
      </c>
      <c r="EL6" s="4" t="s">
        <v>488</v>
      </c>
      <c r="EM6" s="22" t="s">
        <v>642</v>
      </c>
      <c r="EO6" s="4" t="s">
        <v>488</v>
      </c>
      <c r="EP6" s="22" t="s">
        <v>643</v>
      </c>
      <c r="ER6" s="4" t="s">
        <v>488</v>
      </c>
      <c r="ES6" s="22" t="s">
        <v>642</v>
      </c>
      <c r="EU6" s="4" t="s">
        <v>488</v>
      </c>
      <c r="EV6" s="22" t="s">
        <v>643</v>
      </c>
      <c r="EX6" s="4" t="s">
        <v>488</v>
      </c>
      <c r="EY6" s="22" t="s">
        <v>644</v>
      </c>
      <c r="FA6" s="4" t="s">
        <v>488</v>
      </c>
      <c r="FB6" s="22" t="s">
        <v>645</v>
      </c>
      <c r="FD6" s="4" t="s">
        <v>488</v>
      </c>
      <c r="FE6" s="22" t="s">
        <v>646</v>
      </c>
      <c r="FG6" s="4" t="s">
        <v>488</v>
      </c>
      <c r="FH6" s="22" t="s">
        <v>646</v>
      </c>
      <c r="FJ6" s="4" t="s">
        <v>488</v>
      </c>
      <c r="FK6" s="22" t="s">
        <v>647</v>
      </c>
      <c r="FM6" s="4" t="s">
        <v>488</v>
      </c>
      <c r="FN6" s="22" t="s">
        <v>648</v>
      </c>
      <c r="FP6" s="4" t="s">
        <v>488</v>
      </c>
      <c r="FQ6" s="22" t="s">
        <v>649</v>
      </c>
      <c r="FS6" s="4" t="s">
        <v>488</v>
      </c>
      <c r="FT6" s="22" t="s">
        <v>649</v>
      </c>
      <c r="FV6" s="4" t="s">
        <v>488</v>
      </c>
      <c r="FW6" s="22" t="s">
        <v>649</v>
      </c>
      <c r="FY6" s="4" t="s">
        <v>488</v>
      </c>
      <c r="FZ6" s="22" t="s">
        <v>649</v>
      </c>
      <c r="GB6" s="4" t="s">
        <v>488</v>
      </c>
      <c r="GC6" s="22" t="s">
        <v>649</v>
      </c>
    </row>
    <row r="7" spans="1:185" x14ac:dyDescent="0.25">
      <c r="A7" s="4" t="s">
        <v>489</v>
      </c>
      <c r="B7" s="22" t="s">
        <v>536</v>
      </c>
      <c r="D7" s="4" t="s">
        <v>489</v>
      </c>
      <c r="E7" s="22" t="s">
        <v>536</v>
      </c>
      <c r="G7" s="4" t="s">
        <v>489</v>
      </c>
      <c r="H7" s="22" t="s">
        <v>536</v>
      </c>
      <c r="I7" s="22"/>
      <c r="J7" s="4" t="s">
        <v>489</v>
      </c>
      <c r="K7" s="22" t="s">
        <v>536</v>
      </c>
      <c r="L7" s="22"/>
      <c r="M7" s="4" t="s">
        <v>489</v>
      </c>
      <c r="N7" s="22" t="s">
        <v>536</v>
      </c>
      <c r="O7" s="22"/>
      <c r="P7" s="4" t="s">
        <v>489</v>
      </c>
      <c r="Q7" s="22" t="s">
        <v>536</v>
      </c>
      <c r="R7" s="22"/>
      <c r="S7" s="4" t="s">
        <v>489</v>
      </c>
      <c r="T7" s="22" t="s">
        <v>536</v>
      </c>
      <c r="U7" s="22"/>
      <c r="V7" s="4" t="s">
        <v>489</v>
      </c>
      <c r="W7" s="22" t="s">
        <v>536</v>
      </c>
      <c r="X7" s="22"/>
      <c r="Y7" s="4" t="s">
        <v>489</v>
      </c>
      <c r="Z7" s="22" t="s">
        <v>536</v>
      </c>
      <c r="AA7" s="22"/>
      <c r="AB7" s="4" t="s">
        <v>489</v>
      </c>
      <c r="AC7" s="22" t="s">
        <v>536</v>
      </c>
      <c r="AD7"/>
      <c r="AE7" s="4" t="s">
        <v>489</v>
      </c>
      <c r="AF7" s="22" t="s">
        <v>536</v>
      </c>
      <c r="AH7" s="4" t="s">
        <v>489</v>
      </c>
      <c r="AI7" s="22" t="s">
        <v>536</v>
      </c>
      <c r="AK7" s="4" t="s">
        <v>489</v>
      </c>
      <c r="AL7" s="22" t="s">
        <v>536</v>
      </c>
      <c r="AN7" s="4" t="s">
        <v>489</v>
      </c>
      <c r="AO7" s="22" t="s">
        <v>536</v>
      </c>
      <c r="AP7" s="3"/>
      <c r="AQ7" s="4" t="s">
        <v>489</v>
      </c>
      <c r="AR7" s="22" t="s">
        <v>650</v>
      </c>
      <c r="AT7" s="4" t="s">
        <v>489</v>
      </c>
      <c r="AU7" s="22" t="s">
        <v>650</v>
      </c>
      <c r="AW7" s="4" t="s">
        <v>489</v>
      </c>
      <c r="AX7" s="22" t="s">
        <v>536</v>
      </c>
      <c r="AZ7" s="4" t="s">
        <v>489</v>
      </c>
      <c r="BA7" s="22" t="s">
        <v>536</v>
      </c>
      <c r="BC7" s="4" t="s">
        <v>489</v>
      </c>
      <c r="BD7" s="22" t="s">
        <v>536</v>
      </c>
      <c r="BF7" s="4" t="s">
        <v>489</v>
      </c>
      <c r="BG7" s="22" t="s">
        <v>536</v>
      </c>
      <c r="BI7" s="4" t="s">
        <v>489</v>
      </c>
      <c r="BJ7" s="22" t="s">
        <v>536</v>
      </c>
      <c r="BL7" s="4" t="s">
        <v>489</v>
      </c>
      <c r="BM7" s="22" t="s">
        <v>536</v>
      </c>
      <c r="BO7" s="4" t="s">
        <v>489</v>
      </c>
      <c r="BP7" s="22" t="s">
        <v>536</v>
      </c>
      <c r="BR7" s="4" t="s">
        <v>489</v>
      </c>
      <c r="BS7" s="22" t="s">
        <v>536</v>
      </c>
      <c r="BU7" s="4" t="s">
        <v>489</v>
      </c>
      <c r="BV7" s="22" t="s">
        <v>536</v>
      </c>
      <c r="BX7" s="4" t="s">
        <v>489</v>
      </c>
      <c r="BY7" s="22" t="s">
        <v>536</v>
      </c>
      <c r="CA7" s="4" t="s">
        <v>489</v>
      </c>
      <c r="CB7" s="22" t="s">
        <v>536</v>
      </c>
      <c r="CD7" s="4" t="s">
        <v>489</v>
      </c>
      <c r="CE7" s="22" t="s">
        <v>536</v>
      </c>
      <c r="CG7" s="4" t="s">
        <v>489</v>
      </c>
      <c r="CH7" s="22" t="s">
        <v>536</v>
      </c>
      <c r="CJ7" s="4" t="s">
        <v>489</v>
      </c>
      <c r="CK7" s="22" t="s">
        <v>536</v>
      </c>
      <c r="CM7" s="4" t="s">
        <v>489</v>
      </c>
      <c r="CN7" s="22" t="s">
        <v>536</v>
      </c>
      <c r="CP7" s="4" t="s">
        <v>489</v>
      </c>
      <c r="CQ7" s="22" t="s">
        <v>650</v>
      </c>
      <c r="CS7" s="4" t="s">
        <v>489</v>
      </c>
      <c r="CT7" s="22" t="s">
        <v>650</v>
      </c>
      <c r="CV7" s="4" t="s">
        <v>489</v>
      </c>
      <c r="CW7" s="22" t="s">
        <v>650</v>
      </c>
      <c r="CY7" s="4" t="s">
        <v>489</v>
      </c>
      <c r="CZ7" s="22" t="s">
        <v>650</v>
      </c>
      <c r="DB7" s="4" t="s">
        <v>489</v>
      </c>
      <c r="DC7" s="22" t="s">
        <v>650</v>
      </c>
      <c r="DE7" s="4" t="s">
        <v>489</v>
      </c>
      <c r="DF7" s="22" t="s">
        <v>650</v>
      </c>
      <c r="DH7" s="4" t="s">
        <v>489</v>
      </c>
      <c r="DI7" s="22" t="s">
        <v>650</v>
      </c>
      <c r="DK7" s="4" t="s">
        <v>489</v>
      </c>
      <c r="DL7" s="22" t="s">
        <v>650</v>
      </c>
      <c r="DN7" s="4" t="s">
        <v>489</v>
      </c>
      <c r="DO7" s="22" t="s">
        <v>650</v>
      </c>
      <c r="DQ7" s="4" t="s">
        <v>489</v>
      </c>
      <c r="DR7" s="22" t="s">
        <v>650</v>
      </c>
      <c r="DT7" s="4" t="s">
        <v>489</v>
      </c>
      <c r="DU7" s="22" t="s">
        <v>650</v>
      </c>
      <c r="DW7" s="4" t="s">
        <v>489</v>
      </c>
      <c r="DX7" s="22" t="s">
        <v>650</v>
      </c>
      <c r="DZ7" s="4" t="s">
        <v>489</v>
      </c>
      <c r="EA7" s="22" t="s">
        <v>650</v>
      </c>
      <c r="EC7" s="4" t="s">
        <v>489</v>
      </c>
      <c r="ED7" s="22" t="s">
        <v>650</v>
      </c>
      <c r="EF7" s="4" t="s">
        <v>489</v>
      </c>
      <c r="EG7" s="22" t="s">
        <v>650</v>
      </c>
      <c r="EI7" s="4" t="s">
        <v>489</v>
      </c>
      <c r="EJ7" s="22" t="s">
        <v>536</v>
      </c>
      <c r="EL7" s="4" t="s">
        <v>489</v>
      </c>
      <c r="EM7" s="22" t="s">
        <v>536</v>
      </c>
      <c r="EO7" s="4" t="s">
        <v>489</v>
      </c>
      <c r="EP7" s="22" t="s">
        <v>536</v>
      </c>
      <c r="ER7" s="4" t="s">
        <v>489</v>
      </c>
      <c r="ES7" s="22" t="s">
        <v>536</v>
      </c>
      <c r="EU7" s="4" t="s">
        <v>489</v>
      </c>
      <c r="EV7" s="22" t="s">
        <v>536</v>
      </c>
      <c r="EX7" s="4" t="s">
        <v>489</v>
      </c>
      <c r="EY7" s="22" t="s">
        <v>536</v>
      </c>
      <c r="FA7" s="4" t="s">
        <v>489</v>
      </c>
      <c r="FB7" s="22" t="s">
        <v>650</v>
      </c>
      <c r="FD7" s="4" t="s">
        <v>489</v>
      </c>
      <c r="FE7" s="22" t="s">
        <v>650</v>
      </c>
      <c r="FG7" s="4" t="s">
        <v>489</v>
      </c>
      <c r="FH7" s="22" t="s">
        <v>650</v>
      </c>
      <c r="FJ7" s="4" t="s">
        <v>489</v>
      </c>
      <c r="FK7" s="22" t="s">
        <v>650</v>
      </c>
      <c r="FM7" s="4" t="s">
        <v>489</v>
      </c>
      <c r="FN7" s="22" t="s">
        <v>650</v>
      </c>
      <c r="FP7" s="4" t="s">
        <v>489</v>
      </c>
      <c r="FQ7" s="22" t="s">
        <v>650</v>
      </c>
      <c r="FS7" s="4" t="s">
        <v>489</v>
      </c>
      <c r="FT7" s="22" t="s">
        <v>650</v>
      </c>
      <c r="FV7" s="4" t="s">
        <v>489</v>
      </c>
      <c r="FW7" s="22" t="s">
        <v>650</v>
      </c>
      <c r="FY7" s="4" t="s">
        <v>489</v>
      </c>
      <c r="FZ7" s="22" t="s">
        <v>650</v>
      </c>
      <c r="GB7" s="4" t="s">
        <v>489</v>
      </c>
      <c r="GC7" s="22" t="s">
        <v>650</v>
      </c>
    </row>
    <row r="8" spans="1:185" x14ac:dyDescent="0.25">
      <c r="A8" s="4" t="s">
        <v>490</v>
      </c>
      <c r="B8" s="22" t="s">
        <v>536</v>
      </c>
      <c r="D8" s="4" t="s">
        <v>490</v>
      </c>
      <c r="E8" s="22" t="s">
        <v>536</v>
      </c>
      <c r="G8" s="4" t="s">
        <v>490</v>
      </c>
      <c r="H8" s="22" t="s">
        <v>536</v>
      </c>
      <c r="I8" s="22"/>
      <c r="J8" s="4" t="s">
        <v>490</v>
      </c>
      <c r="K8" s="22" t="s">
        <v>536</v>
      </c>
      <c r="L8" s="22"/>
      <c r="M8" s="4" t="s">
        <v>490</v>
      </c>
      <c r="N8" s="22" t="s">
        <v>536</v>
      </c>
      <c r="O8" s="22"/>
      <c r="P8" s="4" t="s">
        <v>490</v>
      </c>
      <c r="Q8" s="22" t="s">
        <v>536</v>
      </c>
      <c r="R8" s="22"/>
      <c r="S8" s="4" t="s">
        <v>490</v>
      </c>
      <c r="T8" s="22" t="s">
        <v>536</v>
      </c>
      <c r="U8" s="22"/>
      <c r="V8" s="4" t="s">
        <v>490</v>
      </c>
      <c r="W8" s="22" t="s">
        <v>536</v>
      </c>
      <c r="X8" s="22"/>
      <c r="Y8" s="4" t="s">
        <v>490</v>
      </c>
      <c r="Z8" s="22" t="s">
        <v>536</v>
      </c>
      <c r="AA8" s="22"/>
      <c r="AB8" s="4" t="s">
        <v>490</v>
      </c>
      <c r="AC8" s="22" t="s">
        <v>536</v>
      </c>
      <c r="AD8"/>
      <c r="AE8" s="4" t="s">
        <v>490</v>
      </c>
      <c r="AF8" s="22" t="s">
        <v>536</v>
      </c>
      <c r="AH8" s="4" t="s">
        <v>490</v>
      </c>
      <c r="AI8" s="22" t="s">
        <v>536</v>
      </c>
      <c r="AK8" s="4" t="s">
        <v>490</v>
      </c>
      <c r="AL8" s="22" t="s">
        <v>536</v>
      </c>
      <c r="AN8" s="4" t="s">
        <v>490</v>
      </c>
      <c r="AO8" s="22" t="s">
        <v>536</v>
      </c>
      <c r="AP8" s="3"/>
      <c r="AQ8" s="4" t="s">
        <v>490</v>
      </c>
      <c r="AR8" s="22" t="s">
        <v>650</v>
      </c>
      <c r="AT8" s="4" t="s">
        <v>490</v>
      </c>
      <c r="AU8" s="22" t="s">
        <v>650</v>
      </c>
      <c r="AW8" s="4" t="s">
        <v>490</v>
      </c>
      <c r="AX8" s="22" t="s">
        <v>536</v>
      </c>
      <c r="AZ8" s="4" t="s">
        <v>490</v>
      </c>
      <c r="BA8" s="22" t="s">
        <v>536</v>
      </c>
      <c r="BC8" s="4" t="s">
        <v>490</v>
      </c>
      <c r="BD8" s="22" t="s">
        <v>536</v>
      </c>
      <c r="BF8" s="4" t="s">
        <v>490</v>
      </c>
      <c r="BG8" s="22" t="s">
        <v>536</v>
      </c>
      <c r="BI8" s="4" t="s">
        <v>490</v>
      </c>
      <c r="BJ8" s="22" t="s">
        <v>536</v>
      </c>
      <c r="BL8" s="4" t="s">
        <v>490</v>
      </c>
      <c r="BM8" s="22" t="s">
        <v>536</v>
      </c>
      <c r="BO8" s="4" t="s">
        <v>490</v>
      </c>
      <c r="BP8" s="22" t="s">
        <v>536</v>
      </c>
      <c r="BR8" s="4" t="s">
        <v>490</v>
      </c>
      <c r="BS8" s="22" t="s">
        <v>536</v>
      </c>
      <c r="BU8" s="4" t="s">
        <v>490</v>
      </c>
      <c r="BV8" s="22" t="s">
        <v>536</v>
      </c>
      <c r="BX8" s="4" t="s">
        <v>490</v>
      </c>
      <c r="BY8" s="22" t="s">
        <v>536</v>
      </c>
      <c r="CA8" s="4" t="s">
        <v>490</v>
      </c>
      <c r="CB8" s="22" t="s">
        <v>536</v>
      </c>
      <c r="CD8" s="4" t="s">
        <v>490</v>
      </c>
      <c r="CE8" s="22" t="s">
        <v>536</v>
      </c>
      <c r="CG8" s="4" t="s">
        <v>490</v>
      </c>
      <c r="CH8" s="22" t="s">
        <v>536</v>
      </c>
      <c r="CJ8" s="4" t="s">
        <v>490</v>
      </c>
      <c r="CK8" s="22" t="s">
        <v>536</v>
      </c>
      <c r="CM8" s="4" t="s">
        <v>490</v>
      </c>
      <c r="CN8" s="22" t="s">
        <v>536</v>
      </c>
      <c r="CP8" s="4" t="s">
        <v>490</v>
      </c>
      <c r="CQ8" s="22" t="s">
        <v>650</v>
      </c>
      <c r="CS8" s="4" t="s">
        <v>490</v>
      </c>
      <c r="CT8" s="22" t="s">
        <v>650</v>
      </c>
      <c r="CV8" s="4" t="s">
        <v>490</v>
      </c>
      <c r="CW8" s="22" t="s">
        <v>650</v>
      </c>
      <c r="CY8" s="4" t="s">
        <v>490</v>
      </c>
      <c r="CZ8" s="22" t="s">
        <v>650</v>
      </c>
      <c r="DB8" s="4" t="s">
        <v>490</v>
      </c>
      <c r="DC8" s="22" t="s">
        <v>650</v>
      </c>
      <c r="DE8" s="4" t="s">
        <v>490</v>
      </c>
      <c r="DF8" s="22" t="s">
        <v>650</v>
      </c>
      <c r="DH8" s="4" t="s">
        <v>490</v>
      </c>
      <c r="DI8" s="22" t="s">
        <v>650</v>
      </c>
      <c r="DK8" s="4" t="s">
        <v>490</v>
      </c>
      <c r="DL8" s="22" t="s">
        <v>650</v>
      </c>
      <c r="DN8" s="4" t="s">
        <v>490</v>
      </c>
      <c r="DO8" s="22" t="s">
        <v>650</v>
      </c>
      <c r="DQ8" s="4" t="s">
        <v>490</v>
      </c>
      <c r="DR8" s="22" t="s">
        <v>650</v>
      </c>
      <c r="DT8" s="4" t="s">
        <v>490</v>
      </c>
      <c r="DU8" s="22" t="s">
        <v>650</v>
      </c>
      <c r="DW8" s="4" t="s">
        <v>490</v>
      </c>
      <c r="DX8" s="22" t="s">
        <v>650</v>
      </c>
      <c r="DZ8" s="4" t="s">
        <v>490</v>
      </c>
      <c r="EA8" s="22" t="s">
        <v>650</v>
      </c>
      <c r="EC8" s="4" t="s">
        <v>490</v>
      </c>
      <c r="ED8" s="22" t="s">
        <v>650</v>
      </c>
      <c r="EF8" s="4" t="s">
        <v>490</v>
      </c>
      <c r="EG8" s="22" t="s">
        <v>650</v>
      </c>
      <c r="EI8" s="4" t="s">
        <v>490</v>
      </c>
      <c r="EJ8" s="22" t="s">
        <v>536</v>
      </c>
      <c r="EL8" s="4" t="s">
        <v>490</v>
      </c>
      <c r="EM8" s="22" t="s">
        <v>536</v>
      </c>
      <c r="EO8" s="4" t="s">
        <v>490</v>
      </c>
      <c r="EP8" s="22" t="s">
        <v>536</v>
      </c>
      <c r="ER8" s="4" t="s">
        <v>490</v>
      </c>
      <c r="ES8" s="22" t="s">
        <v>536</v>
      </c>
      <c r="EU8" s="4" t="s">
        <v>490</v>
      </c>
      <c r="EV8" s="22" t="s">
        <v>536</v>
      </c>
      <c r="EX8" s="4" t="s">
        <v>490</v>
      </c>
      <c r="EY8" s="22" t="s">
        <v>536</v>
      </c>
      <c r="FA8" s="4" t="s">
        <v>490</v>
      </c>
      <c r="FB8" s="22" t="s">
        <v>650</v>
      </c>
      <c r="FD8" s="4" t="s">
        <v>490</v>
      </c>
      <c r="FE8" s="22" t="s">
        <v>650</v>
      </c>
      <c r="FG8" s="4" t="s">
        <v>490</v>
      </c>
      <c r="FH8" s="22" t="s">
        <v>650</v>
      </c>
      <c r="FJ8" s="4" t="s">
        <v>490</v>
      </c>
      <c r="FK8" s="22" t="s">
        <v>650</v>
      </c>
      <c r="FM8" s="4" t="s">
        <v>490</v>
      </c>
      <c r="FN8" s="22" t="s">
        <v>650</v>
      </c>
      <c r="FP8" s="4" t="s">
        <v>490</v>
      </c>
      <c r="FQ8" s="22" t="s">
        <v>650</v>
      </c>
      <c r="FS8" s="4" t="s">
        <v>490</v>
      </c>
      <c r="FT8" s="22" t="s">
        <v>650</v>
      </c>
      <c r="FV8" s="4" t="s">
        <v>490</v>
      </c>
      <c r="FW8" s="22" t="s">
        <v>650</v>
      </c>
      <c r="FY8" s="4" t="s">
        <v>490</v>
      </c>
      <c r="FZ8" s="22" t="s">
        <v>650</v>
      </c>
      <c r="GB8" s="4" t="s">
        <v>490</v>
      </c>
      <c r="GC8" s="22" t="s">
        <v>650</v>
      </c>
    </row>
    <row r="9" spans="1:185" x14ac:dyDescent="0.25">
      <c r="A9" s="4" t="s">
        <v>491</v>
      </c>
      <c r="B9" s="22" t="s">
        <v>542</v>
      </c>
      <c r="D9" s="4" t="s">
        <v>491</v>
      </c>
      <c r="E9" s="22" t="s">
        <v>542</v>
      </c>
      <c r="G9" s="4" t="s">
        <v>491</v>
      </c>
      <c r="H9" s="22" t="s">
        <v>542</v>
      </c>
      <c r="I9" s="22"/>
      <c r="J9" s="4" t="s">
        <v>491</v>
      </c>
      <c r="K9" s="22" t="s">
        <v>542</v>
      </c>
      <c r="L9" s="22"/>
      <c r="M9" s="4" t="s">
        <v>491</v>
      </c>
      <c r="N9" s="22" t="s">
        <v>542</v>
      </c>
      <c r="O9" s="22"/>
      <c r="P9" s="4" t="s">
        <v>491</v>
      </c>
      <c r="Q9" s="22" t="s">
        <v>542</v>
      </c>
      <c r="R9" s="22"/>
      <c r="S9" s="4" t="s">
        <v>491</v>
      </c>
      <c r="T9" s="22" t="s">
        <v>542</v>
      </c>
      <c r="U9" s="22"/>
      <c r="V9" s="4" t="s">
        <v>491</v>
      </c>
      <c r="W9" s="22" t="s">
        <v>542</v>
      </c>
      <c r="X9" s="22"/>
      <c r="Y9" s="4" t="s">
        <v>491</v>
      </c>
      <c r="Z9" s="22" t="s">
        <v>542</v>
      </c>
      <c r="AA9" s="22"/>
      <c r="AB9" s="4" t="s">
        <v>491</v>
      </c>
      <c r="AC9" s="22" t="s">
        <v>542</v>
      </c>
      <c r="AD9"/>
      <c r="AE9" s="4" t="s">
        <v>491</v>
      </c>
      <c r="AF9" s="22" t="s">
        <v>542</v>
      </c>
      <c r="AH9" s="4" t="s">
        <v>491</v>
      </c>
      <c r="AI9" s="22" t="s">
        <v>542</v>
      </c>
      <c r="AK9" s="4" t="s">
        <v>491</v>
      </c>
      <c r="AL9" s="22" t="s">
        <v>538</v>
      </c>
      <c r="AN9" s="4" t="s">
        <v>491</v>
      </c>
      <c r="AO9" s="22" t="s">
        <v>538</v>
      </c>
      <c r="AP9" s="3"/>
      <c r="AQ9" s="4" t="s">
        <v>491</v>
      </c>
      <c r="AR9" s="22" t="s">
        <v>538</v>
      </c>
      <c r="AT9" s="4" t="s">
        <v>491</v>
      </c>
      <c r="AU9" s="22" t="s">
        <v>538</v>
      </c>
      <c r="AW9" s="4" t="s">
        <v>491</v>
      </c>
      <c r="AX9" s="22" t="s">
        <v>538</v>
      </c>
      <c r="AZ9" s="4" t="s">
        <v>491</v>
      </c>
      <c r="BA9" s="22" t="s">
        <v>538</v>
      </c>
      <c r="BC9" s="4" t="s">
        <v>491</v>
      </c>
      <c r="BD9" s="22" t="s">
        <v>538</v>
      </c>
      <c r="BF9" s="4" t="s">
        <v>491</v>
      </c>
      <c r="BG9" s="22" t="s">
        <v>538</v>
      </c>
      <c r="BI9" s="4" t="s">
        <v>491</v>
      </c>
      <c r="BJ9" s="22" t="s">
        <v>538</v>
      </c>
      <c r="BL9" s="4" t="s">
        <v>491</v>
      </c>
      <c r="BM9" s="22" t="s">
        <v>538</v>
      </c>
      <c r="BO9" s="4" t="s">
        <v>491</v>
      </c>
      <c r="BP9" s="22" t="s">
        <v>538</v>
      </c>
      <c r="BR9" s="4" t="s">
        <v>491</v>
      </c>
      <c r="BS9" s="22" t="s">
        <v>538</v>
      </c>
      <c r="BU9" s="4" t="s">
        <v>491</v>
      </c>
      <c r="BV9" s="22" t="s">
        <v>538</v>
      </c>
      <c r="BX9" s="4" t="s">
        <v>491</v>
      </c>
      <c r="BY9" s="22" t="s">
        <v>538</v>
      </c>
      <c r="CA9" s="4" t="s">
        <v>491</v>
      </c>
      <c r="CB9" s="22" t="s">
        <v>538</v>
      </c>
      <c r="CD9" s="4" t="s">
        <v>491</v>
      </c>
      <c r="CE9" s="22" t="s">
        <v>538</v>
      </c>
      <c r="CG9" s="4" t="s">
        <v>491</v>
      </c>
      <c r="CH9" s="22" t="s">
        <v>538</v>
      </c>
      <c r="CJ9" s="4" t="s">
        <v>491</v>
      </c>
      <c r="CK9" s="22" t="s">
        <v>538</v>
      </c>
      <c r="CM9" s="4" t="s">
        <v>491</v>
      </c>
      <c r="CN9" s="22" t="s">
        <v>538</v>
      </c>
      <c r="CP9" s="4" t="s">
        <v>491</v>
      </c>
      <c r="CQ9" s="22" t="s">
        <v>538</v>
      </c>
      <c r="CS9" s="4" t="s">
        <v>491</v>
      </c>
      <c r="CT9" s="22" t="s">
        <v>538</v>
      </c>
      <c r="CV9" s="4" t="s">
        <v>491</v>
      </c>
      <c r="CW9" s="22" t="s">
        <v>538</v>
      </c>
      <c r="CY9" s="4" t="s">
        <v>491</v>
      </c>
      <c r="CZ9" s="22" t="s">
        <v>538</v>
      </c>
      <c r="DB9" s="4" t="s">
        <v>491</v>
      </c>
      <c r="DC9" s="22" t="s">
        <v>538</v>
      </c>
      <c r="DE9" s="4" t="s">
        <v>491</v>
      </c>
      <c r="DF9" s="22" t="s">
        <v>538</v>
      </c>
      <c r="DH9" s="4" t="s">
        <v>491</v>
      </c>
      <c r="DI9" s="22" t="s">
        <v>538</v>
      </c>
      <c r="DK9" s="4" t="s">
        <v>491</v>
      </c>
      <c r="DL9" s="22" t="s">
        <v>538</v>
      </c>
      <c r="DN9" s="4" t="s">
        <v>491</v>
      </c>
      <c r="DO9" s="22" t="s">
        <v>538</v>
      </c>
      <c r="DQ9" s="4" t="s">
        <v>491</v>
      </c>
      <c r="DR9" s="22" t="s">
        <v>538</v>
      </c>
      <c r="DT9" s="4" t="s">
        <v>491</v>
      </c>
      <c r="DU9" s="22" t="s">
        <v>538</v>
      </c>
      <c r="DW9" s="4" t="s">
        <v>491</v>
      </c>
      <c r="DX9" s="22" t="s">
        <v>538</v>
      </c>
      <c r="DZ9" s="4" t="s">
        <v>491</v>
      </c>
      <c r="EA9" s="22" t="s">
        <v>538</v>
      </c>
      <c r="EC9" s="4" t="s">
        <v>491</v>
      </c>
      <c r="ED9" s="22" t="s">
        <v>538</v>
      </c>
      <c r="EF9" s="4" t="s">
        <v>491</v>
      </c>
      <c r="EG9" s="22" t="s">
        <v>538</v>
      </c>
      <c r="EI9" s="4" t="s">
        <v>491</v>
      </c>
      <c r="EJ9" s="22" t="s">
        <v>538</v>
      </c>
      <c r="EL9" s="4" t="s">
        <v>491</v>
      </c>
      <c r="EM9" s="22" t="s">
        <v>538</v>
      </c>
      <c r="EO9" s="4" t="s">
        <v>491</v>
      </c>
      <c r="EP9" s="22" t="s">
        <v>538</v>
      </c>
      <c r="ER9" s="4" t="s">
        <v>491</v>
      </c>
      <c r="ES9" s="22" t="s">
        <v>538</v>
      </c>
      <c r="EU9" s="4" t="s">
        <v>491</v>
      </c>
      <c r="EV9" s="22" t="s">
        <v>538</v>
      </c>
      <c r="EX9" s="4" t="s">
        <v>491</v>
      </c>
      <c r="EY9" s="22" t="s">
        <v>538</v>
      </c>
      <c r="FA9" s="4" t="s">
        <v>491</v>
      </c>
      <c r="FB9" s="22" t="s">
        <v>538</v>
      </c>
      <c r="FD9" s="4" t="s">
        <v>491</v>
      </c>
      <c r="FE9" s="22" t="s">
        <v>538</v>
      </c>
      <c r="FG9" s="4" t="s">
        <v>491</v>
      </c>
      <c r="FH9" s="22" t="s">
        <v>538</v>
      </c>
      <c r="FJ9" s="4" t="s">
        <v>491</v>
      </c>
      <c r="FK9" s="22" t="s">
        <v>538</v>
      </c>
      <c r="FM9" s="4" t="s">
        <v>491</v>
      </c>
      <c r="FN9" s="22" t="s">
        <v>538</v>
      </c>
      <c r="FP9" s="4" t="s">
        <v>491</v>
      </c>
      <c r="FQ9" s="22" t="s">
        <v>538</v>
      </c>
      <c r="FS9" s="4" t="s">
        <v>491</v>
      </c>
      <c r="FT9" s="22" t="s">
        <v>538</v>
      </c>
      <c r="FV9" s="4" t="s">
        <v>491</v>
      </c>
      <c r="FW9" s="22" t="s">
        <v>538</v>
      </c>
      <c r="FY9" s="4" t="s">
        <v>491</v>
      </c>
      <c r="FZ9" s="22" t="s">
        <v>538</v>
      </c>
      <c r="GB9" s="4" t="s">
        <v>491</v>
      </c>
      <c r="GC9" s="22" t="s">
        <v>538</v>
      </c>
    </row>
    <row r="10" spans="1:185" x14ac:dyDescent="0.25">
      <c r="A10" s="4"/>
      <c r="B10" s="22"/>
      <c r="D10" s="4"/>
      <c r="G10" s="4"/>
      <c r="H10" s="22"/>
      <c r="I10" s="22"/>
      <c r="J10" s="4"/>
      <c r="K10" s="22"/>
      <c r="L10" s="22"/>
      <c r="M10" s="4"/>
      <c r="N10" s="22"/>
      <c r="O10" s="22"/>
      <c r="P10" s="4"/>
      <c r="Q10" s="22"/>
      <c r="R10" s="22"/>
      <c r="S10" s="4"/>
      <c r="T10" s="22"/>
      <c r="U10" s="22"/>
      <c r="V10" s="4"/>
      <c r="W10" s="22"/>
      <c r="X10" s="22"/>
      <c r="Z10" s="22"/>
      <c r="AA10" s="22"/>
      <c r="AC10" s="22"/>
      <c r="AD10"/>
      <c r="AE10" s="4"/>
      <c r="AH10" s="4"/>
      <c r="AK10" s="4"/>
      <c r="AL10" s="22"/>
      <c r="AN10" s="4"/>
      <c r="AO10" s="22"/>
      <c r="AP10" s="3"/>
    </row>
    <row r="11" spans="1:185" x14ac:dyDescent="0.25">
      <c r="A11" s="16" t="s">
        <v>492</v>
      </c>
      <c r="B11" s="16" t="s">
        <v>493</v>
      </c>
      <c r="C11" s="16"/>
      <c r="D11" s="16" t="s">
        <v>492</v>
      </c>
      <c r="E11" s="16" t="s">
        <v>493</v>
      </c>
      <c r="F11" s="16"/>
      <c r="G11" s="16" t="s">
        <v>492</v>
      </c>
      <c r="H11" s="16" t="s">
        <v>493</v>
      </c>
      <c r="I11" s="16"/>
      <c r="J11" s="16" t="s">
        <v>492</v>
      </c>
      <c r="K11" s="16" t="s">
        <v>493</v>
      </c>
      <c r="L11" s="16"/>
      <c r="M11" s="16" t="s">
        <v>492</v>
      </c>
      <c r="N11" s="16" t="s">
        <v>493</v>
      </c>
      <c r="O11" s="16"/>
      <c r="P11" s="16" t="s">
        <v>492</v>
      </c>
      <c r="Q11" s="16" t="s">
        <v>493</v>
      </c>
      <c r="R11" s="16"/>
      <c r="S11" s="16" t="s">
        <v>492</v>
      </c>
      <c r="T11" s="16" t="s">
        <v>493</v>
      </c>
      <c r="U11" s="16"/>
      <c r="V11" s="16" t="s">
        <v>492</v>
      </c>
      <c r="W11" s="16" t="s">
        <v>493</v>
      </c>
      <c r="X11" s="16"/>
      <c r="Y11" s="16" t="s">
        <v>492</v>
      </c>
      <c r="Z11" s="16" t="s">
        <v>493</v>
      </c>
      <c r="AA11" s="16"/>
      <c r="AB11" s="16" t="s">
        <v>492</v>
      </c>
      <c r="AC11" s="16" t="s">
        <v>493</v>
      </c>
      <c r="AD11"/>
      <c r="AE11" s="16" t="s">
        <v>492</v>
      </c>
      <c r="AF11" s="16" t="s">
        <v>493</v>
      </c>
      <c r="AG11" s="16"/>
      <c r="AH11" s="16" t="s">
        <v>492</v>
      </c>
      <c r="AI11" s="16" t="s">
        <v>493</v>
      </c>
      <c r="AJ11" s="16"/>
      <c r="AK11" s="16" t="s">
        <v>492</v>
      </c>
      <c r="AL11" s="16" t="s">
        <v>493</v>
      </c>
      <c r="AM11" s="16"/>
      <c r="AN11" s="16" t="s">
        <v>492</v>
      </c>
      <c r="AO11" s="16" t="s">
        <v>493</v>
      </c>
      <c r="AP11" s="3"/>
      <c r="AQ11" s="16" t="s">
        <v>492</v>
      </c>
      <c r="AR11" s="16" t="s">
        <v>493</v>
      </c>
      <c r="AT11" s="16" t="s">
        <v>492</v>
      </c>
      <c r="AU11" s="16" t="s">
        <v>493</v>
      </c>
      <c r="AW11" s="16" t="s">
        <v>492</v>
      </c>
      <c r="AX11" s="16" t="s">
        <v>493</v>
      </c>
      <c r="AZ11" s="16" t="s">
        <v>492</v>
      </c>
      <c r="BA11" s="16" t="s">
        <v>493</v>
      </c>
      <c r="BC11" s="16" t="s">
        <v>492</v>
      </c>
      <c r="BD11" s="16" t="s">
        <v>493</v>
      </c>
      <c r="BF11" s="16" t="s">
        <v>492</v>
      </c>
      <c r="BG11" s="16" t="s">
        <v>493</v>
      </c>
      <c r="BI11" s="16" t="s">
        <v>492</v>
      </c>
      <c r="BJ11" s="16" t="s">
        <v>493</v>
      </c>
      <c r="BL11" s="16" t="s">
        <v>492</v>
      </c>
      <c r="BM11" s="16" t="s">
        <v>493</v>
      </c>
      <c r="BO11" s="16" t="s">
        <v>492</v>
      </c>
      <c r="BP11" s="16" t="s">
        <v>493</v>
      </c>
      <c r="BR11" s="16" t="s">
        <v>492</v>
      </c>
      <c r="BS11" s="16" t="s">
        <v>493</v>
      </c>
      <c r="BU11" s="16" t="s">
        <v>492</v>
      </c>
      <c r="BV11" s="16" t="s">
        <v>493</v>
      </c>
      <c r="BX11" s="16" t="s">
        <v>492</v>
      </c>
      <c r="BY11" s="16" t="s">
        <v>493</v>
      </c>
      <c r="CA11" s="16" t="s">
        <v>492</v>
      </c>
      <c r="CB11" s="16" t="s">
        <v>493</v>
      </c>
      <c r="CD11" s="16" t="s">
        <v>492</v>
      </c>
      <c r="CE11" s="16" t="s">
        <v>493</v>
      </c>
      <c r="CG11" s="16" t="s">
        <v>492</v>
      </c>
      <c r="CH11" s="16" t="s">
        <v>493</v>
      </c>
      <c r="CJ11" s="16" t="s">
        <v>492</v>
      </c>
      <c r="CK11" s="16" t="s">
        <v>493</v>
      </c>
      <c r="CM11" s="16" t="s">
        <v>492</v>
      </c>
      <c r="CN11" s="16" t="s">
        <v>493</v>
      </c>
      <c r="CP11" s="16" t="s">
        <v>492</v>
      </c>
      <c r="CQ11" s="16" t="s">
        <v>493</v>
      </c>
      <c r="CS11" s="16" t="s">
        <v>492</v>
      </c>
      <c r="CT11" s="16" t="s">
        <v>493</v>
      </c>
      <c r="CV11" s="16" t="s">
        <v>492</v>
      </c>
      <c r="CW11" s="16" t="s">
        <v>493</v>
      </c>
      <c r="CY11" s="16" t="s">
        <v>492</v>
      </c>
      <c r="CZ11" s="16" t="s">
        <v>493</v>
      </c>
      <c r="DB11" s="16" t="s">
        <v>492</v>
      </c>
      <c r="DC11" s="16" t="s">
        <v>493</v>
      </c>
      <c r="DE11" s="16" t="s">
        <v>492</v>
      </c>
      <c r="DF11" s="16" t="s">
        <v>493</v>
      </c>
      <c r="DH11" s="16" t="s">
        <v>492</v>
      </c>
      <c r="DI11" s="16" t="s">
        <v>493</v>
      </c>
      <c r="DK11" s="16" t="s">
        <v>492</v>
      </c>
      <c r="DL11" s="16" t="s">
        <v>493</v>
      </c>
      <c r="DN11" s="16" t="s">
        <v>492</v>
      </c>
      <c r="DO11" s="16" t="s">
        <v>493</v>
      </c>
      <c r="DQ11" s="16" t="s">
        <v>492</v>
      </c>
      <c r="DR11" s="16" t="s">
        <v>493</v>
      </c>
      <c r="DT11" s="16" t="s">
        <v>492</v>
      </c>
      <c r="DU11" s="16" t="s">
        <v>493</v>
      </c>
      <c r="DW11" s="16" t="s">
        <v>492</v>
      </c>
      <c r="DX11" s="16" t="s">
        <v>493</v>
      </c>
      <c r="DZ11" s="16" t="s">
        <v>492</v>
      </c>
      <c r="EA11" s="16" t="s">
        <v>493</v>
      </c>
      <c r="EC11" s="16" t="s">
        <v>492</v>
      </c>
      <c r="ED11" s="16" t="s">
        <v>493</v>
      </c>
      <c r="EF11" s="16" t="s">
        <v>492</v>
      </c>
      <c r="EG11" s="16" t="s">
        <v>493</v>
      </c>
      <c r="EI11" s="16" t="s">
        <v>492</v>
      </c>
      <c r="EJ11" s="16" t="s">
        <v>493</v>
      </c>
      <c r="EL11" s="16" t="s">
        <v>492</v>
      </c>
      <c r="EM11" s="16" t="s">
        <v>493</v>
      </c>
      <c r="EO11" s="16" t="s">
        <v>492</v>
      </c>
      <c r="EP11" s="16" t="s">
        <v>493</v>
      </c>
      <c r="ER11" s="16" t="s">
        <v>492</v>
      </c>
      <c r="ES11" s="16" t="s">
        <v>493</v>
      </c>
      <c r="EU11" s="16" t="s">
        <v>492</v>
      </c>
      <c r="EV11" s="16" t="s">
        <v>493</v>
      </c>
      <c r="EX11" s="16" t="s">
        <v>492</v>
      </c>
      <c r="EY11" s="16" t="s">
        <v>493</v>
      </c>
      <c r="FA11" s="16" t="s">
        <v>492</v>
      </c>
      <c r="FB11" s="16" t="s">
        <v>493</v>
      </c>
      <c r="FD11" s="16" t="s">
        <v>492</v>
      </c>
      <c r="FE11" s="16" t="s">
        <v>493</v>
      </c>
      <c r="FG11" s="16" t="s">
        <v>492</v>
      </c>
      <c r="FH11" s="16" t="s">
        <v>493</v>
      </c>
      <c r="FJ11" s="16" t="s">
        <v>492</v>
      </c>
      <c r="FK11" s="16" t="s">
        <v>493</v>
      </c>
      <c r="FM11" s="16" t="s">
        <v>492</v>
      </c>
      <c r="FN11" s="16" t="s">
        <v>493</v>
      </c>
      <c r="FP11" s="16" t="s">
        <v>492</v>
      </c>
      <c r="FQ11" s="16" t="s">
        <v>493</v>
      </c>
      <c r="FS11" s="16" t="s">
        <v>492</v>
      </c>
      <c r="FT11" s="16" t="s">
        <v>493</v>
      </c>
      <c r="FV11" s="16" t="s">
        <v>492</v>
      </c>
      <c r="FW11" s="16" t="s">
        <v>493</v>
      </c>
      <c r="FY11" s="16" t="s">
        <v>492</v>
      </c>
      <c r="FZ11" s="16" t="s">
        <v>493</v>
      </c>
      <c r="GB11" s="16" t="s">
        <v>492</v>
      </c>
      <c r="GC11" s="16" t="s">
        <v>493</v>
      </c>
    </row>
    <row r="12" spans="1:185" x14ac:dyDescent="0.25">
      <c r="A12" s="2">
        <v>43585</v>
      </c>
      <c r="B12" s="3">
        <v>590000000</v>
      </c>
      <c r="D12" s="2">
        <v>43585</v>
      </c>
      <c r="E12" s="3">
        <v>590000000</v>
      </c>
      <c r="G12" s="2">
        <v>43585</v>
      </c>
      <c r="H12" s="3">
        <v>590000000</v>
      </c>
      <c r="I12" s="3"/>
      <c r="J12" s="2">
        <v>43585</v>
      </c>
      <c r="K12" s="3">
        <v>590000000</v>
      </c>
      <c r="L12" s="3"/>
      <c r="M12" s="2">
        <v>46142</v>
      </c>
      <c r="N12" s="3">
        <v>358000000</v>
      </c>
      <c r="O12" s="3"/>
      <c r="P12" s="2">
        <v>46142</v>
      </c>
      <c r="Q12" s="38">
        <v>438000000</v>
      </c>
      <c r="R12" s="38"/>
      <c r="S12" s="2">
        <v>43585</v>
      </c>
      <c r="T12" s="3">
        <v>590000000</v>
      </c>
      <c r="U12" s="3"/>
      <c r="V12" s="2">
        <v>43585</v>
      </c>
      <c r="W12" s="3">
        <v>590000000</v>
      </c>
      <c r="X12" s="3"/>
      <c r="Y12" s="2">
        <v>46142</v>
      </c>
      <c r="Z12" s="3">
        <v>358000000</v>
      </c>
      <c r="AA12" s="3"/>
      <c r="AB12" s="2">
        <v>46142</v>
      </c>
      <c r="AC12" s="3">
        <v>438000000</v>
      </c>
      <c r="AD12"/>
      <c r="AE12" s="2">
        <v>46142</v>
      </c>
      <c r="AF12" s="3">
        <v>100000000</v>
      </c>
      <c r="AG12" s="3"/>
      <c r="AH12" s="2">
        <v>46142</v>
      </c>
      <c r="AI12" s="3">
        <v>100000000</v>
      </c>
      <c r="AJ12" s="3"/>
      <c r="AK12" s="24">
        <v>43738</v>
      </c>
      <c r="AL12" s="54">
        <v>2929594.7568521062</v>
      </c>
      <c r="AM12" s="3"/>
      <c r="AN12" s="24">
        <v>43738</v>
      </c>
      <c r="AO12" s="54">
        <v>3568660570.7100005</v>
      </c>
      <c r="AP12" s="3"/>
      <c r="AQ12" s="39">
        <v>40269</v>
      </c>
      <c r="AR12" s="16">
        <v>42173000</v>
      </c>
      <c r="AT12" s="39">
        <v>42733</v>
      </c>
      <c r="AU12" s="16">
        <v>112500000</v>
      </c>
      <c r="AW12" s="39">
        <v>42459</v>
      </c>
      <c r="AX12" s="16">
        <v>1134080</v>
      </c>
      <c r="AZ12" s="39">
        <v>42459</v>
      </c>
      <c r="BA12" s="16">
        <v>1134080</v>
      </c>
      <c r="BC12" s="39">
        <v>42459</v>
      </c>
      <c r="BD12" s="16">
        <v>1134080</v>
      </c>
      <c r="BF12" s="39">
        <v>42459</v>
      </c>
      <c r="BG12" s="16">
        <v>1134080</v>
      </c>
      <c r="BI12" s="39">
        <v>42459</v>
      </c>
      <c r="BJ12" s="16">
        <v>1134080</v>
      </c>
      <c r="BL12" s="39">
        <v>42459</v>
      </c>
      <c r="BM12" s="16">
        <v>1134080</v>
      </c>
      <c r="BO12" s="39">
        <v>42459</v>
      </c>
      <c r="BP12" s="16">
        <v>1134080</v>
      </c>
      <c r="BR12" s="39">
        <v>42459</v>
      </c>
      <c r="BS12" s="16">
        <v>1134080</v>
      </c>
      <c r="BU12" s="39">
        <v>42459</v>
      </c>
      <c r="BV12" s="16">
        <v>1134080</v>
      </c>
      <c r="BX12" s="39">
        <v>43280</v>
      </c>
      <c r="BY12" s="16">
        <v>646240</v>
      </c>
      <c r="CA12" s="39">
        <v>42459</v>
      </c>
      <c r="CB12" s="16">
        <v>1558280</v>
      </c>
      <c r="CD12" s="39">
        <v>42459</v>
      </c>
      <c r="CE12" s="16">
        <v>1558280</v>
      </c>
      <c r="CG12" s="39">
        <v>42459</v>
      </c>
      <c r="CH12" s="16">
        <v>1558280</v>
      </c>
      <c r="CJ12" s="39">
        <v>42459</v>
      </c>
      <c r="CK12" s="16">
        <v>1558280</v>
      </c>
      <c r="CM12" s="39">
        <v>42459</v>
      </c>
      <c r="CN12" s="16">
        <v>1558280</v>
      </c>
      <c r="CP12" s="39">
        <v>43465</v>
      </c>
      <c r="CQ12" s="16">
        <v>1304201</v>
      </c>
      <c r="CS12" s="39">
        <v>43465</v>
      </c>
      <c r="CT12" s="16">
        <v>7638920</v>
      </c>
      <c r="CV12" s="39">
        <v>43465</v>
      </c>
      <c r="CW12" s="16">
        <v>4098894</v>
      </c>
      <c r="CY12" s="39">
        <v>42369</v>
      </c>
      <c r="CZ12" s="16">
        <v>13075195</v>
      </c>
      <c r="DB12" s="39">
        <v>42369</v>
      </c>
      <c r="DC12" s="16">
        <v>8303507</v>
      </c>
      <c r="DE12" s="39">
        <v>40390</v>
      </c>
      <c r="DF12" s="16">
        <v>372822393</v>
      </c>
      <c r="DH12" s="39">
        <v>42004</v>
      </c>
      <c r="DI12" s="16">
        <v>2095092</v>
      </c>
      <c r="DK12" s="39">
        <v>42916</v>
      </c>
      <c r="DL12" s="16">
        <v>3317862.7453318164</v>
      </c>
      <c r="DN12" s="39">
        <v>42004</v>
      </c>
      <c r="DO12" s="16">
        <v>2095092</v>
      </c>
      <c r="DQ12" s="39">
        <v>42004</v>
      </c>
      <c r="DR12" s="16">
        <v>2095092</v>
      </c>
      <c r="DT12" s="39">
        <v>43281</v>
      </c>
      <c r="DU12" s="16">
        <v>1209703</v>
      </c>
      <c r="DW12" s="39">
        <v>42004</v>
      </c>
      <c r="DX12" s="16">
        <v>2331076</v>
      </c>
      <c r="DZ12" s="39">
        <v>42369</v>
      </c>
      <c r="EA12" s="16">
        <v>12544700</v>
      </c>
      <c r="EC12" s="39">
        <v>43100</v>
      </c>
      <c r="ED12" s="16">
        <v>18302355</v>
      </c>
      <c r="EF12" s="39">
        <v>43100</v>
      </c>
      <c r="EG12" s="16">
        <v>18302355</v>
      </c>
      <c r="EI12" s="39">
        <v>42460</v>
      </c>
      <c r="EJ12" s="16">
        <v>2291886</v>
      </c>
      <c r="EL12" s="39">
        <v>42460</v>
      </c>
      <c r="EM12" s="16">
        <v>1799947</v>
      </c>
      <c r="EO12" s="39">
        <v>42369</v>
      </c>
      <c r="EP12" s="16">
        <v>2394191</v>
      </c>
      <c r="ER12" s="39">
        <v>42460</v>
      </c>
      <c r="ES12" s="16">
        <v>2238803</v>
      </c>
      <c r="EU12" s="39">
        <v>42460</v>
      </c>
      <c r="EV12" s="16">
        <v>2498722</v>
      </c>
      <c r="EX12" s="39">
        <v>42370</v>
      </c>
      <c r="EY12" s="16">
        <v>2835164</v>
      </c>
      <c r="FA12" s="39">
        <v>42185</v>
      </c>
      <c r="FB12" s="16">
        <v>6835500</v>
      </c>
      <c r="FD12" s="39">
        <v>43100</v>
      </c>
      <c r="FE12" s="16">
        <v>953691</v>
      </c>
      <c r="FG12" s="39">
        <v>43100</v>
      </c>
      <c r="FH12" s="16">
        <v>1267207</v>
      </c>
      <c r="FJ12" s="39">
        <v>43100</v>
      </c>
      <c r="FK12" s="16">
        <v>1728987</v>
      </c>
      <c r="FM12" s="39">
        <v>42916</v>
      </c>
      <c r="FN12" s="16">
        <v>5647782</v>
      </c>
      <c r="FP12" s="39">
        <v>42353</v>
      </c>
      <c r="FQ12" s="16">
        <v>25651162.399999999</v>
      </c>
      <c r="FS12" s="39">
        <v>42353</v>
      </c>
      <c r="FT12" s="16">
        <v>25651162.399999999</v>
      </c>
      <c r="FV12" s="39">
        <v>42353</v>
      </c>
      <c r="FW12" s="16">
        <v>25651162.399999999</v>
      </c>
      <c r="FY12" s="39">
        <v>42353</v>
      </c>
      <c r="FZ12" s="16">
        <v>25651162.399999999</v>
      </c>
      <c r="GB12" s="39">
        <v>42353</v>
      </c>
      <c r="GC12" s="16">
        <v>25651162.399999999</v>
      </c>
    </row>
    <row r="13" spans="1:185" x14ac:dyDescent="0.25">
      <c r="A13" s="2">
        <v>43677</v>
      </c>
      <c r="B13" s="3">
        <v>581714285.71428573</v>
      </c>
      <c r="C13" s="25"/>
      <c r="D13" s="2">
        <v>43677</v>
      </c>
      <c r="E13" s="3">
        <v>581407407.4074074</v>
      </c>
      <c r="F13" s="25"/>
      <c r="G13" s="2">
        <v>43677</v>
      </c>
      <c r="H13" s="3">
        <v>581714285.71428573</v>
      </c>
      <c r="I13" s="3"/>
      <c r="J13" s="2">
        <v>43677</v>
      </c>
      <c r="K13" s="3">
        <v>581714285.71428573</v>
      </c>
      <c r="L13" s="3"/>
      <c r="M13" s="2">
        <v>46234</v>
      </c>
      <c r="N13" s="3">
        <v>340100000</v>
      </c>
      <c r="O13" s="3"/>
      <c r="P13" s="2">
        <v>46234</v>
      </c>
      <c r="Q13" s="38">
        <v>428045454.54545456</v>
      </c>
      <c r="R13" s="38"/>
      <c r="S13" s="2">
        <v>43677</v>
      </c>
      <c r="T13" s="3">
        <v>590000000</v>
      </c>
      <c r="U13" s="3"/>
      <c r="V13" s="2">
        <v>43677</v>
      </c>
      <c r="W13" s="3">
        <v>590000000</v>
      </c>
      <c r="X13" s="3"/>
      <c r="Y13" s="2">
        <v>46234</v>
      </c>
      <c r="Z13" s="3">
        <v>358000000</v>
      </c>
      <c r="AA13" s="3"/>
      <c r="AB13" s="2">
        <v>46234</v>
      </c>
      <c r="AC13" s="3">
        <v>438000000</v>
      </c>
      <c r="AD13"/>
      <c r="AE13" s="2">
        <v>46234</v>
      </c>
      <c r="AF13" s="3">
        <v>100000000</v>
      </c>
      <c r="AG13" s="3"/>
      <c r="AH13" s="2">
        <v>46234</v>
      </c>
      <c r="AI13" s="3">
        <v>100000000</v>
      </c>
      <c r="AJ13" s="3"/>
      <c r="AK13" s="24">
        <v>43769</v>
      </c>
      <c r="AL13" s="54">
        <v>21530797.333445165</v>
      </c>
      <c r="AM13" s="3"/>
      <c r="AN13" s="24">
        <v>43769</v>
      </c>
      <c r="AO13" s="54">
        <v>26227554961.347393</v>
      </c>
      <c r="AP13" s="3"/>
      <c r="AQ13" s="39">
        <v>40452</v>
      </c>
      <c r="AR13" s="16">
        <v>41303000</v>
      </c>
      <c r="AT13" s="39">
        <f>EOMONTH(AT12,6)</f>
        <v>42916</v>
      </c>
      <c r="AU13" s="16">
        <v>111403125</v>
      </c>
      <c r="AW13" s="39">
        <v>42551</v>
      </c>
      <c r="AX13" s="16">
        <v>1089840</v>
      </c>
      <c r="AZ13" s="39">
        <v>42551</v>
      </c>
      <c r="BA13" s="16">
        <v>1089840</v>
      </c>
      <c r="BC13" s="39">
        <v>42551</v>
      </c>
      <c r="BD13" s="16">
        <v>1089840</v>
      </c>
      <c r="BF13" s="39">
        <v>42551</v>
      </c>
      <c r="BG13" s="16">
        <v>1089840</v>
      </c>
      <c r="BI13" s="39">
        <v>42551</v>
      </c>
      <c r="BJ13" s="16">
        <v>1089840</v>
      </c>
      <c r="BL13" s="39">
        <v>42551</v>
      </c>
      <c r="BM13" s="16">
        <v>1089840</v>
      </c>
      <c r="BO13" s="39">
        <v>42551</v>
      </c>
      <c r="BP13" s="16">
        <v>1089840</v>
      </c>
      <c r="BR13" s="39">
        <v>42551</v>
      </c>
      <c r="BS13" s="16">
        <v>1089840</v>
      </c>
      <c r="BU13" s="39">
        <v>42551</v>
      </c>
      <c r="BV13" s="16">
        <v>1089840</v>
      </c>
      <c r="BX13" s="39">
        <v>43371</v>
      </c>
      <c r="BY13" s="16">
        <v>611781.34413267765</v>
      </c>
      <c r="CA13" s="39">
        <v>42551</v>
      </c>
      <c r="CB13" s="16">
        <v>1500000</v>
      </c>
      <c r="CD13" s="39">
        <v>42551</v>
      </c>
      <c r="CE13" s="16">
        <v>1500000</v>
      </c>
      <c r="CG13" s="39">
        <v>42551</v>
      </c>
      <c r="CH13" s="16">
        <v>1500000</v>
      </c>
      <c r="CJ13" s="39">
        <v>42551</v>
      </c>
      <c r="CK13" s="16">
        <v>1500000</v>
      </c>
      <c r="CM13" s="39">
        <v>42551</v>
      </c>
      <c r="CN13" s="16">
        <v>1500000</v>
      </c>
      <c r="CP13" s="39">
        <v>43646</v>
      </c>
      <c r="CQ13" s="16">
        <v>1116711.1709248431</v>
      </c>
      <c r="CS13" s="39">
        <v>43646</v>
      </c>
      <c r="CT13" s="16">
        <v>6540761.2000000011</v>
      </c>
      <c r="CV13" s="39">
        <v>43646</v>
      </c>
      <c r="CW13" s="16">
        <v>3509643.6195316622</v>
      </c>
      <c r="CY13" s="39">
        <v>42551</v>
      </c>
      <c r="CZ13" s="16">
        <v>12746500</v>
      </c>
      <c r="DB13" s="39">
        <v>42551</v>
      </c>
      <c r="DC13" s="16">
        <v>8082804</v>
      </c>
      <c r="DE13" s="39">
        <v>40574</v>
      </c>
      <c r="DF13" s="16">
        <v>361602364</v>
      </c>
      <c r="DH13" s="39">
        <v>42185</v>
      </c>
      <c r="DI13" s="16">
        <v>2005410</v>
      </c>
      <c r="DK13" s="39">
        <v>43100</v>
      </c>
      <c r="DL13" s="16">
        <v>3151453.7200868176</v>
      </c>
      <c r="DN13" s="39">
        <v>42185</v>
      </c>
      <c r="DO13" s="16">
        <v>2005410</v>
      </c>
      <c r="DQ13" s="39">
        <v>42185</v>
      </c>
      <c r="DR13" s="16">
        <v>2005410</v>
      </c>
      <c r="DT13" s="39">
        <v>43465</v>
      </c>
      <c r="DU13" s="16">
        <v>1173691.8484447626</v>
      </c>
      <c r="DW13" s="39">
        <v>42185</v>
      </c>
      <c r="DX13" s="16">
        <v>2256928</v>
      </c>
      <c r="DZ13" s="39">
        <v>42551</v>
      </c>
      <c r="EA13" s="16">
        <v>12149541</v>
      </c>
      <c r="EC13" s="39">
        <v>43281</v>
      </c>
      <c r="ED13" s="16">
        <v>17949114</v>
      </c>
      <c r="EF13" s="39">
        <v>43281</v>
      </c>
      <c r="EG13" s="16">
        <v>17949114</v>
      </c>
      <c r="EI13" s="39">
        <v>42551</v>
      </c>
      <c r="EJ13" s="16">
        <v>2229320</v>
      </c>
      <c r="EL13" s="39">
        <v>42551</v>
      </c>
      <c r="EM13" s="16">
        <v>1751604</v>
      </c>
      <c r="EO13" s="39">
        <v>42460</v>
      </c>
      <c r="EP13" s="16">
        <v>2334125</v>
      </c>
      <c r="ER13" s="39">
        <v>42551</v>
      </c>
      <c r="ES13" s="16">
        <v>2178674</v>
      </c>
      <c r="EU13" s="39">
        <v>42551</v>
      </c>
      <c r="EV13" s="16">
        <v>2433584</v>
      </c>
      <c r="EX13" s="39">
        <v>42461</v>
      </c>
      <c r="EY13" s="16">
        <v>2794689</v>
      </c>
      <c r="FA13" s="39">
        <v>42369</v>
      </c>
      <c r="FB13" s="16">
        <v>6666500</v>
      </c>
      <c r="FD13" s="39">
        <v>43281</v>
      </c>
      <c r="FE13" s="16">
        <v>890859</v>
      </c>
      <c r="FG13" s="39">
        <v>43281</v>
      </c>
      <c r="FH13" s="16">
        <v>1167868</v>
      </c>
      <c r="FJ13" s="39">
        <v>43281</v>
      </c>
      <c r="FK13" s="16">
        <v>1656424</v>
      </c>
      <c r="FM13" s="39">
        <v>43100</v>
      </c>
      <c r="FN13" s="16">
        <v>5523049</v>
      </c>
      <c r="FP13" s="39">
        <v>42536</v>
      </c>
      <c r="FQ13" s="16">
        <v>25085437.399999999</v>
      </c>
      <c r="FS13" s="39">
        <v>42536</v>
      </c>
      <c r="FT13" s="16">
        <v>25085437.399999999</v>
      </c>
      <c r="FV13" s="39">
        <v>42536</v>
      </c>
      <c r="FW13" s="16">
        <v>25085437.399999999</v>
      </c>
      <c r="FY13" s="39">
        <v>42536</v>
      </c>
      <c r="FZ13" s="16">
        <v>25085437.399999999</v>
      </c>
      <c r="GB13" s="39">
        <v>42536</v>
      </c>
      <c r="GC13" s="16">
        <v>25085437.399999999</v>
      </c>
    </row>
    <row r="14" spans="1:185" x14ac:dyDescent="0.25">
      <c r="A14" s="2">
        <v>43769</v>
      </c>
      <c r="B14" s="3">
        <v>573428571.42857146</v>
      </c>
      <c r="C14" s="25"/>
      <c r="D14" s="2">
        <v>43769</v>
      </c>
      <c r="E14" s="3">
        <v>572814814.81481481</v>
      </c>
      <c r="F14" s="25"/>
      <c r="G14" s="2">
        <v>43769</v>
      </c>
      <c r="H14" s="3">
        <v>573428571.42857146</v>
      </c>
      <c r="I14" s="3"/>
      <c r="J14" s="2">
        <v>43769</v>
      </c>
      <c r="K14" s="3">
        <v>573428571.42857146</v>
      </c>
      <c r="L14" s="3"/>
      <c r="M14" s="2">
        <v>46326</v>
      </c>
      <c r="N14" s="3">
        <v>322200000</v>
      </c>
      <c r="O14" s="3"/>
      <c r="P14" s="2">
        <v>46326</v>
      </c>
      <c r="Q14" s="38">
        <v>418090909.09090912</v>
      </c>
      <c r="R14" s="38"/>
      <c r="S14" s="2">
        <v>43769</v>
      </c>
      <c r="T14" s="3">
        <v>590000000</v>
      </c>
      <c r="U14" s="3"/>
      <c r="V14" s="2">
        <v>43769</v>
      </c>
      <c r="W14" s="3">
        <v>590000000</v>
      </c>
      <c r="X14" s="3"/>
      <c r="Y14" s="2">
        <v>46326</v>
      </c>
      <c r="Z14" s="3">
        <v>358000000</v>
      </c>
      <c r="AA14" s="3"/>
      <c r="AB14" s="2">
        <v>46326</v>
      </c>
      <c r="AC14" s="3">
        <v>438000000</v>
      </c>
      <c r="AD14"/>
      <c r="AE14" s="2">
        <v>46326</v>
      </c>
      <c r="AF14" s="3">
        <v>100000000</v>
      </c>
      <c r="AG14" s="3"/>
      <c r="AH14" s="2">
        <v>46326</v>
      </c>
      <c r="AI14" s="3">
        <v>100000000</v>
      </c>
      <c r="AJ14" s="3"/>
      <c r="AK14" s="24">
        <v>43799</v>
      </c>
      <c r="AL14" s="54">
        <v>22630510.314583059</v>
      </c>
      <c r="AM14" s="3"/>
      <c r="AN14" s="24">
        <v>43799</v>
      </c>
      <c r="AO14" s="54">
        <v>27567160838.81752</v>
      </c>
      <c r="AP14" s="3"/>
      <c r="AQ14" s="39">
        <v>40634</v>
      </c>
      <c r="AR14" s="16">
        <v>40433000</v>
      </c>
      <c r="AT14" s="39">
        <f>EDATE(AT13,6)</f>
        <v>43099</v>
      </c>
      <c r="AU14" s="16">
        <v>110306250</v>
      </c>
      <c r="AW14" s="39">
        <v>42643</v>
      </c>
      <c r="AX14" s="16">
        <v>1045600</v>
      </c>
      <c r="AZ14" s="39">
        <v>42643</v>
      </c>
      <c r="BA14" s="16">
        <v>1045600</v>
      </c>
      <c r="BC14" s="39">
        <v>42643</v>
      </c>
      <c r="BD14" s="16">
        <v>1045600</v>
      </c>
      <c r="BF14" s="39">
        <v>42643</v>
      </c>
      <c r="BG14" s="16">
        <v>1045600</v>
      </c>
      <c r="BI14" s="39">
        <v>42643</v>
      </c>
      <c r="BJ14" s="16">
        <v>1045600</v>
      </c>
      <c r="BL14" s="39">
        <v>42643</v>
      </c>
      <c r="BM14" s="16">
        <v>1045600</v>
      </c>
      <c r="BO14" s="39">
        <v>42643</v>
      </c>
      <c r="BP14" s="16">
        <v>1045600</v>
      </c>
      <c r="BR14" s="39">
        <v>42643</v>
      </c>
      <c r="BS14" s="16">
        <v>1045600</v>
      </c>
      <c r="BU14" s="39">
        <v>42643</v>
      </c>
      <c r="BV14" s="16">
        <v>1045600</v>
      </c>
      <c r="BX14" s="39">
        <v>43465</v>
      </c>
      <c r="BY14" s="16">
        <v>595580.16777552792</v>
      </c>
      <c r="CA14" s="39">
        <v>42643</v>
      </c>
      <c r="CB14" s="16">
        <v>1434200</v>
      </c>
      <c r="CD14" s="39">
        <v>42643</v>
      </c>
      <c r="CE14" s="16">
        <v>1434200</v>
      </c>
      <c r="CG14" s="39">
        <v>42643</v>
      </c>
      <c r="CH14" s="16">
        <v>1434200</v>
      </c>
      <c r="CJ14" s="39">
        <v>42643</v>
      </c>
      <c r="CK14" s="16">
        <v>1434200</v>
      </c>
      <c r="CM14" s="39">
        <v>42643</v>
      </c>
      <c r="CN14" s="16">
        <v>1434200</v>
      </c>
      <c r="CP14" s="39">
        <v>43830</v>
      </c>
      <c r="CQ14" s="16">
        <v>1019980.9273076354</v>
      </c>
      <c r="CS14" s="39">
        <v>43830</v>
      </c>
      <c r="CT14" s="16">
        <v>5974196.2360317484</v>
      </c>
      <c r="CV14" s="39">
        <v>43830</v>
      </c>
      <c r="CW14" s="16">
        <v>3205636.0201040353</v>
      </c>
      <c r="CY14" s="39">
        <v>42735</v>
      </c>
      <c r="CZ14" s="16">
        <v>12426004</v>
      </c>
      <c r="DB14" s="39">
        <v>42735</v>
      </c>
      <c r="DC14" s="16">
        <v>7854446</v>
      </c>
      <c r="DE14" s="39">
        <v>40755</v>
      </c>
      <c r="DF14" s="16">
        <v>350125804</v>
      </c>
      <c r="DH14" s="39">
        <v>42369</v>
      </c>
      <c r="DI14" s="16">
        <v>1927161</v>
      </c>
      <c r="DK14" s="39">
        <v>43281</v>
      </c>
      <c r="DL14" s="16">
        <v>2955760.7727219798</v>
      </c>
      <c r="DN14" s="39">
        <v>42369</v>
      </c>
      <c r="DO14" s="16">
        <v>1927161</v>
      </c>
      <c r="DQ14" s="39">
        <v>42369</v>
      </c>
      <c r="DR14" s="16">
        <v>1927161</v>
      </c>
      <c r="DT14" s="39">
        <v>43646</v>
      </c>
      <c r="DU14" s="16">
        <v>1124052.241961058</v>
      </c>
      <c r="DW14" s="39">
        <v>42369</v>
      </c>
      <c r="DX14" s="16">
        <v>2204339</v>
      </c>
      <c r="DZ14" s="39">
        <v>42735</v>
      </c>
      <c r="EA14" s="16">
        <v>11795781</v>
      </c>
      <c r="EC14" s="39">
        <v>43465</v>
      </c>
      <c r="ED14" s="16">
        <v>17294279</v>
      </c>
      <c r="EF14" s="39">
        <v>43465</v>
      </c>
      <c r="EG14" s="16">
        <v>17294279</v>
      </c>
      <c r="EI14" s="39">
        <v>42643</v>
      </c>
      <c r="EJ14" s="16">
        <v>2166073</v>
      </c>
      <c r="EL14" s="39">
        <v>42643</v>
      </c>
      <c r="EM14" s="16">
        <v>1702983</v>
      </c>
      <c r="EO14" s="39">
        <v>42551</v>
      </c>
      <c r="EP14" s="16">
        <v>2273232</v>
      </c>
      <c r="ER14" s="39">
        <v>42643</v>
      </c>
      <c r="ES14" s="16">
        <v>2118198</v>
      </c>
      <c r="EU14" s="39">
        <v>42643</v>
      </c>
      <c r="EV14" s="16">
        <v>2367500</v>
      </c>
      <c r="EX14" s="39">
        <v>42552</v>
      </c>
      <c r="EY14" s="16">
        <v>2753882</v>
      </c>
      <c r="FA14" s="39">
        <v>42551</v>
      </c>
      <c r="FB14" s="16">
        <v>6530174</v>
      </c>
      <c r="FD14" s="39">
        <v>43465</v>
      </c>
      <c r="FE14" s="16">
        <v>863385</v>
      </c>
      <c r="FG14" s="39">
        <v>43465</v>
      </c>
      <c r="FH14" s="16">
        <v>1134151</v>
      </c>
      <c r="FJ14" s="39">
        <v>43465</v>
      </c>
      <c r="FK14" s="16">
        <v>1606883</v>
      </c>
      <c r="FM14" s="39">
        <v>43281</v>
      </c>
      <c r="FN14" s="16">
        <v>5355953</v>
      </c>
      <c r="FP14" s="39">
        <v>42719</v>
      </c>
      <c r="FQ14" s="16">
        <v>24549487.399999999</v>
      </c>
      <c r="FS14" s="39">
        <v>42719</v>
      </c>
      <c r="FT14" s="16">
        <v>24549487.399999999</v>
      </c>
      <c r="FV14" s="39">
        <v>42719</v>
      </c>
      <c r="FW14" s="16">
        <v>24549487.399999999</v>
      </c>
      <c r="FY14" s="39">
        <v>42719</v>
      </c>
      <c r="FZ14" s="16">
        <v>24549487.399999999</v>
      </c>
      <c r="GB14" s="39">
        <v>42719</v>
      </c>
      <c r="GC14" s="16">
        <v>24549487.399999999</v>
      </c>
    </row>
    <row r="15" spans="1:185" x14ac:dyDescent="0.25">
      <c r="A15" s="2">
        <v>43861</v>
      </c>
      <c r="B15" s="3">
        <v>565142857.14285719</v>
      </c>
      <c r="C15" s="25"/>
      <c r="D15" s="2">
        <v>43861</v>
      </c>
      <c r="E15" s="3">
        <v>564222222.22222221</v>
      </c>
      <c r="F15" s="25"/>
      <c r="G15" s="2">
        <v>43861</v>
      </c>
      <c r="H15" s="3">
        <v>565142857.14285719</v>
      </c>
      <c r="I15" s="3"/>
      <c r="J15" s="2">
        <v>43861</v>
      </c>
      <c r="K15" s="3">
        <v>565142857.14285719</v>
      </c>
      <c r="L15" s="3"/>
      <c r="M15" s="2">
        <v>46418</v>
      </c>
      <c r="N15" s="3">
        <v>304300000</v>
      </c>
      <c r="O15" s="3"/>
      <c r="P15" s="2">
        <v>46418</v>
      </c>
      <c r="Q15" s="38">
        <v>408136363.63636369</v>
      </c>
      <c r="R15" s="38"/>
      <c r="S15" s="2">
        <v>43861</v>
      </c>
      <c r="T15" s="3">
        <v>590000000</v>
      </c>
      <c r="U15" s="3"/>
      <c r="V15" s="2">
        <v>43861</v>
      </c>
      <c r="W15" s="3">
        <v>590000000</v>
      </c>
      <c r="X15" s="3"/>
      <c r="Y15" s="2">
        <v>46418</v>
      </c>
      <c r="Z15" s="3">
        <v>358000000</v>
      </c>
      <c r="AA15" s="3"/>
      <c r="AB15" s="2">
        <v>46418</v>
      </c>
      <c r="AC15" s="3">
        <v>438000000</v>
      </c>
      <c r="AD15"/>
      <c r="AE15" s="2">
        <v>46418</v>
      </c>
      <c r="AF15" s="3">
        <v>100000000</v>
      </c>
      <c r="AG15" s="3"/>
      <c r="AH15" s="2">
        <v>46418</v>
      </c>
      <c r="AI15" s="3">
        <v>100000000</v>
      </c>
      <c r="AJ15" s="3"/>
      <c r="AK15" s="24">
        <v>43830</v>
      </c>
      <c r="AL15" s="54">
        <v>31422332.379221573</v>
      </c>
      <c r="AM15" s="3"/>
      <c r="AN15" s="24">
        <v>43830</v>
      </c>
      <c r="AO15" s="54">
        <v>38276843013.592628</v>
      </c>
      <c r="AP15" s="3"/>
      <c r="AQ15" s="39">
        <v>40817</v>
      </c>
      <c r="AR15" s="16">
        <v>39500000</v>
      </c>
      <c r="AT15" s="39">
        <f t="shared" ref="AT15:AT48" si="0">EDATE(AT14,6)</f>
        <v>43281</v>
      </c>
      <c r="AU15" s="16">
        <v>109462500</v>
      </c>
      <c r="AW15" s="39">
        <v>42734</v>
      </c>
      <c r="AX15" s="16">
        <v>1024800</v>
      </c>
      <c r="AZ15" s="39">
        <v>42734</v>
      </c>
      <c r="BA15" s="16">
        <v>1024800</v>
      </c>
      <c r="BC15" s="39">
        <v>42734</v>
      </c>
      <c r="BD15" s="16">
        <v>1024800</v>
      </c>
      <c r="BF15" s="39">
        <v>42734</v>
      </c>
      <c r="BG15" s="16">
        <v>1024800</v>
      </c>
      <c r="BI15" s="39">
        <v>42734</v>
      </c>
      <c r="BJ15" s="16">
        <v>1024800</v>
      </c>
      <c r="BL15" s="39">
        <v>42734</v>
      </c>
      <c r="BM15" s="16">
        <v>1024800</v>
      </c>
      <c r="BO15" s="39">
        <v>42734</v>
      </c>
      <c r="BP15" s="16">
        <v>1024800</v>
      </c>
      <c r="BR15" s="39">
        <v>42734</v>
      </c>
      <c r="BS15" s="16">
        <v>1024800</v>
      </c>
      <c r="BU15" s="39">
        <v>42734</v>
      </c>
      <c r="BV15" s="16">
        <v>1024800</v>
      </c>
      <c r="BX15" s="39">
        <v>43553</v>
      </c>
      <c r="BY15" s="16">
        <v>579378.99141837819</v>
      </c>
      <c r="CA15" s="39">
        <v>42734</v>
      </c>
      <c r="CB15" s="16">
        <v>1392840</v>
      </c>
      <c r="CD15" s="39">
        <v>42734</v>
      </c>
      <c r="CE15" s="16">
        <v>1392840</v>
      </c>
      <c r="CG15" s="39">
        <v>42734</v>
      </c>
      <c r="CH15" s="16">
        <v>1392840</v>
      </c>
      <c r="CJ15" s="39">
        <v>42734</v>
      </c>
      <c r="CK15" s="16">
        <v>1392840</v>
      </c>
      <c r="CM15" s="39">
        <v>42734</v>
      </c>
      <c r="CN15" s="16">
        <v>1392840</v>
      </c>
      <c r="CP15" s="39">
        <v>44012</v>
      </c>
      <c r="CQ15" s="16">
        <v>792775.6061985523</v>
      </c>
      <c r="CS15" s="39">
        <v>44012</v>
      </c>
      <c r="CT15" s="16">
        <v>4643417.2598412707</v>
      </c>
      <c r="CV15" s="39">
        <v>44012</v>
      </c>
      <c r="CW15" s="16">
        <v>2491566.2352609825</v>
      </c>
      <c r="CY15" s="39">
        <v>42916</v>
      </c>
      <c r="CZ15" s="16">
        <v>12074822</v>
      </c>
      <c r="DB15" s="39">
        <v>42916</v>
      </c>
      <c r="DC15" s="16">
        <v>7623198</v>
      </c>
      <c r="DE15" s="39">
        <v>40939</v>
      </c>
      <c r="DF15" s="16">
        <v>338386849</v>
      </c>
      <c r="DH15" s="39">
        <v>42551</v>
      </c>
      <c r="DI15" s="16">
        <v>1834675</v>
      </c>
      <c r="DK15" s="39">
        <v>43465</v>
      </c>
      <c r="DL15" s="16">
        <v>2782675.2843158902</v>
      </c>
      <c r="DN15" s="39">
        <v>42551</v>
      </c>
      <c r="DO15" s="16">
        <v>1834675</v>
      </c>
      <c r="DQ15" s="39">
        <v>42551</v>
      </c>
      <c r="DR15" s="16">
        <v>1834675</v>
      </c>
      <c r="DT15" s="39">
        <v>43830</v>
      </c>
      <c r="DU15" s="16">
        <v>1086931.4976850385</v>
      </c>
      <c r="DW15" s="39">
        <v>42551</v>
      </c>
      <c r="DX15" s="16">
        <v>2131675</v>
      </c>
      <c r="DZ15" s="39">
        <v>42916</v>
      </c>
      <c r="EA15" s="16">
        <v>11394351</v>
      </c>
      <c r="EC15" s="39">
        <v>43646</v>
      </c>
      <c r="ED15" s="16">
        <v>16590089</v>
      </c>
      <c r="EF15" s="39">
        <v>43646</v>
      </c>
      <c r="EG15" s="16">
        <v>16590089</v>
      </c>
      <c r="EI15" s="39">
        <v>42735</v>
      </c>
      <c r="EJ15" s="16">
        <v>2102139</v>
      </c>
      <c r="EL15" s="39">
        <v>42735</v>
      </c>
      <c r="EM15" s="16">
        <v>1653709</v>
      </c>
      <c r="EO15" s="39">
        <v>42643</v>
      </c>
      <c r="EP15" s="16">
        <v>2211502</v>
      </c>
      <c r="ER15" s="39">
        <v>42735</v>
      </c>
      <c r="ES15" s="16">
        <v>2056911</v>
      </c>
      <c r="EU15" s="39">
        <v>42735</v>
      </c>
      <c r="EV15" s="16">
        <v>2300507</v>
      </c>
      <c r="EX15" s="39">
        <v>42644</v>
      </c>
      <c r="EY15" s="16">
        <v>2712742</v>
      </c>
      <c r="FA15" s="39">
        <v>42735</v>
      </c>
      <c r="FB15" s="16">
        <v>6358122</v>
      </c>
      <c r="FD15" s="39">
        <v>43646</v>
      </c>
      <c r="FE15" s="16">
        <v>833078</v>
      </c>
      <c r="FG15" s="39">
        <v>43646</v>
      </c>
      <c r="FH15" s="16">
        <v>1065960</v>
      </c>
      <c r="FJ15" s="39">
        <v>43646</v>
      </c>
      <c r="FK15" s="16">
        <v>1548869</v>
      </c>
      <c r="FM15" s="39">
        <v>43465</v>
      </c>
      <c r="FN15" s="16">
        <v>5222423</v>
      </c>
      <c r="FP15" s="39">
        <v>42901</v>
      </c>
      <c r="FQ15" s="16">
        <v>23924212.399999999</v>
      </c>
      <c r="FS15" s="39">
        <v>42901</v>
      </c>
      <c r="FT15" s="16">
        <v>23924212.399999999</v>
      </c>
      <c r="FV15" s="39">
        <v>42901</v>
      </c>
      <c r="FW15" s="16">
        <v>23924212.399999999</v>
      </c>
      <c r="FY15" s="39">
        <v>42901</v>
      </c>
      <c r="FZ15" s="16">
        <v>23924212.399999999</v>
      </c>
      <c r="GB15" s="39">
        <v>42901</v>
      </c>
      <c r="GC15" s="16">
        <v>23924212.399999999</v>
      </c>
    </row>
    <row r="16" spans="1:185" x14ac:dyDescent="0.25">
      <c r="A16" s="2">
        <v>43951</v>
      </c>
      <c r="B16" s="3">
        <v>556857142.85714293</v>
      </c>
      <c r="C16" s="25"/>
      <c r="D16" s="2">
        <v>43951</v>
      </c>
      <c r="E16" s="3">
        <v>555629629.62962961</v>
      </c>
      <c r="F16" s="25"/>
      <c r="G16" s="2">
        <v>43951</v>
      </c>
      <c r="H16" s="3">
        <v>556857142.85714293</v>
      </c>
      <c r="I16" s="3"/>
      <c r="J16" s="2">
        <v>43951</v>
      </c>
      <c r="K16" s="3">
        <v>556857142.85714293</v>
      </c>
      <c r="L16" s="3"/>
      <c r="M16" s="2">
        <v>46507</v>
      </c>
      <c r="N16" s="3">
        <v>286400000</v>
      </c>
      <c r="O16" s="3"/>
      <c r="P16" s="2">
        <v>46507</v>
      </c>
      <c r="Q16" s="38">
        <v>398181818.18181825</v>
      </c>
      <c r="R16" s="38"/>
      <c r="S16" s="2">
        <v>43951</v>
      </c>
      <c r="T16" s="3">
        <v>590000000</v>
      </c>
      <c r="U16" s="3"/>
      <c r="V16" s="2">
        <v>43951</v>
      </c>
      <c r="W16" s="3">
        <v>590000000</v>
      </c>
      <c r="X16" s="3"/>
      <c r="Y16" s="2">
        <v>46507</v>
      </c>
      <c r="Z16" s="3">
        <v>358000000</v>
      </c>
      <c r="AA16" s="3"/>
      <c r="AB16" s="2">
        <v>46507</v>
      </c>
      <c r="AC16" s="3">
        <v>438000000</v>
      </c>
      <c r="AD16"/>
      <c r="AE16" s="2">
        <v>46507</v>
      </c>
      <c r="AF16" s="3">
        <v>0</v>
      </c>
      <c r="AG16" s="3"/>
      <c r="AH16" s="2">
        <v>46507</v>
      </c>
      <c r="AI16" s="3">
        <v>100000000</v>
      </c>
      <c r="AJ16" s="3"/>
      <c r="AK16" s="24">
        <v>43861</v>
      </c>
      <c r="AL16" s="54">
        <v>32136705.31086342</v>
      </c>
      <c r="AM16" s="3"/>
      <c r="AN16" s="24">
        <v>43861</v>
      </c>
      <c r="AO16" s="54">
        <v>39156839710.328743</v>
      </c>
      <c r="AP16" s="3"/>
      <c r="AQ16" s="39">
        <v>41000</v>
      </c>
      <c r="AR16" s="16">
        <v>38567000</v>
      </c>
      <c r="AT16" s="39">
        <f t="shared" si="0"/>
        <v>43464</v>
      </c>
      <c r="AU16" s="16">
        <v>108618750</v>
      </c>
      <c r="AW16" s="39">
        <v>42825</v>
      </c>
      <c r="AX16" s="16">
        <v>1004000</v>
      </c>
      <c r="AZ16" s="39">
        <v>42825</v>
      </c>
      <c r="BA16" s="16">
        <v>1004000</v>
      </c>
      <c r="BC16" s="39">
        <v>42825</v>
      </c>
      <c r="BD16" s="16">
        <v>1004000</v>
      </c>
      <c r="BF16" s="39">
        <v>42825</v>
      </c>
      <c r="BG16" s="16">
        <v>1004000</v>
      </c>
      <c r="BI16" s="39">
        <v>42825</v>
      </c>
      <c r="BJ16" s="16">
        <v>1004000</v>
      </c>
      <c r="BL16" s="39">
        <v>42825</v>
      </c>
      <c r="BM16" s="16">
        <v>1004000</v>
      </c>
      <c r="BO16" s="39">
        <v>42825</v>
      </c>
      <c r="BP16" s="16">
        <v>1004000</v>
      </c>
      <c r="BR16" s="39">
        <v>42825</v>
      </c>
      <c r="BS16" s="16">
        <v>1004000</v>
      </c>
      <c r="BU16" s="39">
        <v>42825</v>
      </c>
      <c r="BV16" s="16">
        <v>1004000</v>
      </c>
      <c r="BX16" s="39">
        <v>43644</v>
      </c>
      <c r="BY16" s="16">
        <v>544920.33555105585</v>
      </c>
      <c r="CA16" s="39">
        <v>42825</v>
      </c>
      <c r="CB16" s="16">
        <v>1370280</v>
      </c>
      <c r="CD16" s="39">
        <v>42825</v>
      </c>
      <c r="CE16" s="16">
        <v>1370280</v>
      </c>
      <c r="CG16" s="39">
        <v>42825</v>
      </c>
      <c r="CH16" s="16">
        <v>1370280</v>
      </c>
      <c r="CJ16" s="39">
        <v>42825</v>
      </c>
      <c r="CK16" s="16">
        <v>1370280</v>
      </c>
      <c r="CM16" s="39">
        <v>42825</v>
      </c>
      <c r="CN16" s="16">
        <v>1370280</v>
      </c>
      <c r="CP16" s="39">
        <v>44196</v>
      </c>
      <c r="CQ16" s="16">
        <v>563016.16792809556</v>
      </c>
      <c r="CS16" s="39">
        <v>44196</v>
      </c>
      <c r="CT16" s="16">
        <v>3297678.3988888888</v>
      </c>
      <c r="CV16" s="39">
        <v>44196</v>
      </c>
      <c r="CW16" s="16">
        <v>1769469.2709355867</v>
      </c>
      <c r="CY16" s="39">
        <v>43100</v>
      </c>
      <c r="CZ16" s="16">
        <v>11737613</v>
      </c>
      <c r="DB16" s="39">
        <v>43100</v>
      </c>
      <c r="DC16" s="16">
        <v>7383804</v>
      </c>
      <c r="DE16" s="39">
        <v>41121</v>
      </c>
      <c r="DF16" s="16">
        <v>326379498</v>
      </c>
      <c r="DH16" s="39">
        <v>42735</v>
      </c>
      <c r="DI16" s="16">
        <v>1753903</v>
      </c>
      <c r="DK16" s="39">
        <v>43646</v>
      </c>
      <c r="DL16" s="16">
        <v>2580469.1957382946</v>
      </c>
      <c r="DN16" s="39">
        <v>42735</v>
      </c>
      <c r="DO16" s="16">
        <v>1753903</v>
      </c>
      <c r="DQ16" s="39">
        <v>42735</v>
      </c>
      <c r="DR16" s="16">
        <v>1753903</v>
      </c>
      <c r="DT16" s="39">
        <v>44012</v>
      </c>
      <c r="DU16" s="16">
        <v>1035980.4957370277</v>
      </c>
      <c r="DW16" s="39">
        <v>42735</v>
      </c>
      <c r="DX16" s="16">
        <v>2078517</v>
      </c>
      <c r="DZ16" s="39">
        <v>43100</v>
      </c>
      <c r="EA16" s="16">
        <v>11031809</v>
      </c>
      <c r="EC16" s="39">
        <v>43830</v>
      </c>
      <c r="ED16" s="16">
        <v>15934467</v>
      </c>
      <c r="EF16" s="39">
        <v>43830</v>
      </c>
      <c r="EG16" s="16">
        <v>15934467</v>
      </c>
      <c r="EI16" s="39">
        <v>42825</v>
      </c>
      <c r="EJ16" s="16">
        <v>2037509</v>
      </c>
      <c r="EL16" s="39">
        <v>42825</v>
      </c>
      <c r="EM16" s="16">
        <v>1603963</v>
      </c>
      <c r="EO16" s="39">
        <v>42735</v>
      </c>
      <c r="EP16" s="16">
        <v>2148923</v>
      </c>
      <c r="ER16" s="39">
        <v>42825</v>
      </c>
      <c r="ES16" s="16">
        <v>1995035</v>
      </c>
      <c r="EU16" s="39">
        <v>42825</v>
      </c>
      <c r="EV16" s="16">
        <v>2232593</v>
      </c>
      <c r="EX16" s="39">
        <v>42736</v>
      </c>
      <c r="EY16" s="16">
        <v>2671265</v>
      </c>
      <c r="FA16" s="39">
        <v>42916</v>
      </c>
      <c r="FB16" s="16">
        <v>6221174</v>
      </c>
      <c r="FD16" s="39">
        <v>43830</v>
      </c>
      <c r="FE16" s="16">
        <v>806097</v>
      </c>
      <c r="FG16" s="39">
        <v>43830</v>
      </c>
      <c r="FH16" s="16">
        <v>1032242</v>
      </c>
      <c r="FJ16" s="39">
        <v>43830</v>
      </c>
      <c r="FK16" s="16">
        <v>1495460</v>
      </c>
      <c r="FM16" s="39">
        <v>43646</v>
      </c>
      <c r="FN16" s="16">
        <v>5046227</v>
      </c>
      <c r="FP16" s="39">
        <v>43084</v>
      </c>
      <c r="FQ16" s="16">
        <v>23328712.399999999</v>
      </c>
      <c r="FS16" s="39">
        <v>43084</v>
      </c>
      <c r="FT16" s="16">
        <v>23328712.399999999</v>
      </c>
      <c r="FV16" s="39">
        <v>43084</v>
      </c>
      <c r="FW16" s="16">
        <v>23328712.399999999</v>
      </c>
      <c r="FY16" s="39">
        <v>43084</v>
      </c>
      <c r="FZ16" s="16">
        <v>23328712.399999999</v>
      </c>
      <c r="GB16" s="39">
        <v>43084</v>
      </c>
      <c r="GC16" s="16">
        <v>23328712.399999999</v>
      </c>
    </row>
    <row r="17" spans="1:185" x14ac:dyDescent="0.25">
      <c r="A17" s="2">
        <v>44043</v>
      </c>
      <c r="B17" s="3">
        <v>548571428.57142866</v>
      </c>
      <c r="C17" s="26"/>
      <c r="D17" s="2">
        <v>44043</v>
      </c>
      <c r="E17" s="3">
        <v>547037037.03703701</v>
      </c>
      <c r="F17" s="26"/>
      <c r="G17" s="2">
        <v>44043</v>
      </c>
      <c r="H17" s="3">
        <v>548571428.57142866</v>
      </c>
      <c r="I17" s="3"/>
      <c r="J17" s="2">
        <v>44043</v>
      </c>
      <c r="K17" s="3">
        <v>548571428.57142866</v>
      </c>
      <c r="L17" s="3"/>
      <c r="M17" s="2">
        <v>46599</v>
      </c>
      <c r="N17" s="3">
        <v>268500000</v>
      </c>
      <c r="O17" s="3"/>
      <c r="P17" s="2">
        <v>46599</v>
      </c>
      <c r="Q17" s="38">
        <v>388227272.72727281</v>
      </c>
      <c r="R17" s="38"/>
      <c r="S17" s="2">
        <v>44043</v>
      </c>
      <c r="T17" s="3">
        <v>590000000</v>
      </c>
      <c r="U17" s="3"/>
      <c r="V17" s="2">
        <v>44043</v>
      </c>
      <c r="W17" s="3">
        <v>590000000</v>
      </c>
      <c r="X17" s="3"/>
      <c r="Y17" s="2">
        <v>46599</v>
      </c>
      <c r="Z17" s="3">
        <v>358000000</v>
      </c>
      <c r="AA17" s="3"/>
      <c r="AB17" s="2">
        <v>46599</v>
      </c>
      <c r="AC17" s="3">
        <v>438000000</v>
      </c>
      <c r="AD17"/>
      <c r="AE17" s="2"/>
      <c r="AF17" s="3"/>
      <c r="AG17" s="3"/>
      <c r="AH17" s="2">
        <v>46599</v>
      </c>
      <c r="AI17" s="3">
        <v>100000000</v>
      </c>
      <c r="AJ17" s="3"/>
      <c r="AK17" s="24">
        <v>43890</v>
      </c>
      <c r="AL17" s="54">
        <v>32851078.242505267</v>
      </c>
      <c r="AM17" s="3"/>
      <c r="AN17" s="24">
        <v>43890</v>
      </c>
      <c r="AO17" s="54">
        <v>40036836407.06485</v>
      </c>
      <c r="AP17" s="3"/>
      <c r="AQ17" s="39">
        <v>41183</v>
      </c>
      <c r="AR17" s="16">
        <v>37636500</v>
      </c>
      <c r="AT17" s="39">
        <f t="shared" si="0"/>
        <v>43646</v>
      </c>
      <c r="AU17" s="16">
        <v>105918750</v>
      </c>
      <c r="AW17" s="39">
        <v>42916</v>
      </c>
      <c r="AX17" s="16">
        <v>959760</v>
      </c>
      <c r="AZ17" s="39">
        <v>42916</v>
      </c>
      <c r="BA17" s="16">
        <v>959760</v>
      </c>
      <c r="BC17" s="39">
        <v>42916</v>
      </c>
      <c r="BD17" s="16">
        <v>959760</v>
      </c>
      <c r="BF17" s="39">
        <v>42916</v>
      </c>
      <c r="BG17" s="16">
        <v>959760</v>
      </c>
      <c r="BI17" s="39">
        <v>42916</v>
      </c>
      <c r="BJ17" s="16">
        <v>959760</v>
      </c>
      <c r="BL17" s="39">
        <v>42916</v>
      </c>
      <c r="BM17" s="16">
        <v>959760</v>
      </c>
      <c r="BO17" s="39">
        <v>42916</v>
      </c>
      <c r="BP17" s="16">
        <v>959760</v>
      </c>
      <c r="BR17" s="39">
        <v>42916</v>
      </c>
      <c r="BS17" s="16">
        <v>959760</v>
      </c>
      <c r="BU17" s="39">
        <v>42916</v>
      </c>
      <c r="BV17" s="16">
        <v>959760</v>
      </c>
      <c r="BX17" s="39">
        <v>43738</v>
      </c>
      <c r="BY17" s="16">
        <v>510461.6796837335</v>
      </c>
      <c r="CA17" s="39">
        <v>42916</v>
      </c>
      <c r="CB17" s="16">
        <v>1312000</v>
      </c>
      <c r="CD17" s="39">
        <v>42916</v>
      </c>
      <c r="CE17" s="16">
        <v>1312000</v>
      </c>
      <c r="CG17" s="39">
        <v>42916</v>
      </c>
      <c r="CH17" s="16">
        <v>1312000</v>
      </c>
      <c r="CJ17" s="39">
        <v>42916</v>
      </c>
      <c r="CK17" s="16">
        <v>1312000</v>
      </c>
      <c r="CM17" s="39">
        <v>42916</v>
      </c>
      <c r="CN17" s="16">
        <v>1312000</v>
      </c>
      <c r="CP17" s="39">
        <v>44377</v>
      </c>
      <c r="CQ17" s="16">
        <v>446637.29326094897</v>
      </c>
      <c r="CS17" s="39">
        <v>44377</v>
      </c>
      <c r="CT17" s="16">
        <v>2616028.1676190468</v>
      </c>
      <c r="CV17" s="39">
        <v>44377</v>
      </c>
      <c r="CW17" s="16">
        <v>1403709.1840318663</v>
      </c>
      <c r="CY17" s="39">
        <v>43281</v>
      </c>
      <c r="CZ17" s="16">
        <v>11361717</v>
      </c>
      <c r="DB17" s="39">
        <v>43281</v>
      </c>
      <c r="DC17" s="16">
        <v>7141682</v>
      </c>
      <c r="DE17" s="39">
        <v>41305</v>
      </c>
      <c r="DF17" s="16">
        <v>314097616</v>
      </c>
      <c r="DH17" s="39">
        <v>42916</v>
      </c>
      <c r="DI17" s="16">
        <v>1658931</v>
      </c>
      <c r="DK17" s="39">
        <v>43830</v>
      </c>
      <c r="DL17" s="16">
        <v>2400825.9037770261</v>
      </c>
      <c r="DN17" s="39">
        <v>42916</v>
      </c>
      <c r="DO17" s="16">
        <v>1658931</v>
      </c>
      <c r="DQ17" s="39">
        <v>42916</v>
      </c>
      <c r="DR17" s="16">
        <v>1658931</v>
      </c>
      <c r="DT17" s="39">
        <v>44196</v>
      </c>
      <c r="DU17" s="16">
        <v>997378.79011316597</v>
      </c>
      <c r="DW17" s="39">
        <v>42916</v>
      </c>
      <c r="DX17" s="16">
        <v>2004988</v>
      </c>
      <c r="DZ17" s="39">
        <v>43281</v>
      </c>
      <c r="EA17" s="16">
        <v>10620343</v>
      </c>
      <c r="EC17" s="39">
        <v>44012</v>
      </c>
      <c r="ED17" s="16">
        <v>15192696</v>
      </c>
      <c r="EF17" s="39">
        <v>44012</v>
      </c>
      <c r="EG17" s="16">
        <v>15192696</v>
      </c>
      <c r="EI17" s="39">
        <v>42916</v>
      </c>
      <c r="EJ17" s="16">
        <v>1972177</v>
      </c>
      <c r="EL17" s="39">
        <v>42916</v>
      </c>
      <c r="EM17" s="16">
        <v>1553738</v>
      </c>
      <c r="EO17" s="39">
        <v>42825</v>
      </c>
      <c r="EP17" s="16">
        <v>2085484</v>
      </c>
      <c r="ER17" s="39">
        <v>42916</v>
      </c>
      <c r="ES17" s="16">
        <v>1932565</v>
      </c>
      <c r="EU17" s="39">
        <v>42916</v>
      </c>
      <c r="EV17" s="16">
        <v>2163745</v>
      </c>
      <c r="EX17" s="39">
        <v>42826</v>
      </c>
      <c r="EY17" s="16">
        <v>2629449</v>
      </c>
      <c r="FA17" s="39">
        <v>43100</v>
      </c>
      <c r="FB17" s="16">
        <v>6046766</v>
      </c>
      <c r="FD17" s="39">
        <v>44012</v>
      </c>
      <c r="FE17" s="16">
        <v>736120</v>
      </c>
      <c r="FG17" s="39">
        <v>44012</v>
      </c>
      <c r="FH17" s="16">
        <v>942429</v>
      </c>
      <c r="FJ17" s="39">
        <v>44012</v>
      </c>
      <c r="FK17" s="16">
        <v>1430632</v>
      </c>
      <c r="FM17" s="39">
        <v>43830</v>
      </c>
      <c r="FN17" s="16">
        <v>4902387</v>
      </c>
      <c r="FP17" s="39">
        <v>43266</v>
      </c>
      <c r="FQ17" s="16">
        <v>22658775</v>
      </c>
      <c r="FS17" s="39">
        <v>43266</v>
      </c>
      <c r="FT17" s="16">
        <v>22658775</v>
      </c>
      <c r="FV17" s="39">
        <v>43266</v>
      </c>
      <c r="FW17" s="16">
        <v>22658775</v>
      </c>
      <c r="FY17" s="39">
        <v>43266</v>
      </c>
      <c r="FZ17" s="16">
        <v>22658775</v>
      </c>
      <c r="GB17" s="39">
        <v>43266</v>
      </c>
      <c r="GC17" s="16">
        <v>22658775</v>
      </c>
    </row>
    <row r="18" spans="1:185" x14ac:dyDescent="0.25">
      <c r="A18" s="2">
        <v>44135</v>
      </c>
      <c r="B18" s="3">
        <v>540285714.28571439</v>
      </c>
      <c r="C18" s="26"/>
      <c r="D18" s="2">
        <v>44135</v>
      </c>
      <c r="E18" s="3">
        <v>538444444.44444442</v>
      </c>
      <c r="F18" s="26"/>
      <c r="G18" s="2">
        <v>44135</v>
      </c>
      <c r="H18" s="3">
        <v>540285714.28571439</v>
      </c>
      <c r="I18" s="3"/>
      <c r="J18" s="2">
        <v>44135</v>
      </c>
      <c r="K18" s="3">
        <v>540285714.28571439</v>
      </c>
      <c r="L18" s="3"/>
      <c r="M18" s="2">
        <v>46691</v>
      </c>
      <c r="N18" s="3">
        <v>250600000</v>
      </c>
      <c r="O18" s="3"/>
      <c r="P18" s="2">
        <v>46691</v>
      </c>
      <c r="Q18" s="38">
        <v>378272727.27272737</v>
      </c>
      <c r="R18" s="38"/>
      <c r="S18" s="2">
        <v>44135</v>
      </c>
      <c r="T18" s="3">
        <v>590000000</v>
      </c>
      <c r="U18" s="3"/>
      <c r="V18" s="2">
        <v>44135</v>
      </c>
      <c r="W18" s="3">
        <v>590000000</v>
      </c>
      <c r="X18" s="3"/>
      <c r="Y18" s="2">
        <v>46691</v>
      </c>
      <c r="Z18" s="3">
        <v>358000000</v>
      </c>
      <c r="AA18" s="3"/>
      <c r="AB18" s="2">
        <v>46691</v>
      </c>
      <c r="AC18" s="3">
        <v>438000000</v>
      </c>
      <c r="AD18"/>
      <c r="AE18" s="2"/>
      <c r="AF18" s="3"/>
      <c r="AG18" s="3"/>
      <c r="AH18" s="2">
        <v>46691</v>
      </c>
      <c r="AI18" s="3">
        <v>100000000</v>
      </c>
      <c r="AJ18" s="3"/>
      <c r="AK18" s="24">
        <v>43921</v>
      </c>
      <c r="AL18" s="54">
        <v>40802996.19853618</v>
      </c>
      <c r="AM18" s="3"/>
      <c r="AN18" s="24">
        <v>43921</v>
      </c>
      <c r="AO18" s="54">
        <v>49832366478.369461</v>
      </c>
      <c r="AP18" s="3"/>
      <c r="AQ18" s="39">
        <v>41365</v>
      </c>
      <c r="AR18" s="16">
        <v>36706000</v>
      </c>
      <c r="AT18" s="39">
        <f t="shared" si="0"/>
        <v>43829</v>
      </c>
      <c r="AU18" s="16">
        <v>103218750</v>
      </c>
      <c r="AW18" s="39">
        <v>43008</v>
      </c>
      <c r="AX18" s="16">
        <v>915520</v>
      </c>
      <c r="AZ18" s="39">
        <v>43008</v>
      </c>
      <c r="BA18" s="16">
        <v>915520</v>
      </c>
      <c r="BC18" s="39">
        <v>43008</v>
      </c>
      <c r="BD18" s="16">
        <v>915520</v>
      </c>
      <c r="BF18" s="39">
        <v>43008</v>
      </c>
      <c r="BG18" s="16">
        <v>915520</v>
      </c>
      <c r="BI18" s="39">
        <v>43008</v>
      </c>
      <c r="BJ18" s="16">
        <v>915520</v>
      </c>
      <c r="BL18" s="39">
        <v>43008</v>
      </c>
      <c r="BM18" s="16">
        <v>915520</v>
      </c>
      <c r="BO18" s="39">
        <v>43008</v>
      </c>
      <c r="BP18" s="16">
        <v>915520</v>
      </c>
      <c r="BR18" s="39">
        <v>43008</v>
      </c>
      <c r="BS18" s="16">
        <v>915520</v>
      </c>
      <c r="BU18" s="39">
        <v>43008</v>
      </c>
      <c r="BV18" s="16">
        <v>915520</v>
      </c>
      <c r="BX18" s="39">
        <v>43830</v>
      </c>
      <c r="BY18" s="16">
        <v>494260.50332658377</v>
      </c>
      <c r="CA18" s="39">
        <v>43008</v>
      </c>
      <c r="CB18" s="16">
        <v>1246200</v>
      </c>
      <c r="CD18" s="39">
        <v>43008</v>
      </c>
      <c r="CE18" s="16">
        <v>1246200</v>
      </c>
      <c r="CG18" s="39">
        <v>43008</v>
      </c>
      <c r="CH18" s="16">
        <v>1246200</v>
      </c>
      <c r="CJ18" s="39">
        <v>43008</v>
      </c>
      <c r="CK18" s="16">
        <v>1246200</v>
      </c>
      <c r="CM18" s="39">
        <v>43008</v>
      </c>
      <c r="CN18" s="16">
        <v>1246200</v>
      </c>
      <c r="CP18" s="39">
        <v>44561</v>
      </c>
      <c r="CQ18" s="16">
        <v>219654.07250035414</v>
      </c>
      <c r="CS18" s="39">
        <v>44561</v>
      </c>
      <c r="CT18" s="16">
        <v>1286550.0697395611</v>
      </c>
      <c r="CV18" s="39">
        <v>44561</v>
      </c>
      <c r="CW18" s="16">
        <v>690337.4248656967</v>
      </c>
      <c r="CY18" s="39">
        <v>43465</v>
      </c>
      <c r="CZ18" s="16">
        <v>10982654</v>
      </c>
      <c r="DB18" s="39">
        <v>43465</v>
      </c>
      <c r="DC18" s="16">
        <v>6891811</v>
      </c>
      <c r="DE18" s="39">
        <v>41486</v>
      </c>
      <c r="DF18" s="16">
        <v>301534925</v>
      </c>
      <c r="DH18" s="39">
        <v>43100</v>
      </c>
      <c r="DI18" s="16">
        <v>1575726</v>
      </c>
      <c r="DK18" s="39">
        <v>44012</v>
      </c>
      <c r="DL18" s="16">
        <v>2191512.9393542549</v>
      </c>
      <c r="DN18" s="39">
        <v>43100</v>
      </c>
      <c r="DO18" s="16">
        <v>1575726</v>
      </c>
      <c r="DQ18" s="39">
        <v>43100</v>
      </c>
      <c r="DR18" s="16">
        <v>1575726</v>
      </c>
      <c r="DT18" s="39">
        <v>44377</v>
      </c>
      <c r="DU18" s="16">
        <v>944508.40552147804</v>
      </c>
      <c r="DW18" s="39">
        <v>43100</v>
      </c>
      <c r="DX18" s="16">
        <v>1951361</v>
      </c>
      <c r="DZ18" s="39">
        <v>43465</v>
      </c>
      <c r="EA18" s="16">
        <v>10246510</v>
      </c>
      <c r="EC18" s="39">
        <v>44196</v>
      </c>
      <c r="ED18" s="16">
        <v>14474383</v>
      </c>
      <c r="EF18" s="39">
        <v>44196</v>
      </c>
      <c r="EG18" s="16">
        <v>14474383</v>
      </c>
      <c r="EI18" s="39">
        <v>43007</v>
      </c>
      <c r="EJ18" s="16">
        <v>1906134</v>
      </c>
      <c r="EL18" s="39">
        <v>43007</v>
      </c>
      <c r="EM18" s="16">
        <v>1503031</v>
      </c>
      <c r="EO18" s="39">
        <v>42916</v>
      </c>
      <c r="EP18" s="16">
        <v>2021173</v>
      </c>
      <c r="ER18" s="39">
        <v>43007</v>
      </c>
      <c r="ES18" s="16">
        <v>1869494</v>
      </c>
      <c r="EU18" s="39">
        <v>43007</v>
      </c>
      <c r="EV18" s="16">
        <v>2093951</v>
      </c>
      <c r="EX18" s="39">
        <v>42917</v>
      </c>
      <c r="EY18" s="16">
        <v>2587291</v>
      </c>
      <c r="FA18" s="39">
        <v>43281</v>
      </c>
      <c r="FB18" s="16">
        <v>5907674</v>
      </c>
      <c r="FD18" s="39">
        <v>44196</v>
      </c>
      <c r="FE18" s="16">
        <v>713574</v>
      </c>
      <c r="FG18" s="39">
        <v>44196</v>
      </c>
      <c r="FH18" s="16">
        <v>912643</v>
      </c>
      <c r="FJ18" s="39">
        <v>44196</v>
      </c>
      <c r="FK18" s="16">
        <v>1372619</v>
      </c>
      <c r="FM18" s="39">
        <v>44012</v>
      </c>
      <c r="FN18" s="16">
        <v>4708752</v>
      </c>
      <c r="FP18" s="39">
        <v>43449</v>
      </c>
      <c r="FQ18" s="16">
        <v>21973950</v>
      </c>
      <c r="FS18" s="39">
        <v>43449</v>
      </c>
      <c r="FT18" s="16">
        <v>21973950</v>
      </c>
      <c r="FV18" s="39">
        <v>43449</v>
      </c>
      <c r="FW18" s="16">
        <v>21973950</v>
      </c>
      <c r="FY18" s="39">
        <v>43449</v>
      </c>
      <c r="FZ18" s="16">
        <v>21973950</v>
      </c>
      <c r="GB18" s="39">
        <v>43449</v>
      </c>
      <c r="GC18" s="16">
        <v>21973950</v>
      </c>
    </row>
    <row r="19" spans="1:185" x14ac:dyDescent="0.25">
      <c r="A19" s="2">
        <v>44227</v>
      </c>
      <c r="B19" s="3">
        <v>532000000.00000012</v>
      </c>
      <c r="C19" s="26"/>
      <c r="D19" s="2">
        <v>44227</v>
      </c>
      <c r="E19" s="3">
        <v>529851851.85185182</v>
      </c>
      <c r="F19" s="26"/>
      <c r="G19" s="2">
        <v>44227</v>
      </c>
      <c r="H19" s="3">
        <v>532000000.00000012</v>
      </c>
      <c r="I19" s="3"/>
      <c r="J19" s="2">
        <v>44227</v>
      </c>
      <c r="K19" s="3">
        <v>532000000.00000012</v>
      </c>
      <c r="L19" s="3"/>
      <c r="M19" s="2">
        <v>46783</v>
      </c>
      <c r="N19" s="3">
        <v>232700000</v>
      </c>
      <c r="O19" s="3"/>
      <c r="P19" s="2">
        <v>46783</v>
      </c>
      <c r="Q19" s="38">
        <v>368318181.81818193</v>
      </c>
      <c r="R19" s="38"/>
      <c r="S19" s="2">
        <v>44227</v>
      </c>
      <c r="T19" s="3">
        <v>590000000</v>
      </c>
      <c r="U19" s="3"/>
      <c r="V19" s="2">
        <v>44227</v>
      </c>
      <c r="W19" s="3">
        <v>590000000</v>
      </c>
      <c r="X19" s="3"/>
      <c r="Y19" s="2">
        <v>46783</v>
      </c>
      <c r="Z19" s="3">
        <v>358000000</v>
      </c>
      <c r="AA19" s="3"/>
      <c r="AB19" s="2">
        <v>46783</v>
      </c>
      <c r="AC19" s="3">
        <v>438000000</v>
      </c>
      <c r="AD19"/>
      <c r="AE19" s="2"/>
      <c r="AF19" s="3"/>
      <c r="AG19" s="3"/>
      <c r="AH19" s="2">
        <v>46783</v>
      </c>
      <c r="AI19" s="3">
        <v>100000000</v>
      </c>
      <c r="AJ19" s="3"/>
      <c r="AK19" s="24">
        <v>43951</v>
      </c>
      <c r="AL19" s="54">
        <v>41517369.130178027</v>
      </c>
      <c r="AM19" s="3"/>
      <c r="AN19" s="24">
        <v>43951</v>
      </c>
      <c r="AO19" s="54">
        <v>50712363175.105576</v>
      </c>
      <c r="AP19" s="3"/>
      <c r="AQ19" s="39">
        <v>41548</v>
      </c>
      <c r="AR19" s="16">
        <v>35702500</v>
      </c>
      <c r="AT19" s="39">
        <f t="shared" si="0"/>
        <v>44012</v>
      </c>
      <c r="AU19" s="16">
        <v>100968750</v>
      </c>
      <c r="AW19" s="39">
        <v>43098</v>
      </c>
      <c r="AX19" s="16">
        <v>894720</v>
      </c>
      <c r="AZ19" s="39">
        <v>43098</v>
      </c>
      <c r="BA19" s="16">
        <v>894720</v>
      </c>
      <c r="BC19" s="39">
        <v>43098</v>
      </c>
      <c r="BD19" s="16">
        <v>894720</v>
      </c>
      <c r="BF19" s="39">
        <v>43098</v>
      </c>
      <c r="BG19" s="16">
        <v>894720</v>
      </c>
      <c r="BI19" s="39">
        <v>43098</v>
      </c>
      <c r="BJ19" s="16">
        <v>894720</v>
      </c>
      <c r="BL19" s="39">
        <v>43098</v>
      </c>
      <c r="BM19" s="16">
        <v>894720</v>
      </c>
      <c r="BO19" s="39">
        <v>43098</v>
      </c>
      <c r="BP19" s="16">
        <v>894720</v>
      </c>
      <c r="BR19" s="39">
        <v>43098</v>
      </c>
      <c r="BS19" s="16">
        <v>894720</v>
      </c>
      <c r="BU19" s="39">
        <v>43098</v>
      </c>
      <c r="BV19" s="16">
        <v>894720</v>
      </c>
      <c r="BX19" s="39">
        <v>43921</v>
      </c>
      <c r="BY19" s="16">
        <v>478059.32696943404</v>
      </c>
      <c r="CA19" s="39">
        <v>43098</v>
      </c>
      <c r="CB19" s="16">
        <v>1204840</v>
      </c>
      <c r="CD19" s="39">
        <v>43098</v>
      </c>
      <c r="CE19" s="16">
        <v>1204840</v>
      </c>
      <c r="CG19" s="39">
        <v>43098</v>
      </c>
      <c r="CH19" s="16">
        <v>1204840</v>
      </c>
      <c r="CJ19" s="39">
        <v>43098</v>
      </c>
      <c r="CK19" s="16">
        <v>1204840</v>
      </c>
      <c r="CM19" s="39">
        <v>43098</v>
      </c>
      <c r="CN19" s="16">
        <v>1204840</v>
      </c>
      <c r="CP19" s="39">
        <v>44742</v>
      </c>
      <c r="CQ19" s="16">
        <v>0</v>
      </c>
      <c r="CS19" s="39">
        <v>44742</v>
      </c>
      <c r="CT19" s="16">
        <v>0</v>
      </c>
      <c r="CV19" s="39">
        <v>44742</v>
      </c>
      <c r="CW19" s="16">
        <v>0</v>
      </c>
      <c r="CY19" s="39">
        <v>43646</v>
      </c>
      <c r="CZ19" s="16">
        <v>10583578</v>
      </c>
      <c r="DB19" s="39">
        <v>43646</v>
      </c>
      <c r="DC19" s="16">
        <v>6637548</v>
      </c>
      <c r="DE19" s="39">
        <v>41670</v>
      </c>
      <c r="DF19" s="16">
        <v>288685006</v>
      </c>
      <c r="DH19" s="39">
        <v>43281</v>
      </c>
      <c r="DI19" s="16">
        <v>1477880</v>
      </c>
      <c r="DK19" s="39">
        <v>44196</v>
      </c>
      <c r="DL19" s="16">
        <v>2004097.6758835593</v>
      </c>
      <c r="DN19" s="39">
        <v>43281</v>
      </c>
      <c r="DO19" s="16">
        <v>1477880</v>
      </c>
      <c r="DQ19" s="39">
        <v>43281</v>
      </c>
      <c r="DR19" s="16">
        <v>1477880</v>
      </c>
      <c r="DT19" s="39">
        <v>44561</v>
      </c>
      <c r="DU19" s="16">
        <v>903780.35661281704</v>
      </c>
      <c r="DW19" s="39">
        <v>43281</v>
      </c>
      <c r="DX19" s="16">
        <v>1876273</v>
      </c>
      <c r="DZ19" s="39">
        <v>43646</v>
      </c>
      <c r="EA19" s="16">
        <v>9821245</v>
      </c>
      <c r="EC19" s="39">
        <v>44377</v>
      </c>
      <c r="ED19" s="16">
        <v>13674460</v>
      </c>
      <c r="EF19" s="39">
        <v>44377</v>
      </c>
      <c r="EG19" s="16">
        <v>13674460</v>
      </c>
      <c r="EI19" s="39">
        <v>43098</v>
      </c>
      <c r="EJ19" s="16">
        <v>1839373</v>
      </c>
      <c r="EL19" s="39">
        <v>43098</v>
      </c>
      <c r="EM19" s="16">
        <v>1451837</v>
      </c>
      <c r="EO19" s="39">
        <v>43007</v>
      </c>
      <c r="EP19" s="16">
        <v>1955977</v>
      </c>
      <c r="ER19" s="39">
        <v>43098</v>
      </c>
      <c r="ES19" s="16">
        <v>1805818</v>
      </c>
      <c r="EU19" s="39">
        <v>43098</v>
      </c>
      <c r="EV19" s="16">
        <v>2023197</v>
      </c>
      <c r="EX19" s="39">
        <v>43009</v>
      </c>
      <c r="EY19" s="16">
        <v>2544788</v>
      </c>
      <c r="FA19" s="39">
        <v>43465</v>
      </c>
      <c r="FB19" s="16">
        <v>5727309</v>
      </c>
      <c r="FD19" s="39">
        <v>44377</v>
      </c>
      <c r="FE19" s="16">
        <v>651358</v>
      </c>
      <c r="FG19" s="39">
        <v>44377</v>
      </c>
      <c r="FH19" s="16">
        <v>837496</v>
      </c>
      <c r="FJ19" s="39">
        <v>44377</v>
      </c>
      <c r="FK19" s="16">
        <v>1303555</v>
      </c>
      <c r="FM19" s="39">
        <v>44196</v>
      </c>
      <c r="FN19" s="16">
        <v>4544848</v>
      </c>
      <c r="FP19" s="39">
        <v>43631</v>
      </c>
      <c r="FQ19" s="16">
        <v>21229575</v>
      </c>
      <c r="FS19" s="39">
        <v>43631</v>
      </c>
      <c r="FT19" s="16">
        <v>21229575</v>
      </c>
      <c r="FV19" s="39">
        <v>43631</v>
      </c>
      <c r="FW19" s="16">
        <v>21229575</v>
      </c>
      <c r="FY19" s="39">
        <v>43631</v>
      </c>
      <c r="FZ19" s="16">
        <v>21229575</v>
      </c>
      <c r="GB19" s="39">
        <v>43631</v>
      </c>
      <c r="GC19" s="16">
        <v>21229575</v>
      </c>
    </row>
    <row r="20" spans="1:185" x14ac:dyDescent="0.25">
      <c r="A20" s="2">
        <v>44316</v>
      </c>
      <c r="B20" s="3">
        <v>523714285.71428585</v>
      </c>
      <c r="C20" s="25"/>
      <c r="D20" s="2">
        <v>44316</v>
      </c>
      <c r="E20" s="3">
        <v>521259259.25925922</v>
      </c>
      <c r="F20" s="25"/>
      <c r="G20" s="2">
        <v>44316</v>
      </c>
      <c r="H20" s="3">
        <v>523714285.71428585</v>
      </c>
      <c r="I20" s="3"/>
      <c r="J20" s="2">
        <v>44316</v>
      </c>
      <c r="K20" s="3">
        <v>523714285.71428585</v>
      </c>
      <c r="L20" s="3"/>
      <c r="M20" s="2">
        <v>46873</v>
      </c>
      <c r="N20" s="3">
        <v>214800000</v>
      </c>
      <c r="O20" s="3"/>
      <c r="P20" s="2">
        <v>46873</v>
      </c>
      <c r="Q20" s="38">
        <v>358363636.36363649</v>
      </c>
      <c r="R20" s="38"/>
      <c r="S20" s="2">
        <v>44316</v>
      </c>
      <c r="T20" s="3">
        <v>590000000</v>
      </c>
      <c r="U20" s="3"/>
      <c r="V20" s="2">
        <v>44316</v>
      </c>
      <c r="W20" s="3">
        <v>590000000</v>
      </c>
      <c r="X20" s="3"/>
      <c r="Y20" s="2">
        <v>46873</v>
      </c>
      <c r="Z20" s="3">
        <v>358000000</v>
      </c>
      <c r="AA20" s="3"/>
      <c r="AB20" s="2">
        <v>46873</v>
      </c>
      <c r="AC20" s="3">
        <v>438000000</v>
      </c>
      <c r="AD20"/>
      <c r="AE20" s="2"/>
      <c r="AF20" s="3"/>
      <c r="AG20" s="3"/>
      <c r="AH20" s="2">
        <v>46873</v>
      </c>
      <c r="AI20" s="3">
        <v>0</v>
      </c>
      <c r="AJ20" s="3"/>
      <c r="AK20" s="24">
        <v>43982</v>
      </c>
      <c r="AL20" s="54">
        <v>42231742.061819874</v>
      </c>
      <c r="AM20" s="3"/>
      <c r="AN20" s="24">
        <v>43982</v>
      </c>
      <c r="AO20" s="54">
        <v>51592359871.841682</v>
      </c>
      <c r="AP20" s="3"/>
      <c r="AQ20" s="39">
        <v>41730</v>
      </c>
      <c r="AR20" s="16">
        <v>34699000</v>
      </c>
      <c r="AT20" s="39">
        <f t="shared" si="0"/>
        <v>44195</v>
      </c>
      <c r="AU20" s="16">
        <v>98718750</v>
      </c>
      <c r="AW20" s="39">
        <v>43188</v>
      </c>
      <c r="AX20" s="16">
        <v>873920</v>
      </c>
      <c r="AZ20" s="39">
        <v>43188</v>
      </c>
      <c r="BA20" s="16">
        <v>873920</v>
      </c>
      <c r="BC20" s="39">
        <v>43188</v>
      </c>
      <c r="BD20" s="16">
        <v>873920</v>
      </c>
      <c r="BF20" s="39">
        <v>43188</v>
      </c>
      <c r="BG20" s="16">
        <v>873920</v>
      </c>
      <c r="BI20" s="39">
        <v>43188</v>
      </c>
      <c r="BJ20" s="16">
        <v>873920</v>
      </c>
      <c r="BL20" s="39">
        <v>43188</v>
      </c>
      <c r="BM20" s="16">
        <v>873920</v>
      </c>
      <c r="BO20" s="39">
        <v>43188</v>
      </c>
      <c r="BP20" s="16">
        <v>873920</v>
      </c>
      <c r="BR20" s="39">
        <v>43188</v>
      </c>
      <c r="BS20" s="16">
        <v>873920</v>
      </c>
      <c r="BU20" s="39">
        <v>43188</v>
      </c>
      <c r="BV20" s="16">
        <v>873920</v>
      </c>
      <c r="BX20" s="39">
        <v>44012</v>
      </c>
      <c r="BY20" s="16">
        <v>443600.67110211169</v>
      </c>
      <c r="CA20" s="39">
        <v>43188</v>
      </c>
      <c r="CB20" s="16">
        <v>1182280</v>
      </c>
      <c r="CD20" s="39">
        <v>43188</v>
      </c>
      <c r="CE20" s="16">
        <v>1182280</v>
      </c>
      <c r="CG20" s="39">
        <v>43188</v>
      </c>
      <c r="CH20" s="16">
        <v>1182280</v>
      </c>
      <c r="CJ20" s="39">
        <v>43188</v>
      </c>
      <c r="CK20" s="16">
        <v>1182280</v>
      </c>
      <c r="CM20" s="39">
        <v>43188</v>
      </c>
      <c r="CN20" s="16">
        <v>1182280</v>
      </c>
      <c r="CP20" s="39"/>
      <c r="CQ20" s="16"/>
      <c r="CS20" s="39"/>
      <c r="CT20" s="16"/>
      <c r="CV20" s="39"/>
      <c r="CW20" s="16"/>
      <c r="CY20" s="39">
        <v>43830</v>
      </c>
      <c r="CZ20" s="16">
        <v>10194467</v>
      </c>
      <c r="DB20" s="39">
        <v>43830</v>
      </c>
      <c r="DC20" s="16">
        <v>6374546</v>
      </c>
      <c r="DE20" s="39">
        <v>41851</v>
      </c>
      <c r="DF20" s="16">
        <v>269061291</v>
      </c>
      <c r="DH20" s="39">
        <v>43465</v>
      </c>
      <c r="DI20" s="16">
        <v>1391337</v>
      </c>
      <c r="DK20" s="39">
        <v>44377</v>
      </c>
      <c r="DL20" s="16">
        <v>1786102.992427717</v>
      </c>
      <c r="DN20" s="39">
        <v>43465</v>
      </c>
      <c r="DO20" s="16">
        <v>1391337</v>
      </c>
      <c r="DQ20" s="39">
        <v>43465</v>
      </c>
      <c r="DR20" s="16">
        <v>1391337</v>
      </c>
      <c r="DT20" s="39">
        <v>44742</v>
      </c>
      <c r="DU20" s="16">
        <v>848865.51036069915</v>
      </c>
      <c r="DW20" s="39">
        <v>43465</v>
      </c>
      <c r="DX20" s="16">
        <v>1820419</v>
      </c>
      <c r="DZ20" s="39">
        <v>43830</v>
      </c>
      <c r="EA20" s="16">
        <v>9428596</v>
      </c>
      <c r="EC20" s="39">
        <v>44561</v>
      </c>
      <c r="ED20" s="16">
        <v>12907172</v>
      </c>
      <c r="EF20" s="39">
        <v>44561</v>
      </c>
      <c r="EG20" s="16">
        <v>12907172</v>
      </c>
      <c r="EI20" s="39">
        <v>43188</v>
      </c>
      <c r="EJ20" s="16">
        <v>1771886</v>
      </c>
      <c r="EL20" s="39">
        <v>43188</v>
      </c>
      <c r="EM20" s="16">
        <v>1399998</v>
      </c>
      <c r="EO20" s="39">
        <v>43098</v>
      </c>
      <c r="EP20" s="16">
        <v>1889885</v>
      </c>
      <c r="ER20" s="39">
        <v>43188</v>
      </c>
      <c r="ES20" s="16">
        <v>1741340</v>
      </c>
      <c r="EU20" s="39">
        <v>43188</v>
      </c>
      <c r="EV20" s="16">
        <v>1951469</v>
      </c>
      <c r="EX20" s="39">
        <v>43101</v>
      </c>
      <c r="EY20" s="16">
        <v>2501937</v>
      </c>
      <c r="FA20" s="39">
        <v>43646</v>
      </c>
      <c r="FB20" s="16">
        <v>5582980</v>
      </c>
      <c r="FD20" s="39">
        <v>44561</v>
      </c>
      <c r="FE20" s="16">
        <v>615014</v>
      </c>
      <c r="FG20" s="39">
        <v>44561</v>
      </c>
      <c r="FH20" s="16">
        <v>791834</v>
      </c>
      <c r="FJ20" s="39">
        <v>44561</v>
      </c>
      <c r="FK20" s="16">
        <v>1242226</v>
      </c>
      <c r="FM20" s="39">
        <v>44377</v>
      </c>
      <c r="FN20" s="16">
        <v>4335708</v>
      </c>
      <c r="FP20" s="39">
        <v>43814</v>
      </c>
      <c r="FQ20" s="16">
        <v>20485200</v>
      </c>
      <c r="FS20" s="39">
        <v>43814</v>
      </c>
      <c r="FT20" s="16">
        <v>20485200</v>
      </c>
      <c r="FV20" s="39">
        <v>43814</v>
      </c>
      <c r="FW20" s="16">
        <v>20485200</v>
      </c>
      <c r="FY20" s="39">
        <v>43814</v>
      </c>
      <c r="FZ20" s="16">
        <v>20485200</v>
      </c>
      <c r="GB20" s="39">
        <v>43814</v>
      </c>
      <c r="GC20" s="16">
        <v>20485200</v>
      </c>
    </row>
    <row r="21" spans="1:185" x14ac:dyDescent="0.25">
      <c r="A21" s="2">
        <v>44408</v>
      </c>
      <c r="B21" s="3">
        <v>515428571.42857158</v>
      </c>
      <c r="C21" s="25"/>
      <c r="D21" s="2">
        <v>44408</v>
      </c>
      <c r="E21" s="3">
        <v>512666666.66666663</v>
      </c>
      <c r="F21" s="25"/>
      <c r="G21" s="2">
        <v>44408</v>
      </c>
      <c r="H21" s="3">
        <v>515428571.42857158</v>
      </c>
      <c r="I21" s="3"/>
      <c r="J21" s="2">
        <v>44408</v>
      </c>
      <c r="K21" s="3">
        <v>515428571.42857158</v>
      </c>
      <c r="L21" s="3"/>
      <c r="M21" s="2">
        <v>46965</v>
      </c>
      <c r="N21" s="3">
        <v>196900000</v>
      </c>
      <c r="O21" s="3"/>
      <c r="P21" s="2">
        <v>46965</v>
      </c>
      <c r="Q21" s="38">
        <v>348409090.90909106</v>
      </c>
      <c r="R21" s="38"/>
      <c r="S21" s="2">
        <v>44408</v>
      </c>
      <c r="T21" s="3">
        <v>590000000</v>
      </c>
      <c r="U21" s="3"/>
      <c r="V21" s="2">
        <v>44408</v>
      </c>
      <c r="W21" s="3">
        <v>590000000</v>
      </c>
      <c r="X21" s="3"/>
      <c r="Y21" s="2">
        <v>46965</v>
      </c>
      <c r="Z21" s="3">
        <v>358000000</v>
      </c>
      <c r="AA21" s="3"/>
      <c r="AB21" s="2">
        <v>46965</v>
      </c>
      <c r="AC21" s="3">
        <v>438000000</v>
      </c>
      <c r="AD21"/>
      <c r="AE21" s="2"/>
      <c r="AF21" s="3"/>
      <c r="AG21" s="3"/>
      <c r="AH21" s="3"/>
      <c r="AI21" s="3"/>
      <c r="AJ21" s="3"/>
      <c r="AK21" s="24">
        <v>44012</v>
      </c>
      <c r="AL21" s="54">
        <v>48715721.517030768</v>
      </c>
      <c r="AM21" s="3"/>
      <c r="AN21" s="24">
        <v>44012</v>
      </c>
      <c r="AO21" s="54">
        <v>59579617296.582733</v>
      </c>
      <c r="AP21" s="3"/>
      <c r="AQ21" s="39">
        <v>41913</v>
      </c>
      <c r="AR21" s="16">
        <v>33591500</v>
      </c>
      <c r="AT21" s="39">
        <f t="shared" si="0"/>
        <v>44377</v>
      </c>
      <c r="AU21" s="16">
        <v>96018750</v>
      </c>
      <c r="AW21" s="39">
        <v>43280</v>
      </c>
      <c r="AX21" s="16">
        <v>829680</v>
      </c>
      <c r="AZ21" s="39">
        <v>43280</v>
      </c>
      <c r="BA21" s="16">
        <v>829680</v>
      </c>
      <c r="BC21" s="39">
        <v>43280</v>
      </c>
      <c r="BD21" s="16">
        <v>829680</v>
      </c>
      <c r="BF21" s="39">
        <v>43280</v>
      </c>
      <c r="BG21" s="16">
        <v>829680</v>
      </c>
      <c r="BI21" s="39">
        <v>43280</v>
      </c>
      <c r="BJ21" s="16">
        <v>829680</v>
      </c>
      <c r="BL21" s="39">
        <v>43280</v>
      </c>
      <c r="BM21" s="16">
        <v>829680</v>
      </c>
      <c r="BO21" s="39">
        <v>43280</v>
      </c>
      <c r="BP21" s="16">
        <v>829680</v>
      </c>
      <c r="BR21" s="39">
        <v>43280</v>
      </c>
      <c r="BS21" s="16">
        <v>829680</v>
      </c>
      <c r="BU21" s="39">
        <v>43280</v>
      </c>
      <c r="BV21" s="16">
        <v>829680</v>
      </c>
      <c r="BX21" s="39">
        <v>44104</v>
      </c>
      <c r="BY21" s="16">
        <v>409142.01523478935</v>
      </c>
      <c r="CA21" s="39">
        <v>43280</v>
      </c>
      <c r="CB21" s="16">
        <v>1124000</v>
      </c>
      <c r="CD21" s="39">
        <v>43280</v>
      </c>
      <c r="CE21" s="16">
        <v>1124000</v>
      </c>
      <c r="CG21" s="39">
        <v>43280</v>
      </c>
      <c r="CH21" s="16">
        <v>1124000</v>
      </c>
      <c r="CJ21" s="39">
        <v>43280</v>
      </c>
      <c r="CK21" s="16">
        <v>1124000</v>
      </c>
      <c r="CM21" s="39">
        <v>43280</v>
      </c>
      <c r="CN21" s="16">
        <v>1124000</v>
      </c>
      <c r="CP21" s="39"/>
      <c r="CQ21" s="16"/>
      <c r="CS21" s="39"/>
      <c r="CT21" s="16"/>
      <c r="CV21" s="39"/>
      <c r="CW21" s="16"/>
      <c r="CY21" s="39">
        <v>44012</v>
      </c>
      <c r="CZ21" s="16">
        <v>9769983</v>
      </c>
      <c r="DB21" s="39">
        <v>44012</v>
      </c>
      <c r="DC21" s="16">
        <v>6107346</v>
      </c>
      <c r="DE21" s="39">
        <v>42035</v>
      </c>
      <c r="DF21" s="16">
        <v>255933235</v>
      </c>
      <c r="DH21" s="39">
        <v>43646</v>
      </c>
      <c r="DI21" s="16">
        <v>1290234</v>
      </c>
      <c r="DK21" s="39">
        <v>44561</v>
      </c>
      <c r="DL21" s="16">
        <v>1589226.4230767812</v>
      </c>
      <c r="DN21" s="39">
        <v>43646</v>
      </c>
      <c r="DO21" s="16">
        <v>1290234</v>
      </c>
      <c r="DQ21" s="39">
        <v>43646</v>
      </c>
      <c r="DR21" s="16">
        <v>1290234</v>
      </c>
      <c r="DT21" s="39">
        <v>44926</v>
      </c>
      <c r="DU21" s="16">
        <v>777400.90492801426</v>
      </c>
      <c r="DW21" s="39">
        <v>43646</v>
      </c>
      <c r="DX21" s="16">
        <v>1743427</v>
      </c>
      <c r="DZ21" s="39">
        <v>44012</v>
      </c>
      <c r="EA21" s="16">
        <v>8988277</v>
      </c>
      <c r="EC21" s="39">
        <v>44742</v>
      </c>
      <c r="ED21" s="16">
        <v>12033295</v>
      </c>
      <c r="EF21" s="39">
        <v>44742</v>
      </c>
      <c r="EG21" s="16">
        <v>12033295</v>
      </c>
      <c r="EI21" s="39">
        <v>43280</v>
      </c>
      <c r="EJ21" s="16">
        <v>1703665</v>
      </c>
      <c r="EL21" s="39">
        <v>43280</v>
      </c>
      <c r="EM21" s="16">
        <v>1347962</v>
      </c>
      <c r="EO21" s="39">
        <v>43188</v>
      </c>
      <c r="EP21" s="16">
        <v>1822884</v>
      </c>
      <c r="ER21" s="39">
        <v>43280</v>
      </c>
      <c r="ES21" s="16">
        <v>1676616</v>
      </c>
      <c r="EU21" s="39">
        <v>43280</v>
      </c>
      <c r="EV21" s="16">
        <v>1878756</v>
      </c>
      <c r="EX21" s="39">
        <v>43191</v>
      </c>
      <c r="EY21" s="16">
        <v>2458736</v>
      </c>
      <c r="FA21" s="39">
        <v>43830</v>
      </c>
      <c r="FB21" s="16">
        <v>5392681</v>
      </c>
      <c r="FD21" s="39">
        <v>44742</v>
      </c>
      <c r="FE21" s="16">
        <v>545160</v>
      </c>
      <c r="FG21" s="39">
        <v>44742</v>
      </c>
      <c r="FH21" s="16">
        <v>705650</v>
      </c>
      <c r="FJ21" s="39">
        <v>44742</v>
      </c>
      <c r="FK21" s="16">
        <v>1172978</v>
      </c>
      <c r="FM21" s="39">
        <v>44561</v>
      </c>
      <c r="FN21" s="16">
        <v>4171137</v>
      </c>
      <c r="FP21" s="39">
        <v>43997</v>
      </c>
      <c r="FQ21" s="16">
        <v>19651500</v>
      </c>
      <c r="FS21" s="39">
        <v>43997</v>
      </c>
      <c r="FT21" s="16">
        <v>19651500</v>
      </c>
      <c r="FV21" s="39">
        <v>43997</v>
      </c>
      <c r="FW21" s="16">
        <v>19651500</v>
      </c>
      <c r="FY21" s="39">
        <v>43997</v>
      </c>
      <c r="FZ21" s="16">
        <v>19651500</v>
      </c>
      <c r="GB21" s="39">
        <v>43997</v>
      </c>
      <c r="GC21" s="16">
        <v>19651500</v>
      </c>
    </row>
    <row r="22" spans="1:185" x14ac:dyDescent="0.25">
      <c r="A22" s="2">
        <v>44500</v>
      </c>
      <c r="B22" s="3">
        <v>507142857.14285731</v>
      </c>
      <c r="C22" s="25"/>
      <c r="D22" s="2">
        <v>44500</v>
      </c>
      <c r="E22" s="3">
        <v>504074074.07407403</v>
      </c>
      <c r="F22" s="25"/>
      <c r="G22" s="2">
        <v>44500</v>
      </c>
      <c r="H22" s="3">
        <v>507142857.14285731</v>
      </c>
      <c r="I22" s="3"/>
      <c r="J22" s="2">
        <v>44500</v>
      </c>
      <c r="K22" s="3">
        <v>507142857.14285731</v>
      </c>
      <c r="L22" s="3"/>
      <c r="M22" s="2">
        <v>47057</v>
      </c>
      <c r="N22" s="3">
        <v>179000000</v>
      </c>
      <c r="O22" s="3"/>
      <c r="P22" s="2">
        <v>47057</v>
      </c>
      <c r="Q22" s="38">
        <v>338454545.45454562</v>
      </c>
      <c r="R22" s="38"/>
      <c r="S22" s="2">
        <v>44500</v>
      </c>
      <c r="T22" s="3">
        <v>590000000</v>
      </c>
      <c r="U22" s="3"/>
      <c r="V22" s="2">
        <v>44500</v>
      </c>
      <c r="W22" s="3">
        <v>590000000</v>
      </c>
      <c r="X22" s="3"/>
      <c r="Y22" s="2">
        <v>47057</v>
      </c>
      <c r="Z22" s="3">
        <v>358000000</v>
      </c>
      <c r="AA22" s="3"/>
      <c r="AB22" s="2">
        <v>47057</v>
      </c>
      <c r="AC22" s="3">
        <v>438000000</v>
      </c>
      <c r="AD22"/>
      <c r="AE22" s="2"/>
      <c r="AF22" s="3"/>
      <c r="AG22" s="3"/>
      <c r="AH22" s="3"/>
      <c r="AI22" s="3"/>
      <c r="AJ22" s="3"/>
      <c r="AK22" s="24">
        <v>44043</v>
      </c>
      <c r="AL22" s="54">
        <v>49430094.448672615</v>
      </c>
      <c r="AM22" s="3"/>
      <c r="AN22" s="24">
        <v>44043</v>
      </c>
      <c r="AO22" s="54">
        <v>60459613993.318848</v>
      </c>
      <c r="AP22" s="3"/>
      <c r="AQ22" s="39">
        <v>42095</v>
      </c>
      <c r="AR22" s="16">
        <v>32484000</v>
      </c>
      <c r="AT22" s="39">
        <f t="shared" si="0"/>
        <v>44560</v>
      </c>
      <c r="AU22" s="16">
        <v>93318750</v>
      </c>
      <c r="AW22" s="39">
        <v>43371</v>
      </c>
      <c r="AX22" s="16">
        <v>785440</v>
      </c>
      <c r="AZ22" s="39">
        <v>43371</v>
      </c>
      <c r="BA22" s="16">
        <v>785440</v>
      </c>
      <c r="BC22" s="39">
        <v>43371</v>
      </c>
      <c r="BD22" s="16">
        <v>785440</v>
      </c>
      <c r="BF22" s="39">
        <v>43371</v>
      </c>
      <c r="BG22" s="16">
        <v>785440</v>
      </c>
      <c r="BI22" s="39">
        <v>43371</v>
      </c>
      <c r="BJ22" s="16">
        <v>785440</v>
      </c>
      <c r="BL22" s="39">
        <v>43371</v>
      </c>
      <c r="BM22" s="16">
        <v>785440</v>
      </c>
      <c r="BO22" s="39">
        <v>43371</v>
      </c>
      <c r="BP22" s="16">
        <v>785440</v>
      </c>
      <c r="BR22" s="39">
        <v>43371</v>
      </c>
      <c r="BS22" s="16">
        <v>785440</v>
      </c>
      <c r="BU22" s="39">
        <v>43371</v>
      </c>
      <c r="BV22" s="16">
        <v>785440</v>
      </c>
      <c r="BX22" s="39">
        <v>44196</v>
      </c>
      <c r="BY22" s="16">
        <v>392940.83887763962</v>
      </c>
      <c r="CA22" s="39">
        <v>43371</v>
      </c>
      <c r="CB22" s="16">
        <v>1058200</v>
      </c>
      <c r="CD22" s="39">
        <v>43371</v>
      </c>
      <c r="CE22" s="16">
        <v>1058200</v>
      </c>
      <c r="CG22" s="39">
        <v>43371</v>
      </c>
      <c r="CH22" s="16">
        <v>1058200</v>
      </c>
      <c r="CJ22" s="39">
        <v>43371</v>
      </c>
      <c r="CK22" s="16">
        <v>1058200</v>
      </c>
      <c r="CM22" s="39">
        <v>43371</v>
      </c>
      <c r="CN22" s="16">
        <v>1058200</v>
      </c>
      <c r="CP22" s="39"/>
      <c r="CQ22" s="16"/>
      <c r="CS22" s="39"/>
      <c r="CT22" s="16"/>
      <c r="CV22" s="39"/>
      <c r="CW22" s="16"/>
      <c r="CY22" s="39">
        <v>44196</v>
      </c>
      <c r="CZ22" s="16">
        <v>9342622</v>
      </c>
      <c r="DB22" s="39">
        <v>44196</v>
      </c>
      <c r="DC22" s="16">
        <v>5831580</v>
      </c>
      <c r="DE22" s="39">
        <v>42216</v>
      </c>
      <c r="DF22" s="16">
        <v>231675807</v>
      </c>
      <c r="DH22" s="39">
        <v>43830</v>
      </c>
      <c r="DI22" s="16">
        <v>1200413</v>
      </c>
      <c r="DK22" s="39">
        <v>44742</v>
      </c>
      <c r="DL22" s="16">
        <v>1361833.0119360653</v>
      </c>
      <c r="DN22" s="39">
        <v>43830</v>
      </c>
      <c r="DO22" s="16">
        <v>1200413</v>
      </c>
      <c r="DQ22" s="39">
        <v>43830</v>
      </c>
      <c r="DR22" s="16">
        <v>1200413</v>
      </c>
      <c r="DT22" s="39">
        <v>45107</v>
      </c>
      <c r="DU22" s="16">
        <v>749273.59985140758</v>
      </c>
      <c r="DW22" s="39">
        <v>43830</v>
      </c>
      <c r="DX22" s="16">
        <v>1685852</v>
      </c>
      <c r="DZ22" s="39">
        <v>44196</v>
      </c>
      <c r="EA22" s="16">
        <v>8580574</v>
      </c>
      <c r="EC22" s="39">
        <v>44926</v>
      </c>
      <c r="ED22" s="16">
        <v>11200345</v>
      </c>
      <c r="EF22" s="39">
        <v>44926</v>
      </c>
      <c r="EG22" s="16">
        <v>11200345</v>
      </c>
      <c r="EI22" s="39">
        <v>43371</v>
      </c>
      <c r="EJ22" s="16">
        <v>1634702</v>
      </c>
      <c r="EL22" s="39">
        <v>43371</v>
      </c>
      <c r="EM22" s="16">
        <v>1295278</v>
      </c>
      <c r="EO22" s="39">
        <v>43280</v>
      </c>
      <c r="EP22" s="16">
        <v>1754962</v>
      </c>
      <c r="ER22" s="39">
        <v>43371</v>
      </c>
      <c r="ES22" s="16">
        <v>1611088</v>
      </c>
      <c r="EU22" s="39">
        <v>43371</v>
      </c>
      <c r="EV22" s="16">
        <v>1805043</v>
      </c>
      <c r="EX22" s="39">
        <v>43282</v>
      </c>
      <c r="EY22" s="16">
        <v>2415182</v>
      </c>
      <c r="FA22" s="39">
        <v>44012</v>
      </c>
      <c r="FB22" s="16">
        <v>5235150</v>
      </c>
      <c r="FD22" s="39">
        <v>44926</v>
      </c>
      <c r="FE22" s="16">
        <v>508323</v>
      </c>
      <c r="FG22" s="39">
        <v>44926</v>
      </c>
      <c r="FH22" s="16">
        <v>657115</v>
      </c>
      <c r="FJ22" s="39">
        <v>44926</v>
      </c>
      <c r="FK22" s="16">
        <v>1108335</v>
      </c>
      <c r="FM22" s="39">
        <v>44742</v>
      </c>
      <c r="FN22" s="16">
        <v>3955066</v>
      </c>
      <c r="FP22" s="39">
        <v>44180</v>
      </c>
      <c r="FQ22" s="16">
        <v>18817800</v>
      </c>
      <c r="FS22" s="39">
        <v>44180</v>
      </c>
      <c r="FT22" s="16">
        <v>18817800</v>
      </c>
      <c r="FV22" s="39">
        <v>44180</v>
      </c>
      <c r="FW22" s="16">
        <v>18817800</v>
      </c>
      <c r="FY22" s="39">
        <v>44180</v>
      </c>
      <c r="FZ22" s="16">
        <v>18817800</v>
      </c>
      <c r="GB22" s="39">
        <v>44180</v>
      </c>
      <c r="GC22" s="16">
        <v>18817800</v>
      </c>
    </row>
    <row r="23" spans="1:185" x14ac:dyDescent="0.25">
      <c r="A23" s="2">
        <v>44592</v>
      </c>
      <c r="B23" s="3">
        <v>498857142.85714304</v>
      </c>
      <c r="C23" s="25"/>
      <c r="D23" s="2">
        <v>44592</v>
      </c>
      <c r="E23" s="3">
        <v>495481481.48148143</v>
      </c>
      <c r="F23" s="25"/>
      <c r="G23" s="2">
        <v>44592</v>
      </c>
      <c r="H23" s="3">
        <v>498857142.85714304</v>
      </c>
      <c r="I23" s="3"/>
      <c r="J23" s="2">
        <v>44592</v>
      </c>
      <c r="K23" s="3">
        <v>498857142.85714304</v>
      </c>
      <c r="L23" s="3"/>
      <c r="M23" s="2">
        <v>47149</v>
      </c>
      <c r="N23" s="3">
        <v>161100000</v>
      </c>
      <c r="O23" s="3"/>
      <c r="P23" s="2">
        <v>47149</v>
      </c>
      <c r="Q23" s="38">
        <v>328500000.00000018</v>
      </c>
      <c r="R23" s="38"/>
      <c r="S23" s="2">
        <v>44592</v>
      </c>
      <c r="T23" s="3">
        <v>590000000</v>
      </c>
      <c r="U23" s="3"/>
      <c r="V23" s="2">
        <v>44592</v>
      </c>
      <c r="W23" s="3">
        <v>590000000</v>
      </c>
      <c r="X23" s="3"/>
      <c r="Y23" s="43">
        <v>47118</v>
      </c>
      <c r="Z23" s="3">
        <v>0</v>
      </c>
      <c r="AA23" s="3"/>
      <c r="AB23" s="2">
        <v>47149</v>
      </c>
      <c r="AC23" s="3">
        <v>438000000</v>
      </c>
      <c r="AD23"/>
      <c r="AE23" s="2"/>
      <c r="AF23" s="3"/>
      <c r="AG23" s="3"/>
      <c r="AH23" s="3"/>
      <c r="AI23" s="3"/>
      <c r="AJ23" s="3"/>
      <c r="AK23" s="24">
        <v>44074</v>
      </c>
      <c r="AL23" s="54">
        <v>50144467.380314462</v>
      </c>
      <c r="AM23" s="3"/>
      <c r="AN23" s="24">
        <v>44074</v>
      </c>
      <c r="AO23" s="54">
        <v>61339610690.054955</v>
      </c>
      <c r="AP23" s="3"/>
      <c r="AQ23" s="39">
        <v>42278</v>
      </c>
      <c r="AR23" s="16">
        <v>31264000</v>
      </c>
      <c r="AT23" s="39">
        <f t="shared" si="0"/>
        <v>44742</v>
      </c>
      <c r="AU23" s="16">
        <v>89212500</v>
      </c>
      <c r="AW23" s="39">
        <v>43465</v>
      </c>
      <c r="AX23" s="16">
        <v>764640</v>
      </c>
      <c r="AZ23" s="39">
        <v>43465</v>
      </c>
      <c r="BA23" s="16">
        <v>764640</v>
      </c>
      <c r="BC23" s="39">
        <v>43465</v>
      </c>
      <c r="BD23" s="16">
        <v>764640</v>
      </c>
      <c r="BF23" s="39">
        <v>43465</v>
      </c>
      <c r="BG23" s="16">
        <v>764640</v>
      </c>
      <c r="BI23" s="39">
        <v>43465</v>
      </c>
      <c r="BJ23" s="16">
        <v>764640</v>
      </c>
      <c r="BL23" s="39">
        <v>43465</v>
      </c>
      <c r="BM23" s="16">
        <v>764640</v>
      </c>
      <c r="BO23" s="39">
        <v>43465</v>
      </c>
      <c r="BP23" s="16">
        <v>764640</v>
      </c>
      <c r="BR23" s="39">
        <v>43465</v>
      </c>
      <c r="BS23" s="16">
        <v>764640</v>
      </c>
      <c r="BU23" s="39">
        <v>43465</v>
      </c>
      <c r="BV23" s="16">
        <v>764640</v>
      </c>
      <c r="BX23" s="39">
        <v>44286</v>
      </c>
      <c r="BY23" s="16">
        <v>376739.66252048989</v>
      </c>
      <c r="CA23" s="39">
        <v>43465</v>
      </c>
      <c r="CB23" s="16">
        <v>1016840</v>
      </c>
      <c r="CD23" s="39">
        <v>43465</v>
      </c>
      <c r="CE23" s="16">
        <v>1016840</v>
      </c>
      <c r="CG23" s="39">
        <v>43465</v>
      </c>
      <c r="CH23" s="16">
        <v>1016840</v>
      </c>
      <c r="CJ23" s="39">
        <v>43465</v>
      </c>
      <c r="CK23" s="16">
        <v>1016840</v>
      </c>
      <c r="CM23" s="39">
        <v>43465</v>
      </c>
      <c r="CN23" s="16">
        <v>1016840</v>
      </c>
      <c r="CP23" s="39"/>
      <c r="CQ23" s="16"/>
      <c r="CS23" s="39"/>
      <c r="CT23" s="16"/>
      <c r="CV23" s="39"/>
      <c r="CW23" s="16"/>
      <c r="CY23" s="39">
        <v>44377</v>
      </c>
      <c r="CZ23" s="16">
        <v>8900171</v>
      </c>
      <c r="DB23" s="39">
        <v>44377</v>
      </c>
      <c r="DC23" s="16">
        <v>5555711</v>
      </c>
      <c r="DE23" s="39">
        <v>42400</v>
      </c>
      <c r="DF23" s="16">
        <v>177659110</v>
      </c>
      <c r="DH23" s="39">
        <v>44012</v>
      </c>
      <c r="DI23" s="16">
        <v>1095756</v>
      </c>
      <c r="DK23" s="39">
        <v>44926</v>
      </c>
      <c r="DL23" s="16">
        <v>1155803.878991347</v>
      </c>
      <c r="DN23" s="39">
        <v>44012</v>
      </c>
      <c r="DO23" s="16">
        <v>1095756</v>
      </c>
      <c r="DQ23" s="39">
        <v>44012</v>
      </c>
      <c r="DR23" s="16">
        <v>1095756</v>
      </c>
      <c r="DT23" s="39">
        <v>45291</v>
      </c>
      <c r="DU23" s="16">
        <v>704644.89088421571</v>
      </c>
      <c r="DW23" s="39">
        <v>44012</v>
      </c>
      <c r="DX23" s="16">
        <v>1606826</v>
      </c>
      <c r="DZ23" s="39">
        <v>44377</v>
      </c>
      <c r="EA23" s="16">
        <v>8122693</v>
      </c>
      <c r="EC23" s="39">
        <v>45107</v>
      </c>
      <c r="ED23" s="16">
        <v>10244416</v>
      </c>
      <c r="EF23" s="39">
        <v>45107</v>
      </c>
      <c r="EG23" s="16">
        <v>10244416</v>
      </c>
      <c r="EI23" s="39">
        <v>43465</v>
      </c>
      <c r="EJ23" s="16">
        <v>1564989</v>
      </c>
      <c r="EL23" s="39">
        <v>43465</v>
      </c>
      <c r="EM23" s="16">
        <v>1242498</v>
      </c>
      <c r="EO23" s="39">
        <v>43371</v>
      </c>
      <c r="EP23" s="16">
        <v>1686106</v>
      </c>
      <c r="ER23" s="39">
        <v>43465</v>
      </c>
      <c r="ES23" s="16">
        <v>1545440</v>
      </c>
      <c r="EU23" s="39">
        <v>43465</v>
      </c>
      <c r="EV23" s="16">
        <v>1730316</v>
      </c>
      <c r="EX23" s="39">
        <v>43374</v>
      </c>
      <c r="EY23" s="16">
        <v>2371271</v>
      </c>
      <c r="FA23" s="39">
        <v>44196</v>
      </c>
      <c r="FB23" s="16">
        <v>5027500</v>
      </c>
      <c r="FD23" s="39">
        <v>45107</v>
      </c>
      <c r="FE23" s="16">
        <v>440440</v>
      </c>
      <c r="FG23" s="39">
        <v>45107</v>
      </c>
      <c r="FH23" s="16">
        <v>573048</v>
      </c>
      <c r="FJ23" s="39">
        <v>45107</v>
      </c>
      <c r="FK23" s="16">
        <v>1034114</v>
      </c>
      <c r="FM23" s="39">
        <v>44926</v>
      </c>
      <c r="FN23" s="16">
        <v>3773438</v>
      </c>
      <c r="FP23" s="39">
        <v>44362</v>
      </c>
      <c r="FQ23" s="16">
        <v>17924550</v>
      </c>
      <c r="FS23" s="39">
        <v>44362</v>
      </c>
      <c r="FT23" s="16">
        <v>17924550</v>
      </c>
      <c r="FV23" s="39">
        <v>44362</v>
      </c>
      <c r="FW23" s="16">
        <v>17924550</v>
      </c>
      <c r="FY23" s="39">
        <v>44362</v>
      </c>
      <c r="FZ23" s="16">
        <v>17924550</v>
      </c>
      <c r="GB23" s="39">
        <v>44362</v>
      </c>
      <c r="GC23" s="16">
        <v>17924550</v>
      </c>
    </row>
    <row r="24" spans="1:185" x14ac:dyDescent="0.25">
      <c r="A24" s="2">
        <v>44681</v>
      </c>
      <c r="B24" s="3">
        <v>490571428.57142878</v>
      </c>
      <c r="C24" s="25"/>
      <c r="D24" s="2">
        <v>44681</v>
      </c>
      <c r="E24" s="3">
        <v>486888888.88888884</v>
      </c>
      <c r="F24" s="25"/>
      <c r="G24" s="2">
        <v>44681</v>
      </c>
      <c r="H24" s="3">
        <v>490571428.57142878</v>
      </c>
      <c r="I24" s="3"/>
      <c r="J24" s="2">
        <v>44681</v>
      </c>
      <c r="K24" s="3">
        <v>490571428.57142878</v>
      </c>
      <c r="L24" s="3"/>
      <c r="M24" s="2">
        <v>47238</v>
      </c>
      <c r="N24" s="3">
        <v>143200000</v>
      </c>
      <c r="O24" s="3"/>
      <c r="P24" s="2">
        <v>47238</v>
      </c>
      <c r="Q24" s="38">
        <v>318545454.54545474</v>
      </c>
      <c r="R24" s="38"/>
      <c r="S24" s="2">
        <v>44681</v>
      </c>
      <c r="T24" s="3">
        <v>590000000</v>
      </c>
      <c r="U24" s="3"/>
      <c r="V24" s="2">
        <v>44681</v>
      </c>
      <c r="W24" s="3">
        <v>590000000</v>
      </c>
      <c r="X24" s="3"/>
      <c r="Y24" s="3"/>
      <c r="Z24" s="3"/>
      <c r="AA24" s="3"/>
      <c r="AB24" s="2">
        <v>47238</v>
      </c>
      <c r="AC24" s="3">
        <v>438000000</v>
      </c>
      <c r="AD24"/>
      <c r="AE24" s="2"/>
      <c r="AF24" s="3"/>
      <c r="AG24" s="3"/>
      <c r="AH24" s="3"/>
      <c r="AI24" s="3"/>
      <c r="AJ24" s="3"/>
      <c r="AK24" s="24">
        <v>44104</v>
      </c>
      <c r="AL24" s="54">
        <v>52844808.28165973</v>
      </c>
      <c r="AM24" s="3"/>
      <c r="AN24" s="24">
        <v>44104</v>
      </c>
      <c r="AO24" s="54">
        <v>64666012024.696518</v>
      </c>
      <c r="AP24" s="3"/>
      <c r="AQ24" s="39">
        <v>42461</v>
      </c>
      <c r="AR24" s="16">
        <v>30044000</v>
      </c>
      <c r="AT24" s="39">
        <f t="shared" si="0"/>
        <v>44925</v>
      </c>
      <c r="AU24" s="16">
        <v>85106250</v>
      </c>
      <c r="AW24" s="39">
        <v>43553</v>
      </c>
      <c r="AX24" s="16">
        <v>743840</v>
      </c>
      <c r="AZ24" s="39">
        <v>43553</v>
      </c>
      <c r="BA24" s="16">
        <v>743840</v>
      </c>
      <c r="BC24" s="39">
        <v>43553</v>
      </c>
      <c r="BD24" s="16">
        <v>743840</v>
      </c>
      <c r="BF24" s="39">
        <v>43553</v>
      </c>
      <c r="BG24" s="16">
        <v>743840</v>
      </c>
      <c r="BI24" s="39">
        <v>43553</v>
      </c>
      <c r="BJ24" s="16">
        <v>743840</v>
      </c>
      <c r="BL24" s="39">
        <v>43553</v>
      </c>
      <c r="BM24" s="16">
        <v>743840</v>
      </c>
      <c r="BO24" s="39">
        <v>43553</v>
      </c>
      <c r="BP24" s="16">
        <v>743840</v>
      </c>
      <c r="BR24" s="39">
        <v>43553</v>
      </c>
      <c r="BS24" s="16">
        <v>743840</v>
      </c>
      <c r="BU24" s="39">
        <v>43553</v>
      </c>
      <c r="BV24" s="16">
        <v>743840</v>
      </c>
      <c r="BX24" s="39">
        <v>44377</v>
      </c>
      <c r="BY24" s="16">
        <v>342281.00665316754</v>
      </c>
      <c r="CA24" s="39">
        <v>43553</v>
      </c>
      <c r="CB24" s="16">
        <v>994280</v>
      </c>
      <c r="CD24" s="39">
        <v>43553</v>
      </c>
      <c r="CE24" s="16">
        <v>994280</v>
      </c>
      <c r="CG24" s="39">
        <v>43553</v>
      </c>
      <c r="CH24" s="16">
        <v>994280</v>
      </c>
      <c r="CJ24" s="39">
        <v>43553</v>
      </c>
      <c r="CK24" s="16">
        <v>994280</v>
      </c>
      <c r="CM24" s="39">
        <v>43553</v>
      </c>
      <c r="CN24" s="16">
        <v>994280</v>
      </c>
      <c r="CP24" s="39"/>
      <c r="CQ24" s="16"/>
      <c r="CS24" s="39"/>
      <c r="CT24" s="16"/>
      <c r="CV24" s="39"/>
      <c r="CW24" s="16"/>
      <c r="CY24" s="39">
        <v>44561</v>
      </c>
      <c r="CZ24" s="16">
        <v>8458255</v>
      </c>
      <c r="DB24" s="39">
        <v>44561</v>
      </c>
      <c r="DC24" s="16">
        <v>5267511</v>
      </c>
      <c r="DE24" s="39">
        <v>42582</v>
      </c>
      <c r="DF24" s="16">
        <v>166748667</v>
      </c>
      <c r="DH24" s="39">
        <v>44196</v>
      </c>
      <c r="DI24" s="16">
        <v>1002048</v>
      </c>
      <c r="DK24" s="39">
        <v>45107</v>
      </c>
      <c r="DL24" s="16">
        <v>919092.3576821154</v>
      </c>
      <c r="DN24" s="39">
        <v>44196</v>
      </c>
      <c r="DO24" s="16">
        <v>1002048</v>
      </c>
      <c r="DQ24" s="39">
        <v>44196</v>
      </c>
      <c r="DR24" s="16">
        <v>1002048</v>
      </c>
      <c r="DT24" s="39">
        <v>45473</v>
      </c>
      <c r="DU24" s="16">
        <v>645011.213067075</v>
      </c>
      <c r="DW24" s="39">
        <v>44196</v>
      </c>
      <c r="DX24" s="16">
        <v>1546954</v>
      </c>
      <c r="DZ24" s="39">
        <v>44561</v>
      </c>
      <c r="EA24" s="16">
        <v>7698682</v>
      </c>
      <c r="EC24" s="39">
        <v>45291</v>
      </c>
      <c r="ED24" s="16">
        <v>9338710</v>
      </c>
      <c r="EF24" s="39">
        <v>45291</v>
      </c>
      <c r="EG24" s="16">
        <v>9338710</v>
      </c>
      <c r="EI24" s="39">
        <v>43555</v>
      </c>
      <c r="EJ24" s="16">
        <v>1494518</v>
      </c>
      <c r="EL24" s="39">
        <v>43555</v>
      </c>
      <c r="EM24" s="16">
        <v>1188408</v>
      </c>
      <c r="EO24" s="39">
        <v>43465</v>
      </c>
      <c r="EP24" s="16">
        <v>1616303</v>
      </c>
      <c r="ER24" s="39">
        <v>43555</v>
      </c>
      <c r="ES24" s="16">
        <v>1478161</v>
      </c>
      <c r="EU24" s="39">
        <v>43555</v>
      </c>
      <c r="EV24" s="16">
        <v>1654562</v>
      </c>
      <c r="EX24" s="39">
        <v>43466</v>
      </c>
      <c r="EY24" s="16">
        <v>2327002</v>
      </c>
      <c r="FA24" s="39">
        <v>44377</v>
      </c>
      <c r="FB24" s="16">
        <v>4852423</v>
      </c>
      <c r="FD24" s="39">
        <v>45291</v>
      </c>
      <c r="FE24" s="16">
        <v>403110</v>
      </c>
      <c r="FG24" s="39">
        <v>45291</v>
      </c>
      <c r="FH24" s="16">
        <v>523605</v>
      </c>
      <c r="FJ24" s="39">
        <v>45291</v>
      </c>
      <c r="FK24" s="16">
        <v>965234</v>
      </c>
      <c r="FM24" s="39">
        <v>45107</v>
      </c>
      <c r="FN24" s="16">
        <v>3534222</v>
      </c>
      <c r="FP24" s="39">
        <v>44545</v>
      </c>
      <c r="FQ24" s="16">
        <v>17031300</v>
      </c>
      <c r="FS24" s="39">
        <v>44545</v>
      </c>
      <c r="FT24" s="16">
        <v>17031300</v>
      </c>
      <c r="FV24" s="39">
        <v>44545</v>
      </c>
      <c r="FW24" s="16">
        <v>17031300</v>
      </c>
      <c r="FY24" s="39">
        <v>44545</v>
      </c>
      <c r="FZ24" s="16">
        <v>17031300</v>
      </c>
      <c r="GB24" s="39">
        <v>44545</v>
      </c>
      <c r="GC24" s="16">
        <v>17031300</v>
      </c>
    </row>
    <row r="25" spans="1:185" x14ac:dyDescent="0.25">
      <c r="A25" s="2">
        <v>44773</v>
      </c>
      <c r="B25" s="3">
        <v>482285714.28571451</v>
      </c>
      <c r="C25" s="25"/>
      <c r="D25" s="2">
        <v>44773</v>
      </c>
      <c r="E25" s="3">
        <v>478296296.29629624</v>
      </c>
      <c r="F25" s="25"/>
      <c r="G25" s="2">
        <v>44773</v>
      </c>
      <c r="H25" s="3">
        <v>482285714.28571451</v>
      </c>
      <c r="I25" s="3"/>
      <c r="J25" s="2">
        <v>44773</v>
      </c>
      <c r="K25" s="3">
        <v>482285714.28571451</v>
      </c>
      <c r="L25" s="3"/>
      <c r="M25" s="2">
        <v>47330</v>
      </c>
      <c r="N25" s="3">
        <v>125300000</v>
      </c>
      <c r="O25" s="3"/>
      <c r="P25" s="2">
        <v>47330</v>
      </c>
      <c r="Q25" s="38">
        <v>308590909.0909093</v>
      </c>
      <c r="R25" s="38"/>
      <c r="S25" s="2">
        <v>44773</v>
      </c>
      <c r="T25" s="3">
        <v>590000000</v>
      </c>
      <c r="U25" s="3"/>
      <c r="V25" s="2">
        <v>44773</v>
      </c>
      <c r="W25" s="3">
        <v>590000000</v>
      </c>
      <c r="X25" s="3"/>
      <c r="Y25" s="3"/>
      <c r="Z25" s="3"/>
      <c r="AA25" s="3"/>
      <c r="AB25" s="2">
        <v>47330</v>
      </c>
      <c r="AC25" s="3">
        <v>438000000</v>
      </c>
      <c r="AD25"/>
      <c r="AE25" s="2"/>
      <c r="AF25" s="3"/>
      <c r="AG25" s="3"/>
      <c r="AH25" s="3"/>
      <c r="AI25" s="3"/>
      <c r="AJ25" s="3"/>
      <c r="AK25" s="53">
        <v>44135</v>
      </c>
      <c r="AL25" s="54">
        <v>60521726.867576331</v>
      </c>
      <c r="AM25" s="3"/>
      <c r="AN25" s="53">
        <v>44135</v>
      </c>
      <c r="AO25" s="54">
        <v>74122785507.409622</v>
      </c>
      <c r="AP25" s="3"/>
      <c r="AQ25" s="39">
        <v>42644</v>
      </c>
      <c r="AR25" s="16">
        <v>28704000</v>
      </c>
      <c r="AT25" s="39">
        <f t="shared" si="0"/>
        <v>45107</v>
      </c>
      <c r="AU25" s="16">
        <v>82012500</v>
      </c>
      <c r="AW25" s="39">
        <v>43644</v>
      </c>
      <c r="AX25" s="16">
        <v>699600</v>
      </c>
      <c r="AZ25" s="39">
        <v>43644</v>
      </c>
      <c r="BA25" s="16">
        <v>699600</v>
      </c>
      <c r="BC25" s="39">
        <v>43644</v>
      </c>
      <c r="BD25" s="16">
        <v>699600</v>
      </c>
      <c r="BF25" s="39">
        <v>43644</v>
      </c>
      <c r="BG25" s="16">
        <v>699600</v>
      </c>
      <c r="BI25" s="39">
        <v>43644</v>
      </c>
      <c r="BJ25" s="16">
        <v>699600</v>
      </c>
      <c r="BL25" s="39">
        <v>43644</v>
      </c>
      <c r="BM25" s="16">
        <v>699600</v>
      </c>
      <c r="BO25" s="39">
        <v>43644</v>
      </c>
      <c r="BP25" s="16">
        <v>699600</v>
      </c>
      <c r="BR25" s="39">
        <v>43644</v>
      </c>
      <c r="BS25" s="16">
        <v>699600</v>
      </c>
      <c r="BU25" s="39">
        <v>43644</v>
      </c>
      <c r="BV25" s="16">
        <v>699600</v>
      </c>
      <c r="BX25" s="39">
        <v>44469</v>
      </c>
      <c r="BY25" s="16">
        <v>307822.35078584519</v>
      </c>
      <c r="CA25" s="39">
        <v>43644</v>
      </c>
      <c r="CB25" s="16">
        <v>936000</v>
      </c>
      <c r="CD25" s="39">
        <v>43644</v>
      </c>
      <c r="CE25" s="16">
        <v>936000</v>
      </c>
      <c r="CG25" s="39">
        <v>43644</v>
      </c>
      <c r="CH25" s="16">
        <v>936000</v>
      </c>
      <c r="CJ25" s="39">
        <v>43644</v>
      </c>
      <c r="CK25" s="16">
        <v>936000</v>
      </c>
      <c r="CM25" s="39">
        <v>43644</v>
      </c>
      <c r="CN25" s="16">
        <v>936000</v>
      </c>
      <c r="CP25" s="39"/>
      <c r="CQ25" s="16"/>
      <c r="CS25" s="39"/>
      <c r="CT25" s="16"/>
      <c r="CV25" s="39"/>
      <c r="CW25" s="16"/>
      <c r="CY25" s="39">
        <v>44742</v>
      </c>
      <c r="CZ25" s="16">
        <v>7986451</v>
      </c>
      <c r="DB25" s="39">
        <v>44742</v>
      </c>
      <c r="DC25" s="16">
        <v>4976241</v>
      </c>
      <c r="DE25" s="39">
        <v>42766</v>
      </c>
      <c r="DF25" s="16">
        <v>155588771</v>
      </c>
      <c r="DH25" s="39">
        <v>44377</v>
      </c>
      <c r="DI25" s="16">
        <v>893051</v>
      </c>
      <c r="DK25" s="39">
        <v>45291</v>
      </c>
      <c r="DL25" s="16">
        <v>704002.37840085733</v>
      </c>
      <c r="DN25" s="39">
        <v>44377</v>
      </c>
      <c r="DO25" s="16">
        <v>893051</v>
      </c>
      <c r="DQ25" s="39">
        <v>44377</v>
      </c>
      <c r="DR25" s="16">
        <v>893051</v>
      </c>
      <c r="DT25" s="39">
        <v>45657</v>
      </c>
      <c r="DU25" s="16">
        <v>598227.14764109487</v>
      </c>
      <c r="DW25" s="39">
        <v>44377</v>
      </c>
      <c r="DX25" s="16">
        <v>1464951</v>
      </c>
      <c r="DZ25" s="39">
        <v>44742</v>
      </c>
      <c r="EA25" s="16">
        <v>7220729</v>
      </c>
      <c r="EC25" s="39">
        <v>45473</v>
      </c>
      <c r="ED25" s="16">
        <v>8305410</v>
      </c>
      <c r="EF25" s="39">
        <v>45473</v>
      </c>
      <c r="EG25" s="16">
        <v>8305410</v>
      </c>
      <c r="EI25" s="39">
        <v>43644</v>
      </c>
      <c r="EJ25" s="16">
        <v>1423280</v>
      </c>
      <c r="EL25" s="39">
        <v>43644</v>
      </c>
      <c r="EM25" s="16">
        <v>1134192</v>
      </c>
      <c r="EO25" s="39">
        <v>43555</v>
      </c>
      <c r="EP25" s="16">
        <v>1545541</v>
      </c>
      <c r="ER25" s="39">
        <v>43644</v>
      </c>
      <c r="ES25" s="16">
        <v>1410726</v>
      </c>
      <c r="EU25" s="39">
        <v>43644</v>
      </c>
      <c r="EV25" s="16">
        <v>1577766</v>
      </c>
      <c r="EX25" s="39">
        <v>43556</v>
      </c>
      <c r="EY25" s="16">
        <v>2282370</v>
      </c>
      <c r="FA25" s="39">
        <v>44561</v>
      </c>
      <c r="FB25" s="16">
        <v>4622806</v>
      </c>
      <c r="FD25" s="39">
        <v>45473</v>
      </c>
      <c r="FE25" s="16">
        <v>333256</v>
      </c>
      <c r="FG25" s="39">
        <v>45473</v>
      </c>
      <c r="FH25" s="16">
        <v>437119</v>
      </c>
      <c r="FJ25" s="39">
        <v>45473</v>
      </c>
      <c r="FK25" s="16">
        <v>885673</v>
      </c>
      <c r="FM25" s="39">
        <v>45291</v>
      </c>
      <c r="FN25" s="16">
        <v>3330929</v>
      </c>
      <c r="FP25" s="39">
        <v>44727</v>
      </c>
      <c r="FQ25" s="16">
        <v>16138050</v>
      </c>
      <c r="FS25" s="39">
        <v>44727</v>
      </c>
      <c r="FT25" s="16">
        <v>16138050</v>
      </c>
      <c r="FV25" s="39">
        <v>44727</v>
      </c>
      <c r="FW25" s="16">
        <v>16138050</v>
      </c>
      <c r="FY25" s="39">
        <v>44727</v>
      </c>
      <c r="FZ25" s="16">
        <v>16138050</v>
      </c>
      <c r="GB25" s="39">
        <v>44727</v>
      </c>
      <c r="GC25" s="16">
        <v>16138050</v>
      </c>
    </row>
    <row r="26" spans="1:185" x14ac:dyDescent="0.25">
      <c r="A26" s="2">
        <v>44865</v>
      </c>
      <c r="B26" s="3">
        <v>474000000.00000024</v>
      </c>
      <c r="D26" s="2">
        <v>44865</v>
      </c>
      <c r="E26" s="3">
        <v>469703703.70370364</v>
      </c>
      <c r="G26" s="2">
        <v>44865</v>
      </c>
      <c r="H26" s="3">
        <v>474000000.00000024</v>
      </c>
      <c r="I26" s="3"/>
      <c r="J26" s="2">
        <v>44865</v>
      </c>
      <c r="K26" s="3">
        <v>474000000.00000024</v>
      </c>
      <c r="L26" s="3"/>
      <c r="M26" s="2">
        <v>47422</v>
      </c>
      <c r="N26" s="3">
        <v>107400000</v>
      </c>
      <c r="O26" s="3"/>
      <c r="P26" s="2">
        <v>47422</v>
      </c>
      <c r="Q26" s="38">
        <v>298636363.63636386</v>
      </c>
      <c r="R26" s="38"/>
      <c r="S26" s="2">
        <v>44865</v>
      </c>
      <c r="T26" s="3">
        <v>590000000</v>
      </c>
      <c r="U26" s="3"/>
      <c r="V26" s="2">
        <v>44865</v>
      </c>
      <c r="W26" s="3">
        <v>590000000</v>
      </c>
      <c r="X26" s="3"/>
      <c r="Y26" s="3"/>
      <c r="Z26" s="3"/>
      <c r="AA26" s="3"/>
      <c r="AB26" s="2">
        <v>47422</v>
      </c>
      <c r="AC26" s="3">
        <v>438000000</v>
      </c>
      <c r="AD26"/>
      <c r="AE26" s="2"/>
      <c r="AF26" s="3"/>
      <c r="AG26" s="3"/>
      <c r="AH26" s="3"/>
      <c r="AI26" s="3"/>
      <c r="AJ26" s="3"/>
      <c r="AK26" s="53">
        <v>44165</v>
      </c>
      <c r="AL26" s="54">
        <v>61275117.625210084</v>
      </c>
      <c r="AM26" s="3"/>
      <c r="AN26" s="53">
        <v>44165</v>
      </c>
      <c r="AO26" s="54">
        <v>75050846116.516815</v>
      </c>
      <c r="AP26" s="3"/>
      <c r="AQ26" s="39">
        <v>42826</v>
      </c>
      <c r="AR26" s="16">
        <v>27364000</v>
      </c>
      <c r="AT26" s="39">
        <f t="shared" si="0"/>
        <v>45290</v>
      </c>
      <c r="AU26" s="16">
        <v>78918750</v>
      </c>
      <c r="AW26" s="39">
        <v>43738</v>
      </c>
      <c r="AX26" s="16">
        <v>655360</v>
      </c>
      <c r="AZ26" s="39">
        <v>43738</v>
      </c>
      <c r="BA26" s="16">
        <v>655360</v>
      </c>
      <c r="BC26" s="39">
        <v>43738</v>
      </c>
      <c r="BD26" s="16">
        <v>655360</v>
      </c>
      <c r="BF26" s="39">
        <v>43738</v>
      </c>
      <c r="BG26" s="16">
        <v>655360</v>
      </c>
      <c r="BI26" s="39">
        <v>43738</v>
      </c>
      <c r="BJ26" s="16">
        <v>655360</v>
      </c>
      <c r="BL26" s="39">
        <v>43738</v>
      </c>
      <c r="BM26" s="16">
        <v>655360</v>
      </c>
      <c r="BO26" s="39">
        <v>43738</v>
      </c>
      <c r="BP26" s="16">
        <v>655360</v>
      </c>
      <c r="BR26" s="39">
        <v>43738</v>
      </c>
      <c r="BS26" s="16">
        <v>655360</v>
      </c>
      <c r="BU26" s="39">
        <v>43738</v>
      </c>
      <c r="BV26" s="16">
        <v>655360</v>
      </c>
      <c r="BX26" s="39">
        <v>44561</v>
      </c>
      <c r="BY26" s="16">
        <v>291621.17442869546</v>
      </c>
      <c r="CA26" s="39">
        <v>43738</v>
      </c>
      <c r="CB26" s="16">
        <v>870200</v>
      </c>
      <c r="CD26" s="39">
        <v>43738</v>
      </c>
      <c r="CE26" s="16">
        <v>870200</v>
      </c>
      <c r="CG26" s="39">
        <v>43738</v>
      </c>
      <c r="CH26" s="16">
        <v>870200</v>
      </c>
      <c r="CJ26" s="39">
        <v>43738</v>
      </c>
      <c r="CK26" s="16">
        <v>870200</v>
      </c>
      <c r="CM26" s="39">
        <v>43738</v>
      </c>
      <c r="CN26" s="16">
        <v>870200</v>
      </c>
      <c r="CP26" s="39"/>
      <c r="CQ26" s="16"/>
      <c r="CS26" s="39"/>
      <c r="CT26" s="16"/>
      <c r="CV26" s="39"/>
      <c r="CW26" s="16"/>
      <c r="CY26" s="39">
        <v>44926</v>
      </c>
      <c r="CZ26" s="16">
        <v>7512235</v>
      </c>
      <c r="DB26" s="39">
        <v>44926</v>
      </c>
      <c r="DC26" s="16">
        <v>4671377</v>
      </c>
      <c r="DE26" s="39">
        <v>42947</v>
      </c>
      <c r="DF26" s="16">
        <v>144173719</v>
      </c>
      <c r="DH26" s="39">
        <v>44561</v>
      </c>
      <c r="DI26" s="16">
        <v>794513</v>
      </c>
      <c r="DK26" s="39">
        <v>45473</v>
      </c>
      <c r="DL26" s="16">
        <v>464079.44065812626</v>
      </c>
      <c r="DN26" s="39">
        <v>44561</v>
      </c>
      <c r="DO26" s="16">
        <v>794513</v>
      </c>
      <c r="DQ26" s="39">
        <v>44561</v>
      </c>
      <c r="DR26" s="16">
        <v>794513</v>
      </c>
      <c r="DT26" s="39">
        <v>45838</v>
      </c>
      <c r="DU26" s="16">
        <v>535588.99447308574</v>
      </c>
      <c r="DW26" s="39">
        <v>44561</v>
      </c>
      <c r="DX26" s="16">
        <v>1401781</v>
      </c>
      <c r="DZ26" s="39">
        <v>44926</v>
      </c>
      <c r="EA26" s="16">
        <v>6776646</v>
      </c>
      <c r="EC26" s="39">
        <v>45657</v>
      </c>
      <c r="ED26" s="16">
        <v>7338789</v>
      </c>
      <c r="EF26" s="39">
        <v>45657</v>
      </c>
      <c r="EG26" s="16">
        <v>7338789</v>
      </c>
      <c r="EI26" s="39">
        <v>43738</v>
      </c>
      <c r="EJ26" s="16">
        <v>1351268</v>
      </c>
      <c r="EL26" s="39">
        <v>43738</v>
      </c>
      <c r="EM26" s="16">
        <v>1079814</v>
      </c>
      <c r="EO26" s="39">
        <v>43644</v>
      </c>
      <c r="EP26" s="16">
        <v>1473805</v>
      </c>
      <c r="ER26" s="39">
        <v>43738</v>
      </c>
      <c r="ES26" s="16">
        <v>1343090</v>
      </c>
      <c r="EU26" s="39">
        <v>43738</v>
      </c>
      <c r="EV26" s="16">
        <v>1499915</v>
      </c>
      <c r="EX26" s="39">
        <v>43647</v>
      </c>
      <c r="EY26" s="16">
        <v>2237373</v>
      </c>
      <c r="FA26" s="39">
        <v>44742</v>
      </c>
      <c r="FB26" s="16">
        <v>4430016</v>
      </c>
      <c r="FD26" s="39">
        <v>45657</v>
      </c>
      <c r="FE26" s="16">
        <v>295433</v>
      </c>
      <c r="FG26" s="39">
        <v>45657</v>
      </c>
      <c r="FH26" s="16">
        <v>386769</v>
      </c>
      <c r="FJ26" s="39">
        <v>45657</v>
      </c>
      <c r="FK26" s="16">
        <v>812189</v>
      </c>
      <c r="FM26" s="39">
        <v>45473</v>
      </c>
      <c r="FN26" s="16">
        <v>3064761</v>
      </c>
      <c r="FP26" s="39">
        <v>44910</v>
      </c>
      <c r="FQ26" s="16">
        <v>15244800</v>
      </c>
      <c r="FS26" s="39">
        <v>44910</v>
      </c>
      <c r="FT26" s="16">
        <v>15244800</v>
      </c>
      <c r="FV26" s="39">
        <v>44910</v>
      </c>
      <c r="FW26" s="16">
        <v>15244800</v>
      </c>
      <c r="FY26" s="39">
        <v>44910</v>
      </c>
      <c r="FZ26" s="16">
        <v>15244800</v>
      </c>
      <c r="GB26" s="39">
        <v>44910</v>
      </c>
      <c r="GC26" s="16">
        <v>15244800</v>
      </c>
    </row>
    <row r="27" spans="1:185" x14ac:dyDescent="0.25">
      <c r="A27" s="2">
        <v>44957</v>
      </c>
      <c r="B27" s="3">
        <v>465714285.71428597</v>
      </c>
      <c r="D27" s="2">
        <v>44957</v>
      </c>
      <c r="E27" s="3">
        <v>461111111.11111104</v>
      </c>
      <c r="G27" s="2">
        <v>44957</v>
      </c>
      <c r="H27" s="3">
        <v>465714285.71428597</v>
      </c>
      <c r="I27" s="3"/>
      <c r="J27" s="2">
        <v>44957</v>
      </c>
      <c r="K27" s="3">
        <v>465714285.71428597</v>
      </c>
      <c r="L27" s="3"/>
      <c r="M27" s="2">
        <v>47514</v>
      </c>
      <c r="N27" s="3">
        <v>89500000</v>
      </c>
      <c r="O27" s="3"/>
      <c r="P27" s="2">
        <v>47514</v>
      </c>
      <c r="Q27" s="38">
        <v>288681818.18181843</v>
      </c>
      <c r="R27" s="38"/>
      <c r="S27" s="2">
        <v>44957</v>
      </c>
      <c r="T27" s="3">
        <v>590000000</v>
      </c>
      <c r="U27" s="3"/>
      <c r="V27" s="2">
        <v>44957</v>
      </c>
      <c r="W27" s="3">
        <v>590000000</v>
      </c>
      <c r="X27" s="3"/>
      <c r="Y27" s="3"/>
      <c r="Z27" s="3"/>
      <c r="AA27" s="3"/>
      <c r="AB27" s="2">
        <v>47514</v>
      </c>
      <c r="AC27" s="3">
        <v>438000000</v>
      </c>
      <c r="AD27"/>
      <c r="AE27" s="2"/>
      <c r="AF27" s="3"/>
      <c r="AG27" s="3"/>
      <c r="AH27" s="3"/>
      <c r="AI27" s="3"/>
      <c r="AJ27" s="3"/>
      <c r="AK27" s="53">
        <v>44196</v>
      </c>
      <c r="AL27" s="54">
        <v>62028508.382843837</v>
      </c>
      <c r="AM27" s="3"/>
      <c r="AN27" s="53">
        <v>44196</v>
      </c>
      <c r="AO27" s="54">
        <v>75978906725.623993</v>
      </c>
      <c r="AP27" s="3"/>
      <c r="AQ27" s="39">
        <v>43009</v>
      </c>
      <c r="AR27" s="16">
        <v>25895000</v>
      </c>
      <c r="AT27" s="39">
        <f t="shared" si="0"/>
        <v>45473</v>
      </c>
      <c r="AU27" s="16">
        <v>77062500</v>
      </c>
      <c r="AW27" s="39">
        <v>43830</v>
      </c>
      <c r="AX27" s="16">
        <v>634560</v>
      </c>
      <c r="AZ27" s="39">
        <v>43830</v>
      </c>
      <c r="BA27" s="16">
        <v>634560</v>
      </c>
      <c r="BC27" s="39">
        <v>43830</v>
      </c>
      <c r="BD27" s="16">
        <v>634560</v>
      </c>
      <c r="BF27" s="39">
        <v>43830</v>
      </c>
      <c r="BG27" s="16">
        <v>634560</v>
      </c>
      <c r="BI27" s="39">
        <v>43830</v>
      </c>
      <c r="BJ27" s="16">
        <v>634560</v>
      </c>
      <c r="BL27" s="39">
        <v>43830</v>
      </c>
      <c r="BM27" s="16">
        <v>634560</v>
      </c>
      <c r="BO27" s="39">
        <v>43830</v>
      </c>
      <c r="BP27" s="16">
        <v>634560</v>
      </c>
      <c r="BR27" s="39">
        <v>43830</v>
      </c>
      <c r="BS27" s="16">
        <v>634560</v>
      </c>
      <c r="BU27" s="39">
        <v>43830</v>
      </c>
      <c r="BV27" s="16">
        <v>634560</v>
      </c>
      <c r="BX27" s="39">
        <v>44651</v>
      </c>
      <c r="BY27" s="16">
        <v>275419.99807154574</v>
      </c>
      <c r="CA27" s="39">
        <v>43830</v>
      </c>
      <c r="CB27" s="16">
        <v>828840</v>
      </c>
      <c r="CD27" s="39">
        <v>43830</v>
      </c>
      <c r="CE27" s="16">
        <v>828840</v>
      </c>
      <c r="CG27" s="39">
        <v>43830</v>
      </c>
      <c r="CH27" s="16">
        <v>828840</v>
      </c>
      <c r="CJ27" s="39">
        <v>43830</v>
      </c>
      <c r="CK27" s="16">
        <v>828840</v>
      </c>
      <c r="CM27" s="39">
        <v>43830</v>
      </c>
      <c r="CN27" s="16">
        <v>828840</v>
      </c>
      <c r="CP27" s="39"/>
      <c r="CQ27" s="16"/>
      <c r="CS27" s="39"/>
      <c r="CT27" s="16"/>
      <c r="CV27" s="39"/>
      <c r="CW27" s="16"/>
      <c r="CY27" s="39">
        <v>45107</v>
      </c>
      <c r="CZ27" s="16">
        <v>7006135</v>
      </c>
      <c r="DB27" s="39">
        <v>45107</v>
      </c>
      <c r="DC27" s="16">
        <v>4364951</v>
      </c>
      <c r="DE27" s="39">
        <v>43131</v>
      </c>
      <c r="DF27" s="16">
        <v>132497679</v>
      </c>
      <c r="DH27" s="39">
        <v>44742</v>
      </c>
      <c r="DI27" s="16">
        <v>680916</v>
      </c>
      <c r="DK27" s="39">
        <v>45657</v>
      </c>
      <c r="DL27" s="16">
        <v>250119.99089336427</v>
      </c>
      <c r="DN27" s="39">
        <v>44742</v>
      </c>
      <c r="DO27" s="16">
        <v>680916</v>
      </c>
      <c r="DQ27" s="39">
        <v>44742</v>
      </c>
      <c r="DR27" s="16">
        <v>680916</v>
      </c>
      <c r="DT27" s="39">
        <v>46022</v>
      </c>
      <c r="DU27" s="16">
        <v>485736.62471346121</v>
      </c>
      <c r="DW27" s="39">
        <v>44742</v>
      </c>
      <c r="DX27" s="16">
        <v>1316607</v>
      </c>
      <c r="DZ27" s="39">
        <v>45107</v>
      </c>
      <c r="EA27" s="16">
        <v>6276113</v>
      </c>
      <c r="EC27" s="39">
        <v>45838</v>
      </c>
      <c r="ED27" s="16">
        <v>6251638</v>
      </c>
      <c r="EF27" s="39">
        <v>45838</v>
      </c>
      <c r="EG27" s="16">
        <v>6251638</v>
      </c>
      <c r="EI27" s="39">
        <v>43830</v>
      </c>
      <c r="EJ27" s="16">
        <v>1278473</v>
      </c>
      <c r="EL27" s="39">
        <v>43830</v>
      </c>
      <c r="EM27" s="16">
        <v>1024669</v>
      </c>
      <c r="EO27" s="39">
        <v>43738</v>
      </c>
      <c r="EP27" s="16">
        <v>1401083</v>
      </c>
      <c r="ER27" s="39">
        <v>43830</v>
      </c>
      <c r="ES27" s="16">
        <v>1274499</v>
      </c>
      <c r="EU27" s="39">
        <v>43830</v>
      </c>
      <c r="EV27" s="16">
        <v>1420992</v>
      </c>
      <c r="EX27" s="39">
        <v>43739</v>
      </c>
      <c r="EY27" s="16">
        <v>2192008</v>
      </c>
      <c r="FA27" s="39">
        <v>44926</v>
      </c>
      <c r="FB27" s="16">
        <v>4180485</v>
      </c>
      <c r="FD27" s="39">
        <v>45838</v>
      </c>
      <c r="FE27" s="16">
        <v>224716</v>
      </c>
      <c r="FG27" s="39">
        <v>45838</v>
      </c>
      <c r="FH27" s="16">
        <v>299073</v>
      </c>
      <c r="FJ27" s="39">
        <v>45838</v>
      </c>
      <c r="FK27" s="16">
        <v>729313</v>
      </c>
      <c r="FM27" s="39">
        <v>45657</v>
      </c>
      <c r="FN27" s="16">
        <v>2836547</v>
      </c>
      <c r="FP27" s="39">
        <v>45092</v>
      </c>
      <c r="FQ27" s="16">
        <v>0</v>
      </c>
      <c r="FS27" s="39">
        <v>45092</v>
      </c>
      <c r="FT27" s="16">
        <v>0</v>
      </c>
      <c r="FV27" s="39">
        <v>45092</v>
      </c>
      <c r="FW27" s="16">
        <v>0</v>
      </c>
      <c r="FY27" s="39">
        <v>45092</v>
      </c>
      <c r="FZ27" s="16">
        <v>0</v>
      </c>
      <c r="GB27" s="39">
        <v>45092</v>
      </c>
      <c r="GC27" s="16">
        <v>0</v>
      </c>
    </row>
    <row r="28" spans="1:185" x14ac:dyDescent="0.25">
      <c r="A28" s="2">
        <v>45046</v>
      </c>
      <c r="B28" s="3">
        <v>457428571.4285717</v>
      </c>
      <c r="D28" s="2">
        <v>45046</v>
      </c>
      <c r="E28" s="3">
        <v>452518518.51851845</v>
      </c>
      <c r="G28" s="2">
        <v>45046</v>
      </c>
      <c r="H28" s="3">
        <v>457428571.4285717</v>
      </c>
      <c r="I28" s="3"/>
      <c r="J28" s="2">
        <v>45046</v>
      </c>
      <c r="K28" s="3">
        <v>457428571.4285717</v>
      </c>
      <c r="L28" s="3"/>
      <c r="M28" s="2">
        <v>47603</v>
      </c>
      <c r="N28" s="3">
        <v>71600000</v>
      </c>
      <c r="O28" s="3"/>
      <c r="P28" s="2">
        <v>47603</v>
      </c>
      <c r="Q28" s="38">
        <v>278727272.72727299</v>
      </c>
      <c r="R28" s="38"/>
      <c r="S28" s="2">
        <v>45046</v>
      </c>
      <c r="T28" s="3">
        <v>590000000</v>
      </c>
      <c r="U28" s="3"/>
      <c r="V28" s="2">
        <v>45046</v>
      </c>
      <c r="W28" s="3">
        <v>590000000</v>
      </c>
      <c r="X28" s="3"/>
      <c r="Y28" s="3"/>
      <c r="Z28" s="3"/>
      <c r="AA28" s="3"/>
      <c r="AB28" s="2">
        <v>47603</v>
      </c>
      <c r="AC28" s="3">
        <v>438000000</v>
      </c>
      <c r="AD28"/>
      <c r="AE28" s="2"/>
      <c r="AF28" s="3"/>
      <c r="AG28" s="3"/>
      <c r="AH28" s="3"/>
      <c r="AI28" s="3"/>
      <c r="AJ28" s="3"/>
      <c r="AK28" s="53">
        <v>44227</v>
      </c>
      <c r="AL28" s="54">
        <v>62781899.14047759</v>
      </c>
      <c r="AM28" s="3"/>
      <c r="AN28" s="53">
        <v>44227</v>
      </c>
      <c r="AO28" s="54">
        <v>76916956245.396713</v>
      </c>
      <c r="AP28" s="3"/>
      <c r="AQ28" s="39">
        <v>43191</v>
      </c>
      <c r="AR28" s="16">
        <v>24426000</v>
      </c>
      <c r="AT28" s="39">
        <f t="shared" si="0"/>
        <v>45656</v>
      </c>
      <c r="AU28" s="16">
        <v>75206250</v>
      </c>
      <c r="AW28" s="39">
        <v>43921</v>
      </c>
      <c r="AX28" s="16">
        <v>613760</v>
      </c>
      <c r="AZ28" s="39">
        <v>43921</v>
      </c>
      <c r="BA28" s="16">
        <v>613760</v>
      </c>
      <c r="BC28" s="39">
        <v>43921</v>
      </c>
      <c r="BD28" s="16">
        <v>613760</v>
      </c>
      <c r="BF28" s="39">
        <v>43921</v>
      </c>
      <c r="BG28" s="16">
        <v>613760</v>
      </c>
      <c r="BI28" s="39">
        <v>43921</v>
      </c>
      <c r="BJ28" s="16">
        <v>613760</v>
      </c>
      <c r="BL28" s="39">
        <v>43921</v>
      </c>
      <c r="BM28" s="16">
        <v>613760</v>
      </c>
      <c r="BO28" s="39">
        <v>43921</v>
      </c>
      <c r="BP28" s="16">
        <v>613760</v>
      </c>
      <c r="BR28" s="39">
        <v>43921</v>
      </c>
      <c r="BS28" s="16">
        <v>613760</v>
      </c>
      <c r="BU28" s="39">
        <v>43921</v>
      </c>
      <c r="BV28" s="16">
        <v>613760</v>
      </c>
      <c r="BX28" s="39">
        <v>44742</v>
      </c>
      <c r="BY28" s="16">
        <v>240961.34220422339</v>
      </c>
      <c r="CA28" s="39">
        <v>43921</v>
      </c>
      <c r="CB28" s="16">
        <v>806280</v>
      </c>
      <c r="CD28" s="39">
        <v>43921</v>
      </c>
      <c r="CE28" s="16">
        <v>806280</v>
      </c>
      <c r="CG28" s="39">
        <v>43921</v>
      </c>
      <c r="CH28" s="16">
        <v>806280</v>
      </c>
      <c r="CJ28" s="39">
        <v>43921</v>
      </c>
      <c r="CK28" s="16">
        <v>806280</v>
      </c>
      <c r="CM28" s="39">
        <v>43921</v>
      </c>
      <c r="CN28" s="16">
        <v>806280</v>
      </c>
      <c r="CP28" s="39"/>
      <c r="CQ28" s="16"/>
      <c r="CS28" s="39"/>
      <c r="CT28" s="16"/>
      <c r="CV28" s="39"/>
      <c r="CW28" s="16"/>
      <c r="CY28" s="39">
        <v>45291</v>
      </c>
      <c r="CZ28" s="16">
        <v>6492916</v>
      </c>
      <c r="DB28" s="39">
        <v>45291</v>
      </c>
      <c r="DC28" s="16">
        <v>4046122</v>
      </c>
      <c r="DE28" s="39">
        <v>43312</v>
      </c>
      <c r="DF28" s="16">
        <v>120554681</v>
      </c>
      <c r="DH28" s="39">
        <v>44926</v>
      </c>
      <c r="DI28" s="16">
        <v>577901</v>
      </c>
      <c r="DK28" s="39">
        <v>45838</v>
      </c>
      <c r="DL28" s="16">
        <v>1086.7635282110887</v>
      </c>
      <c r="DN28" s="39">
        <v>44926</v>
      </c>
      <c r="DO28" s="16">
        <v>577901</v>
      </c>
      <c r="DQ28" s="39">
        <v>44926</v>
      </c>
      <c r="DR28" s="16">
        <v>577901</v>
      </c>
      <c r="DT28" s="39">
        <v>46203</v>
      </c>
      <c r="DU28" s="16">
        <v>419388.00896084949</v>
      </c>
      <c r="DW28" s="39">
        <v>44926</v>
      </c>
      <c r="DX28" s="16">
        <v>1205764</v>
      </c>
      <c r="DZ28" s="39">
        <v>45291</v>
      </c>
      <c r="EA28" s="16">
        <v>5808196</v>
      </c>
      <c r="EC28" s="39">
        <v>46022</v>
      </c>
      <c r="ED28" s="16">
        <v>5248682</v>
      </c>
      <c r="EF28" s="39">
        <v>46022</v>
      </c>
      <c r="EG28" s="16">
        <v>5248682</v>
      </c>
      <c r="EI28" s="39">
        <v>43921</v>
      </c>
      <c r="EJ28" s="16">
        <v>1204886</v>
      </c>
      <c r="EL28" s="39">
        <v>43921</v>
      </c>
      <c r="EM28" s="16">
        <v>968879</v>
      </c>
      <c r="EO28" s="39">
        <v>43830</v>
      </c>
      <c r="EP28" s="16">
        <v>1327361</v>
      </c>
      <c r="ER28" s="39">
        <v>43921</v>
      </c>
      <c r="ES28" s="16">
        <v>1205108</v>
      </c>
      <c r="EU28" s="39">
        <v>43921</v>
      </c>
      <c r="EV28" s="16">
        <v>1340985</v>
      </c>
      <c r="EX28" s="39">
        <v>43831</v>
      </c>
      <c r="EY28" s="16">
        <v>2146273</v>
      </c>
      <c r="FA28" s="39">
        <v>45107</v>
      </c>
      <c r="FB28" s="16">
        <v>3969100</v>
      </c>
      <c r="FD28" s="39">
        <v>46022</v>
      </c>
      <c r="FE28" s="16">
        <v>0</v>
      </c>
      <c r="FG28" s="39">
        <v>46022</v>
      </c>
      <c r="FH28" s="16">
        <v>0</v>
      </c>
      <c r="FJ28" s="39">
        <v>46022</v>
      </c>
      <c r="FK28" s="16">
        <v>652145</v>
      </c>
      <c r="FM28" s="39">
        <v>45838</v>
      </c>
      <c r="FN28" s="16">
        <v>2547119</v>
      </c>
      <c r="FP28" s="39"/>
      <c r="FQ28" s="16"/>
      <c r="FS28" s="39"/>
      <c r="FT28" s="16"/>
      <c r="FV28" s="39"/>
      <c r="FW28" s="16"/>
      <c r="FY28" s="39"/>
      <c r="FZ28" s="16"/>
      <c r="GB28" s="39"/>
      <c r="GC28" s="16"/>
    </row>
    <row r="29" spans="1:185" x14ac:dyDescent="0.25">
      <c r="A29" s="2">
        <v>45138</v>
      </c>
      <c r="B29" s="3">
        <v>449142857.14285743</v>
      </c>
      <c r="D29" s="2">
        <v>45138</v>
      </c>
      <c r="E29" s="3">
        <v>443925925.92592585</v>
      </c>
      <c r="G29" s="2">
        <v>45138</v>
      </c>
      <c r="H29" s="3">
        <v>449142857.14285743</v>
      </c>
      <c r="I29" s="3"/>
      <c r="J29" s="2">
        <v>45138</v>
      </c>
      <c r="K29" s="3">
        <v>449142857.14285743</v>
      </c>
      <c r="L29" s="3"/>
      <c r="M29" s="2">
        <v>47695</v>
      </c>
      <c r="N29" s="3">
        <v>53700000</v>
      </c>
      <c r="O29" s="3"/>
      <c r="P29" s="2">
        <v>47695</v>
      </c>
      <c r="Q29" s="38">
        <v>268772727.27272755</v>
      </c>
      <c r="R29" s="38"/>
      <c r="S29" s="2">
        <v>45138</v>
      </c>
      <c r="T29" s="3">
        <v>590000000</v>
      </c>
      <c r="U29" s="3"/>
      <c r="V29" s="2">
        <v>45138</v>
      </c>
      <c r="W29" s="3">
        <v>590000000</v>
      </c>
      <c r="X29" s="3"/>
      <c r="Y29" s="3"/>
      <c r="Z29" s="3"/>
      <c r="AA29" s="3"/>
      <c r="AB29" s="2">
        <v>47695</v>
      </c>
      <c r="AC29" s="3">
        <v>438000000</v>
      </c>
      <c r="AD29"/>
      <c r="AE29" s="2"/>
      <c r="AF29" s="3"/>
      <c r="AG29" s="3"/>
      <c r="AH29" s="3"/>
      <c r="AI29" s="3"/>
      <c r="AJ29" s="3"/>
      <c r="AK29" s="53">
        <v>44255</v>
      </c>
      <c r="AL29" s="54">
        <v>70458817.726394206</v>
      </c>
      <c r="AM29" s="3"/>
      <c r="AN29" s="53">
        <v>44255</v>
      </c>
      <c r="AO29" s="54">
        <v>86475514961.289703</v>
      </c>
      <c r="AP29" s="3"/>
      <c r="AQ29" s="39">
        <v>43374</v>
      </c>
      <c r="AR29" s="16">
        <v>22813000</v>
      </c>
      <c r="AT29" s="39">
        <f t="shared" si="0"/>
        <v>45838</v>
      </c>
      <c r="AU29" s="16">
        <v>72168750</v>
      </c>
      <c r="AW29" s="39">
        <v>44012</v>
      </c>
      <c r="AX29" s="16">
        <v>569520</v>
      </c>
      <c r="AZ29" s="39">
        <v>44012</v>
      </c>
      <c r="BA29" s="16">
        <v>569520</v>
      </c>
      <c r="BC29" s="39">
        <v>44012</v>
      </c>
      <c r="BD29" s="16">
        <v>569520</v>
      </c>
      <c r="BF29" s="39">
        <v>44012</v>
      </c>
      <c r="BG29" s="16">
        <v>569520</v>
      </c>
      <c r="BI29" s="39">
        <v>44012</v>
      </c>
      <c r="BJ29" s="16">
        <v>569520</v>
      </c>
      <c r="BL29" s="39">
        <v>44012</v>
      </c>
      <c r="BM29" s="16">
        <v>569520</v>
      </c>
      <c r="BO29" s="39">
        <v>44012</v>
      </c>
      <c r="BP29" s="16">
        <v>569520</v>
      </c>
      <c r="BR29" s="39">
        <v>44012</v>
      </c>
      <c r="BS29" s="16">
        <v>569520</v>
      </c>
      <c r="BU29" s="39">
        <v>44012</v>
      </c>
      <c r="BV29" s="16">
        <v>569520</v>
      </c>
      <c r="BX29" s="39">
        <v>44834</v>
      </c>
      <c r="BY29" s="16">
        <v>206502.68633690104</v>
      </c>
      <c r="CA29" s="39">
        <v>44012</v>
      </c>
      <c r="CB29" s="16">
        <v>748000</v>
      </c>
      <c r="CD29" s="39">
        <v>44012</v>
      </c>
      <c r="CE29" s="16">
        <v>748000</v>
      </c>
      <c r="CG29" s="39">
        <v>44012</v>
      </c>
      <c r="CH29" s="16">
        <v>748000</v>
      </c>
      <c r="CJ29" s="39">
        <v>44012</v>
      </c>
      <c r="CK29" s="16">
        <v>748000</v>
      </c>
      <c r="CM29" s="39">
        <v>44012</v>
      </c>
      <c r="CN29" s="16">
        <v>748000</v>
      </c>
      <c r="CP29" s="39"/>
      <c r="CQ29" s="16"/>
      <c r="CS29" s="39"/>
      <c r="CT29" s="16"/>
      <c r="CV29" s="39"/>
      <c r="CW29" s="16"/>
      <c r="CY29" s="39">
        <v>45473</v>
      </c>
      <c r="CZ29" s="16">
        <v>5953390</v>
      </c>
      <c r="DB29" s="39">
        <v>45473</v>
      </c>
      <c r="DC29" s="16">
        <v>3722168</v>
      </c>
      <c r="DE29" s="39">
        <v>43496</v>
      </c>
      <c r="DF29" s="16">
        <v>108338623</v>
      </c>
      <c r="DH29" s="39">
        <v>45107</v>
      </c>
      <c r="DI29" s="16">
        <v>459546</v>
      </c>
      <c r="DK29" s="39">
        <v>46022</v>
      </c>
      <c r="DL29" s="16">
        <v>0</v>
      </c>
      <c r="DN29" s="39">
        <v>45107</v>
      </c>
      <c r="DO29" s="16">
        <v>459546</v>
      </c>
      <c r="DQ29" s="39">
        <v>45107</v>
      </c>
      <c r="DR29" s="16">
        <v>459546</v>
      </c>
      <c r="DT29" s="39">
        <v>46387</v>
      </c>
      <c r="DU29" s="16">
        <v>365849.03189301339</v>
      </c>
      <c r="DW29" s="39">
        <v>45107</v>
      </c>
      <c r="DX29" s="16">
        <v>1162138</v>
      </c>
      <c r="DZ29" s="39">
        <v>45473</v>
      </c>
      <c r="EA29" s="16">
        <v>5280064</v>
      </c>
      <c r="EC29" s="39">
        <v>46203</v>
      </c>
      <c r="ED29" s="16">
        <v>4161786</v>
      </c>
      <c r="EF29" s="39">
        <v>46203</v>
      </c>
      <c r="EG29" s="16">
        <v>4161786</v>
      </c>
      <c r="EI29" s="39">
        <v>44012</v>
      </c>
      <c r="EJ29" s="16">
        <v>1130498</v>
      </c>
      <c r="EL29" s="39">
        <v>44012</v>
      </c>
      <c r="EM29" s="16">
        <v>912555</v>
      </c>
      <c r="EO29" s="39">
        <v>43921</v>
      </c>
      <c r="EP29" s="16">
        <v>1252626</v>
      </c>
      <c r="ER29" s="39">
        <v>44012</v>
      </c>
      <c r="ES29" s="16">
        <v>1135050</v>
      </c>
      <c r="EU29" s="39">
        <v>44012</v>
      </c>
      <c r="EV29" s="16">
        <v>1259878</v>
      </c>
      <c r="EX29" s="39">
        <v>43922</v>
      </c>
      <c r="EY29" s="16">
        <v>2100163</v>
      </c>
      <c r="FA29" s="39">
        <v>45291</v>
      </c>
      <c r="FB29" s="16">
        <v>3733203</v>
      </c>
      <c r="FD29" s="39"/>
      <c r="FE29" s="16"/>
      <c r="FG29" s="39"/>
      <c r="FH29" s="16"/>
      <c r="FJ29" s="39">
        <v>46203</v>
      </c>
      <c r="FK29" s="16">
        <v>568901</v>
      </c>
      <c r="FM29" s="39">
        <v>46022</v>
      </c>
      <c r="FN29" s="16">
        <v>2295857</v>
      </c>
      <c r="FP29" s="39"/>
      <c r="FQ29" s="16"/>
      <c r="FS29" s="39"/>
      <c r="FT29" s="16"/>
      <c r="FV29" s="39"/>
      <c r="FW29" s="16"/>
      <c r="FY29" s="39"/>
      <c r="FZ29" s="16"/>
      <c r="GB29" s="39"/>
      <c r="GC29" s="16"/>
    </row>
    <row r="30" spans="1:185" x14ac:dyDescent="0.25">
      <c r="A30" s="2">
        <v>45230</v>
      </c>
      <c r="B30" s="3">
        <v>440857142.85714316</v>
      </c>
      <c r="D30" s="2">
        <v>45230</v>
      </c>
      <c r="E30" s="3">
        <v>435333333.33333325</v>
      </c>
      <c r="G30" s="2">
        <v>45230</v>
      </c>
      <c r="H30" s="3">
        <v>440857142.85714316</v>
      </c>
      <c r="I30" s="3"/>
      <c r="J30" s="2">
        <v>45230</v>
      </c>
      <c r="K30" s="3">
        <v>440857142.85714316</v>
      </c>
      <c r="L30" s="3"/>
      <c r="M30" s="2">
        <v>47787</v>
      </c>
      <c r="N30" s="3">
        <v>35800000</v>
      </c>
      <c r="O30" s="3"/>
      <c r="P30" s="2">
        <v>47787</v>
      </c>
      <c r="Q30" s="38">
        <v>258818181.81818208</v>
      </c>
      <c r="R30" s="38"/>
      <c r="S30" s="2">
        <v>45230</v>
      </c>
      <c r="T30" s="3">
        <v>590000000</v>
      </c>
      <c r="U30" s="3"/>
      <c r="V30" s="2">
        <v>45230</v>
      </c>
      <c r="W30" s="3">
        <v>590000000</v>
      </c>
      <c r="X30" s="3"/>
      <c r="Y30" s="3"/>
      <c r="Z30" s="3"/>
      <c r="AA30" s="3"/>
      <c r="AB30" s="2">
        <v>47787</v>
      </c>
      <c r="AC30" s="3">
        <v>438000000</v>
      </c>
      <c r="AD30"/>
      <c r="AE30" s="2"/>
      <c r="AF30" s="3"/>
      <c r="AG30" s="3"/>
      <c r="AH30" s="3"/>
      <c r="AI30" s="3"/>
      <c r="AJ30" s="3"/>
      <c r="AK30" s="53">
        <v>44286</v>
      </c>
      <c r="AL30" s="54">
        <v>73690375.797420532</v>
      </c>
      <c r="AM30" s="3"/>
      <c r="AN30" s="53">
        <v>44286</v>
      </c>
      <c r="AO30" s="54">
        <v>90499139442.91301</v>
      </c>
      <c r="AP30" s="3"/>
      <c r="AQ30" s="39">
        <v>43556</v>
      </c>
      <c r="AR30" s="16">
        <v>21201000</v>
      </c>
      <c r="AT30" s="39">
        <f t="shared" si="0"/>
        <v>46021</v>
      </c>
      <c r="AU30" s="16">
        <v>69131250</v>
      </c>
      <c r="AW30" s="39">
        <v>44104</v>
      </c>
      <c r="AX30" s="16">
        <v>525280</v>
      </c>
      <c r="AZ30" s="39">
        <v>44104</v>
      </c>
      <c r="BA30" s="16">
        <v>525280</v>
      </c>
      <c r="BC30" s="39">
        <v>44104</v>
      </c>
      <c r="BD30" s="16">
        <v>525280</v>
      </c>
      <c r="BF30" s="39">
        <v>44104</v>
      </c>
      <c r="BG30" s="16">
        <v>525280</v>
      </c>
      <c r="BI30" s="39">
        <v>44104</v>
      </c>
      <c r="BJ30" s="16">
        <v>525280</v>
      </c>
      <c r="BL30" s="39">
        <v>44104</v>
      </c>
      <c r="BM30" s="16">
        <v>525280</v>
      </c>
      <c r="BO30" s="39">
        <v>44104</v>
      </c>
      <c r="BP30" s="16">
        <v>525280</v>
      </c>
      <c r="BR30" s="39">
        <v>44104</v>
      </c>
      <c r="BS30" s="16">
        <v>525280</v>
      </c>
      <c r="BU30" s="39">
        <v>44104</v>
      </c>
      <c r="BV30" s="16">
        <v>525280</v>
      </c>
      <c r="BX30" s="39">
        <v>44926</v>
      </c>
      <c r="BY30" s="16">
        <v>190301.50997975128</v>
      </c>
      <c r="CA30" s="39">
        <v>44104</v>
      </c>
      <c r="CB30" s="16">
        <v>682200</v>
      </c>
      <c r="CD30" s="39">
        <v>44104</v>
      </c>
      <c r="CE30" s="16">
        <v>682200</v>
      </c>
      <c r="CG30" s="39">
        <v>44104</v>
      </c>
      <c r="CH30" s="16">
        <v>682200</v>
      </c>
      <c r="CJ30" s="39">
        <v>44104</v>
      </c>
      <c r="CK30" s="16">
        <v>682200</v>
      </c>
      <c r="CM30" s="39">
        <v>44104</v>
      </c>
      <c r="CN30" s="16">
        <v>682200</v>
      </c>
      <c r="CP30" s="39"/>
      <c r="CQ30" s="16"/>
      <c r="CS30" s="39"/>
      <c r="CT30" s="16"/>
      <c r="CV30" s="39"/>
      <c r="CW30" s="16"/>
      <c r="CY30" s="39">
        <v>45657</v>
      </c>
      <c r="CZ30" s="16">
        <v>5407341</v>
      </c>
      <c r="DB30" s="39">
        <v>45657</v>
      </c>
      <c r="DC30" s="16">
        <v>3385278</v>
      </c>
      <c r="DE30" s="39">
        <v>43677</v>
      </c>
      <c r="DF30" s="16">
        <v>95843262</v>
      </c>
      <c r="DH30" s="39">
        <v>45291</v>
      </c>
      <c r="DI30" s="16">
        <v>352001</v>
      </c>
      <c r="DK30" s="39"/>
      <c r="DL30" s="16"/>
      <c r="DN30" s="39">
        <v>45291</v>
      </c>
      <c r="DO30" s="16">
        <v>352001</v>
      </c>
      <c r="DQ30" s="39">
        <v>45291</v>
      </c>
      <c r="DR30" s="16">
        <v>352001</v>
      </c>
      <c r="DT30" s="39">
        <v>46568</v>
      </c>
      <c r="DU30" s="16">
        <v>296096.20372568379</v>
      </c>
      <c r="DW30" s="39">
        <v>45291</v>
      </c>
      <c r="DX30" s="16">
        <v>1092918</v>
      </c>
      <c r="DZ30" s="39">
        <v>45657</v>
      </c>
      <c r="EA30" s="16">
        <v>4783294</v>
      </c>
      <c r="EC30" s="39">
        <v>46387</v>
      </c>
      <c r="ED30" s="16">
        <v>3182583</v>
      </c>
      <c r="EF30" s="39">
        <v>46387</v>
      </c>
      <c r="EG30" s="16">
        <v>3182583</v>
      </c>
      <c r="EI30" s="39">
        <v>44104</v>
      </c>
      <c r="EJ30" s="16">
        <v>1055302</v>
      </c>
      <c r="EL30" s="39">
        <v>44104</v>
      </c>
      <c r="EM30" s="16">
        <v>855785</v>
      </c>
      <c r="EO30" s="39">
        <v>44012</v>
      </c>
      <c r="EP30" s="16">
        <v>1176862</v>
      </c>
      <c r="ER30" s="39">
        <v>44104</v>
      </c>
      <c r="ES30" s="16">
        <v>1064439</v>
      </c>
      <c r="EU30" s="39">
        <v>44104</v>
      </c>
      <c r="EV30" s="16">
        <v>1177655</v>
      </c>
      <c r="EX30" s="39">
        <v>44013</v>
      </c>
      <c r="EY30" s="16">
        <v>2053676</v>
      </c>
      <c r="FA30" s="39">
        <v>45473</v>
      </c>
      <c r="FB30" s="16">
        <v>3528767</v>
      </c>
      <c r="FD30" s="39"/>
      <c r="FE30" s="16"/>
      <c r="FG30" s="39"/>
      <c r="FH30" s="16"/>
      <c r="FJ30" s="39">
        <v>46387</v>
      </c>
      <c r="FK30" s="16">
        <v>488234</v>
      </c>
      <c r="FM30" s="39">
        <v>46203</v>
      </c>
      <c r="FN30" s="16">
        <v>1998058</v>
      </c>
      <c r="FP30" s="39"/>
      <c r="FQ30" s="16"/>
      <c r="FS30" s="39"/>
      <c r="FT30" s="16"/>
      <c r="FV30" s="39"/>
      <c r="FW30" s="16"/>
      <c r="FY30" s="39"/>
      <c r="FZ30" s="16"/>
      <c r="GB30" s="39"/>
      <c r="GC30" s="16"/>
    </row>
    <row r="31" spans="1:185" x14ac:dyDescent="0.25">
      <c r="A31" s="2">
        <v>45322</v>
      </c>
      <c r="B31" s="3">
        <v>432571428.57142889</v>
      </c>
      <c r="D31" s="2">
        <v>45322</v>
      </c>
      <c r="E31" s="3">
        <v>426740740.74074066</v>
      </c>
      <c r="G31" s="2">
        <v>45322</v>
      </c>
      <c r="H31" s="3">
        <v>432571428.57142889</v>
      </c>
      <c r="I31" s="3"/>
      <c r="J31" s="2">
        <v>45322</v>
      </c>
      <c r="K31" s="3">
        <v>432571428.57142889</v>
      </c>
      <c r="L31" s="3"/>
      <c r="M31" s="2">
        <v>47879</v>
      </c>
      <c r="N31" s="3">
        <v>17900000</v>
      </c>
      <c r="O31" s="3"/>
      <c r="P31" s="2">
        <v>47879</v>
      </c>
      <c r="Q31" s="38">
        <v>248863636.36363661</v>
      </c>
      <c r="R31" s="38"/>
      <c r="S31" s="2">
        <v>45322</v>
      </c>
      <c r="T31" s="3">
        <v>590000000</v>
      </c>
      <c r="U31" s="3"/>
      <c r="V31" s="2">
        <v>45322</v>
      </c>
      <c r="W31" s="3">
        <v>590000000</v>
      </c>
      <c r="X31" s="3"/>
      <c r="Y31" s="3"/>
      <c r="Z31" s="3"/>
      <c r="AA31" s="3"/>
      <c r="AB31" s="2">
        <v>47879</v>
      </c>
      <c r="AC31" s="3">
        <v>438000000</v>
      </c>
      <c r="AD31"/>
      <c r="AE31" s="2"/>
      <c r="AF31" s="3"/>
      <c r="AG31" s="3"/>
      <c r="AH31" s="3"/>
      <c r="AI31" s="3"/>
      <c r="AJ31" s="3"/>
      <c r="AK31" s="53">
        <v>44316</v>
      </c>
      <c r="AL31" s="54">
        <v>83675136.992764756</v>
      </c>
      <c r="AM31" s="3"/>
      <c r="AN31" s="53">
        <v>44316</v>
      </c>
      <c r="AO31" s="54">
        <v>102931201224.17944</v>
      </c>
      <c r="AP31" s="3"/>
      <c r="AQ31" s="39">
        <v>43739</v>
      </c>
      <c r="AR31" s="16">
        <v>19473500</v>
      </c>
      <c r="AT31" s="39">
        <f t="shared" si="0"/>
        <v>46203</v>
      </c>
      <c r="AU31" s="16">
        <v>66937500</v>
      </c>
      <c r="AW31" s="39">
        <v>44196</v>
      </c>
      <c r="AX31" s="16">
        <v>504480</v>
      </c>
      <c r="AZ31" s="39">
        <v>44196</v>
      </c>
      <c r="BA31" s="16">
        <v>504480</v>
      </c>
      <c r="BC31" s="39">
        <v>44196</v>
      </c>
      <c r="BD31" s="16">
        <v>504480</v>
      </c>
      <c r="BF31" s="39">
        <v>44196</v>
      </c>
      <c r="BG31" s="16">
        <v>504480</v>
      </c>
      <c r="BI31" s="39">
        <v>44196</v>
      </c>
      <c r="BJ31" s="16">
        <v>504480</v>
      </c>
      <c r="BL31" s="39">
        <v>44196</v>
      </c>
      <c r="BM31" s="16">
        <v>504480</v>
      </c>
      <c r="BO31" s="39">
        <v>44196</v>
      </c>
      <c r="BP31" s="16">
        <v>504480</v>
      </c>
      <c r="BR31" s="39">
        <v>44196</v>
      </c>
      <c r="BS31" s="16">
        <v>504480</v>
      </c>
      <c r="BU31" s="39">
        <v>44196</v>
      </c>
      <c r="BV31" s="16">
        <v>504480</v>
      </c>
      <c r="BX31" s="39">
        <v>45016</v>
      </c>
      <c r="BY31" s="16">
        <v>174100.33362260152</v>
      </c>
      <c r="CA31" s="39">
        <v>44196</v>
      </c>
      <c r="CB31" s="16">
        <v>640840</v>
      </c>
      <c r="CD31" s="39">
        <v>44196</v>
      </c>
      <c r="CE31" s="16">
        <v>640840</v>
      </c>
      <c r="CG31" s="39">
        <v>44196</v>
      </c>
      <c r="CH31" s="16">
        <v>640840</v>
      </c>
      <c r="CJ31" s="39">
        <v>44196</v>
      </c>
      <c r="CK31" s="16">
        <v>640840</v>
      </c>
      <c r="CM31" s="39">
        <v>44196</v>
      </c>
      <c r="CN31" s="16">
        <v>640840</v>
      </c>
      <c r="CP31" s="39"/>
      <c r="CQ31" s="16"/>
      <c r="CS31" s="39"/>
      <c r="CT31" s="16"/>
      <c r="CV31" s="39"/>
      <c r="CW31" s="16"/>
      <c r="CY31" s="39">
        <v>45838</v>
      </c>
      <c r="CZ31" s="16">
        <v>4831650</v>
      </c>
      <c r="DB31" s="39">
        <v>45838</v>
      </c>
      <c r="DC31" s="16">
        <v>3042468</v>
      </c>
      <c r="DE31" s="39">
        <v>43861</v>
      </c>
      <c r="DF31" s="16">
        <v>83062211</v>
      </c>
      <c r="DH31" s="39">
        <v>45473</v>
      </c>
      <c r="DI31" s="16">
        <v>232039</v>
      </c>
      <c r="DK31" s="39"/>
      <c r="DL31" s="16"/>
      <c r="DN31" s="39">
        <v>45473</v>
      </c>
      <c r="DO31" s="16">
        <v>232039</v>
      </c>
      <c r="DQ31" s="39">
        <v>45473</v>
      </c>
      <c r="DR31" s="16">
        <v>232039</v>
      </c>
      <c r="DT31" s="39">
        <v>46752</v>
      </c>
      <c r="DU31" s="16">
        <v>239747.46194130596</v>
      </c>
      <c r="DW31" s="39">
        <v>45473</v>
      </c>
      <c r="DX31" s="16">
        <v>1000425</v>
      </c>
      <c r="DZ31" s="39">
        <v>45838</v>
      </c>
      <c r="EA31" s="16">
        <v>4225054</v>
      </c>
      <c r="EC31" s="39">
        <v>46568</v>
      </c>
      <c r="ED31" s="16">
        <v>2094459</v>
      </c>
      <c r="EF31" s="39">
        <v>46568</v>
      </c>
      <c r="EG31" s="16">
        <v>2094459</v>
      </c>
      <c r="EI31" s="39">
        <v>44196</v>
      </c>
      <c r="EJ31" s="16">
        <v>979288</v>
      </c>
      <c r="EL31" s="39">
        <v>44196</v>
      </c>
      <c r="EM31" s="16">
        <v>798464</v>
      </c>
      <c r="EO31" s="39">
        <v>44104</v>
      </c>
      <c r="EP31" s="16">
        <v>1100057</v>
      </c>
      <c r="ER31" s="39">
        <v>44196</v>
      </c>
      <c r="ES31" s="16">
        <v>993142</v>
      </c>
      <c r="EU31" s="39">
        <v>44196</v>
      </c>
      <c r="EV31" s="16">
        <v>1094302</v>
      </c>
      <c r="EX31" s="39">
        <v>44105</v>
      </c>
      <c r="EY31" s="16">
        <v>2006808</v>
      </c>
      <c r="FA31" s="39">
        <v>45657</v>
      </c>
      <c r="FB31" s="16">
        <v>3266058</v>
      </c>
      <c r="FD31" s="39"/>
      <c r="FE31" s="16"/>
      <c r="FG31" s="39"/>
      <c r="FH31" s="16"/>
      <c r="FJ31" s="39">
        <v>46568</v>
      </c>
      <c r="FK31" s="16">
        <v>397438</v>
      </c>
      <c r="FM31" s="39">
        <v>46387</v>
      </c>
      <c r="FN31" s="16">
        <v>1730753</v>
      </c>
      <c r="FP31" s="39"/>
      <c r="FQ31" s="16"/>
      <c r="FS31" s="39"/>
      <c r="FT31" s="16"/>
      <c r="FV31" s="39"/>
      <c r="FW31" s="16"/>
      <c r="FY31" s="39"/>
      <c r="FZ31" s="16"/>
      <c r="GB31" s="39"/>
      <c r="GC31" s="16"/>
    </row>
    <row r="32" spans="1:185" x14ac:dyDescent="0.25">
      <c r="A32" s="2">
        <v>45412</v>
      </c>
      <c r="B32" s="3">
        <v>424285714.28571463</v>
      </c>
      <c r="D32" s="2">
        <v>45412</v>
      </c>
      <c r="E32" s="3">
        <v>418148148.14814806</v>
      </c>
      <c r="G32" s="2">
        <v>45412</v>
      </c>
      <c r="H32" s="3">
        <v>424285714.28571463</v>
      </c>
      <c r="I32" s="3"/>
      <c r="J32" s="2">
        <v>45412</v>
      </c>
      <c r="K32" s="3">
        <v>424285714.28571463</v>
      </c>
      <c r="L32" s="3"/>
      <c r="M32" s="2">
        <v>47968</v>
      </c>
      <c r="N32" s="3">
        <v>0</v>
      </c>
      <c r="O32" s="3"/>
      <c r="P32" s="2">
        <v>47968</v>
      </c>
      <c r="Q32" s="38">
        <v>238909090.90909114</v>
      </c>
      <c r="R32" s="38"/>
      <c r="S32" s="2">
        <v>45412</v>
      </c>
      <c r="T32" s="3">
        <v>590000000</v>
      </c>
      <c r="U32" s="3"/>
      <c r="V32" s="2">
        <v>45412</v>
      </c>
      <c r="W32" s="3">
        <v>590000000</v>
      </c>
      <c r="X32" s="3"/>
      <c r="Y32" s="3"/>
      <c r="Z32" s="3"/>
      <c r="AA32" s="3"/>
      <c r="AB32" s="2">
        <v>47968</v>
      </c>
      <c r="AC32" s="3">
        <v>438000000</v>
      </c>
      <c r="AD32"/>
      <c r="AE32" s="2"/>
      <c r="AF32" s="3"/>
      <c r="AG32" s="3"/>
      <c r="AH32" s="3"/>
      <c r="AI32" s="3"/>
      <c r="AJ32" s="3"/>
      <c r="AK32" s="53">
        <v>44347</v>
      </c>
      <c r="AL32" s="54">
        <v>84428527.750398502</v>
      </c>
      <c r="AM32" s="3"/>
      <c r="AN32" s="53">
        <v>44347</v>
      </c>
      <c r="AO32" s="54">
        <v>103869250743.95216</v>
      </c>
      <c r="AP32" s="3"/>
      <c r="AQ32" s="39">
        <v>43922</v>
      </c>
      <c r="AR32" s="16">
        <v>17746000</v>
      </c>
      <c r="AT32" s="39">
        <f t="shared" si="0"/>
        <v>46386</v>
      </c>
      <c r="AU32" s="16">
        <v>64743750</v>
      </c>
      <c r="AW32" s="39">
        <v>44286</v>
      </c>
      <c r="AX32" s="16">
        <v>483680</v>
      </c>
      <c r="AZ32" s="39">
        <v>44286</v>
      </c>
      <c r="BA32" s="16">
        <v>483680</v>
      </c>
      <c r="BC32" s="39">
        <v>44286</v>
      </c>
      <c r="BD32" s="16">
        <v>483680</v>
      </c>
      <c r="BF32" s="39">
        <v>44286</v>
      </c>
      <c r="BG32" s="16">
        <v>483680</v>
      </c>
      <c r="BI32" s="39">
        <v>44286</v>
      </c>
      <c r="BJ32" s="16">
        <v>483680</v>
      </c>
      <c r="BL32" s="39">
        <v>44286</v>
      </c>
      <c r="BM32" s="16">
        <v>483680</v>
      </c>
      <c r="BO32" s="39">
        <v>44286</v>
      </c>
      <c r="BP32" s="16">
        <v>483680</v>
      </c>
      <c r="BR32" s="39">
        <v>44286</v>
      </c>
      <c r="BS32" s="16">
        <v>483680</v>
      </c>
      <c r="BU32" s="39">
        <v>44286</v>
      </c>
      <c r="BV32" s="16">
        <v>483680</v>
      </c>
      <c r="BX32" s="39">
        <v>45107</v>
      </c>
      <c r="BY32" s="16">
        <v>139641.67775527918</v>
      </c>
      <c r="CA32" s="39">
        <v>44286</v>
      </c>
      <c r="CB32" s="16">
        <v>618280</v>
      </c>
      <c r="CD32" s="39">
        <v>44286</v>
      </c>
      <c r="CE32" s="16">
        <v>618280</v>
      </c>
      <c r="CG32" s="39">
        <v>44286</v>
      </c>
      <c r="CH32" s="16">
        <v>618280</v>
      </c>
      <c r="CJ32" s="39">
        <v>44286</v>
      </c>
      <c r="CK32" s="16">
        <v>618280</v>
      </c>
      <c r="CM32" s="39">
        <v>44286</v>
      </c>
      <c r="CN32" s="16">
        <v>618280</v>
      </c>
      <c r="CP32" s="39"/>
      <c r="CQ32" s="16"/>
      <c r="CS32" s="39"/>
      <c r="CT32" s="16"/>
      <c r="CV32" s="39"/>
      <c r="CW32" s="16"/>
      <c r="CY32" s="39">
        <v>46022</v>
      </c>
      <c r="CZ32" s="16">
        <v>4242012</v>
      </c>
      <c r="DB32" s="39">
        <v>46022</v>
      </c>
      <c r="DC32" s="16">
        <v>2685036</v>
      </c>
      <c r="DE32" s="39">
        <v>44043</v>
      </c>
      <c r="DF32" s="16">
        <v>69988939</v>
      </c>
      <c r="DH32" s="39">
        <v>45657</v>
      </c>
      <c r="DI32" s="16">
        <v>125060</v>
      </c>
      <c r="DK32" s="39"/>
      <c r="DL32" s="16"/>
      <c r="DN32" s="39">
        <v>45657</v>
      </c>
      <c r="DO32" s="16">
        <v>125060</v>
      </c>
      <c r="DQ32" s="39">
        <v>45657</v>
      </c>
      <c r="DR32" s="16">
        <v>125060</v>
      </c>
      <c r="DT32" s="39">
        <v>46934</v>
      </c>
      <c r="DU32" s="16">
        <v>166853.47413675941</v>
      </c>
      <c r="DW32" s="39">
        <v>45657</v>
      </c>
      <c r="DX32" s="16">
        <v>927862</v>
      </c>
      <c r="DZ32" s="39">
        <v>46022</v>
      </c>
      <c r="EA32" s="16">
        <v>3699432</v>
      </c>
      <c r="EC32" s="39">
        <v>46752</v>
      </c>
      <c r="ED32" s="16">
        <v>1093270</v>
      </c>
      <c r="EF32" s="39">
        <v>46752</v>
      </c>
      <c r="EG32" s="16">
        <v>1093270</v>
      </c>
      <c r="EI32" s="39">
        <v>44286</v>
      </c>
      <c r="EJ32" s="16">
        <v>902448</v>
      </c>
      <c r="EL32" s="39">
        <v>44286</v>
      </c>
      <c r="EM32" s="16">
        <v>740418</v>
      </c>
      <c r="EO32" s="39">
        <v>44196</v>
      </c>
      <c r="EP32" s="16">
        <v>1022196</v>
      </c>
      <c r="ER32" s="39">
        <v>44286</v>
      </c>
      <c r="ES32" s="16">
        <v>920944</v>
      </c>
      <c r="EU32" s="39">
        <v>44286</v>
      </c>
      <c r="EV32" s="16">
        <v>1009802</v>
      </c>
      <c r="EX32" s="39">
        <v>44197</v>
      </c>
      <c r="EY32" s="16">
        <v>1959558</v>
      </c>
      <c r="FA32" s="39">
        <v>45838</v>
      </c>
      <c r="FB32" s="16">
        <v>3071079</v>
      </c>
      <c r="FD32" s="39"/>
      <c r="FE32" s="16"/>
      <c r="FG32" s="39"/>
      <c r="FH32" s="16"/>
      <c r="FJ32" s="39">
        <v>46752</v>
      </c>
      <c r="FK32" s="16">
        <v>0</v>
      </c>
      <c r="FM32" s="39">
        <v>46568</v>
      </c>
      <c r="FN32" s="16">
        <v>1433485</v>
      </c>
      <c r="FP32" s="39"/>
      <c r="FQ32" s="16"/>
      <c r="FS32" s="39"/>
      <c r="FT32" s="16"/>
      <c r="FV32" s="39"/>
      <c r="FW32" s="16"/>
      <c r="FY32" s="39"/>
      <c r="FZ32" s="16"/>
      <c r="GB32" s="39"/>
      <c r="GC32" s="16"/>
    </row>
    <row r="33" spans="1:185" x14ac:dyDescent="0.25">
      <c r="A33" s="2">
        <v>45504</v>
      </c>
      <c r="B33" s="3">
        <v>416000000.00000036</v>
      </c>
      <c r="D33" s="2">
        <v>45504</v>
      </c>
      <c r="E33" s="3">
        <v>409555555.55555546</v>
      </c>
      <c r="G33" s="2">
        <v>45504</v>
      </c>
      <c r="H33" s="3">
        <v>416000000.00000036</v>
      </c>
      <c r="I33" s="3"/>
      <c r="J33" s="2">
        <v>45504</v>
      </c>
      <c r="K33" s="3">
        <v>416000000.00000036</v>
      </c>
      <c r="L33" s="3"/>
      <c r="N33" s="39"/>
      <c r="O33" s="3"/>
      <c r="P33" s="2">
        <v>48060</v>
      </c>
      <c r="Q33" s="38">
        <v>228954545.45454568</v>
      </c>
      <c r="R33" s="38"/>
      <c r="S33" s="2">
        <v>45504</v>
      </c>
      <c r="T33" s="3">
        <v>590000000</v>
      </c>
      <c r="U33" s="3"/>
      <c r="V33" s="2">
        <v>45504</v>
      </c>
      <c r="W33" s="3">
        <v>590000000</v>
      </c>
      <c r="X33" s="3"/>
      <c r="Y33" s="3"/>
      <c r="Z33" s="3"/>
      <c r="AA33" s="3"/>
      <c r="AB33" s="2">
        <v>48060</v>
      </c>
      <c r="AC33" s="3">
        <v>438000000</v>
      </c>
      <c r="AD33"/>
      <c r="AE33" s="3"/>
      <c r="AF33" s="3"/>
      <c r="AG33" s="3"/>
      <c r="AH33" s="3"/>
      <c r="AI33" s="3"/>
      <c r="AJ33" s="3"/>
      <c r="AK33" s="53">
        <v>44377</v>
      </c>
      <c r="AL33" s="54">
        <v>92105446.33631511</v>
      </c>
      <c r="AM33" s="3"/>
      <c r="AN33" s="53">
        <v>44377</v>
      </c>
      <c r="AO33" s="54">
        <v>113427809459.84515</v>
      </c>
      <c r="AP33" s="3"/>
      <c r="AQ33" s="39">
        <v>44105</v>
      </c>
      <c r="AR33" s="16">
        <v>16185000</v>
      </c>
      <c r="AT33" s="39">
        <f t="shared" si="0"/>
        <v>46568</v>
      </c>
      <c r="AU33" s="16">
        <v>61593750</v>
      </c>
      <c r="AW33" s="39">
        <v>44377</v>
      </c>
      <c r="AX33" s="16">
        <v>439440</v>
      </c>
      <c r="AZ33" s="39">
        <v>44377</v>
      </c>
      <c r="BA33" s="16">
        <v>439440</v>
      </c>
      <c r="BC33" s="39">
        <v>44377</v>
      </c>
      <c r="BD33" s="16">
        <v>439440</v>
      </c>
      <c r="BF33" s="39">
        <v>44377</v>
      </c>
      <c r="BG33" s="16">
        <v>439440</v>
      </c>
      <c r="BI33" s="39">
        <v>44377</v>
      </c>
      <c r="BJ33" s="16">
        <v>439440</v>
      </c>
      <c r="BL33" s="39">
        <v>44377</v>
      </c>
      <c r="BM33" s="16">
        <v>439440</v>
      </c>
      <c r="BO33" s="39">
        <v>44377</v>
      </c>
      <c r="BP33" s="16">
        <v>439440</v>
      </c>
      <c r="BR33" s="39">
        <v>44377</v>
      </c>
      <c r="BS33" s="16">
        <v>439440</v>
      </c>
      <c r="BU33" s="39">
        <v>44377</v>
      </c>
      <c r="BV33" s="16">
        <v>439440</v>
      </c>
      <c r="BX33" s="39">
        <v>45198</v>
      </c>
      <c r="BY33" s="16">
        <v>105183.02188795683</v>
      </c>
      <c r="CA33" s="39">
        <v>44377</v>
      </c>
      <c r="CB33" s="16">
        <v>560000</v>
      </c>
      <c r="CD33" s="39">
        <v>44377</v>
      </c>
      <c r="CE33" s="16">
        <v>560000</v>
      </c>
      <c r="CG33" s="39">
        <v>44377</v>
      </c>
      <c r="CH33" s="16">
        <v>560000</v>
      </c>
      <c r="CJ33" s="39">
        <v>44377</v>
      </c>
      <c r="CK33" s="16">
        <v>560000</v>
      </c>
      <c r="CM33" s="39">
        <v>44377</v>
      </c>
      <c r="CN33" s="16">
        <v>560000</v>
      </c>
      <c r="CP33" s="39"/>
      <c r="CQ33" s="16"/>
      <c r="CS33" s="39"/>
      <c r="CT33" s="16"/>
      <c r="CV33" s="39"/>
      <c r="CW33" s="16"/>
      <c r="CY33" s="39">
        <v>46203</v>
      </c>
      <c r="CZ33" s="16">
        <v>3625199</v>
      </c>
      <c r="DB33" s="39">
        <v>46203</v>
      </c>
      <c r="DC33" s="16">
        <v>2319827</v>
      </c>
      <c r="DE33" s="39">
        <v>44227</v>
      </c>
      <c r="DF33" s="16">
        <v>56616765</v>
      </c>
      <c r="DH33" s="39">
        <v>45838</v>
      </c>
      <c r="DI33" s="16">
        <v>543</v>
      </c>
      <c r="DK33" s="39"/>
      <c r="DL33" s="16"/>
      <c r="DN33" s="39">
        <v>45838</v>
      </c>
      <c r="DO33" s="16">
        <v>543</v>
      </c>
      <c r="DQ33" s="39">
        <v>45838</v>
      </c>
      <c r="DR33" s="16">
        <v>543</v>
      </c>
      <c r="DT33" s="39">
        <v>47118</v>
      </c>
      <c r="DU33" s="16">
        <v>107470.59909032428</v>
      </c>
      <c r="DW33" s="39">
        <v>45838</v>
      </c>
      <c r="DX33" s="16">
        <v>830709</v>
      </c>
      <c r="DZ33" s="39">
        <v>46203</v>
      </c>
      <c r="EA33" s="16">
        <v>3114849</v>
      </c>
      <c r="EC33" s="39">
        <v>46934</v>
      </c>
      <c r="ED33" s="16">
        <v>0</v>
      </c>
      <c r="EF33" s="39">
        <v>46934</v>
      </c>
      <c r="EG33" s="16">
        <v>0</v>
      </c>
      <c r="EI33" s="39">
        <v>44377</v>
      </c>
      <c r="EJ33" s="16">
        <v>824772</v>
      </c>
      <c r="EL33" s="39">
        <v>44377</v>
      </c>
      <c r="EM33" s="16">
        <v>681898</v>
      </c>
      <c r="EO33" s="39">
        <v>44286</v>
      </c>
      <c r="EP33" s="16">
        <v>943265</v>
      </c>
      <c r="ER33" s="39">
        <v>44377</v>
      </c>
      <c r="ES33" s="16">
        <v>848156</v>
      </c>
      <c r="EU33" s="39">
        <v>44377</v>
      </c>
      <c r="EV33" s="16">
        <v>924141</v>
      </c>
      <c r="EX33" s="39">
        <v>44287</v>
      </c>
      <c r="EY33" s="16">
        <v>1911921</v>
      </c>
      <c r="FA33" s="39">
        <v>46022</v>
      </c>
      <c r="FB33" s="16">
        <v>2800953</v>
      </c>
      <c r="FD33" s="39"/>
      <c r="FE33" s="16"/>
      <c r="FG33" s="39"/>
      <c r="FH33" s="16"/>
      <c r="FJ33" s="39"/>
      <c r="FK33" s="16"/>
      <c r="FM33" s="39">
        <v>46752</v>
      </c>
      <c r="FN33" s="16">
        <v>1168010</v>
      </c>
      <c r="FP33" s="39"/>
      <c r="FQ33" s="16"/>
      <c r="FS33" s="39"/>
      <c r="FT33" s="16"/>
      <c r="FV33" s="39"/>
      <c r="FW33" s="16"/>
      <c r="FY33" s="39"/>
      <c r="FZ33" s="16"/>
      <c r="GB33" s="39"/>
      <c r="GC33" s="16"/>
    </row>
    <row r="34" spans="1:185" x14ac:dyDescent="0.25">
      <c r="A34" s="2">
        <v>45596</v>
      </c>
      <c r="B34" s="3">
        <v>407714285.71428609</v>
      </c>
      <c r="D34" s="2">
        <v>45596</v>
      </c>
      <c r="E34" s="3">
        <v>400962962.96296287</v>
      </c>
      <c r="G34" s="2">
        <v>45596</v>
      </c>
      <c r="H34" s="3">
        <v>407714285.71428609</v>
      </c>
      <c r="I34" s="3"/>
      <c r="J34" s="2">
        <v>45596</v>
      </c>
      <c r="K34" s="3">
        <v>407714285.71428609</v>
      </c>
      <c r="L34" s="3"/>
      <c r="N34" s="39"/>
      <c r="O34" s="3"/>
      <c r="P34" s="2">
        <v>48152</v>
      </c>
      <c r="Q34" s="38">
        <v>219000000.00000021</v>
      </c>
      <c r="R34" s="38"/>
      <c r="S34" s="2">
        <v>45596</v>
      </c>
      <c r="T34" s="3">
        <v>590000000</v>
      </c>
      <c r="U34" s="3"/>
      <c r="V34" s="2">
        <v>45596</v>
      </c>
      <c r="W34" s="3">
        <v>0</v>
      </c>
      <c r="X34" s="3"/>
      <c r="Y34" s="3"/>
      <c r="Z34" s="3"/>
      <c r="AA34" s="3"/>
      <c r="AB34" s="2">
        <v>48152</v>
      </c>
      <c r="AC34" s="3">
        <v>438000000</v>
      </c>
      <c r="AD34"/>
      <c r="AE34" s="3"/>
      <c r="AF34" s="3"/>
      <c r="AG34" s="3"/>
      <c r="AH34" s="3"/>
      <c r="AI34" s="3"/>
      <c r="AJ34" s="3"/>
      <c r="AK34" s="53">
        <v>44408</v>
      </c>
      <c r="AL34" s="54">
        <v>92858837.093948871</v>
      </c>
      <c r="AM34" s="3"/>
      <c r="AN34" s="53">
        <v>44408</v>
      </c>
      <c r="AO34" s="54">
        <v>114365858979.61787</v>
      </c>
      <c r="AP34" s="3"/>
      <c r="AQ34" s="39">
        <v>44287</v>
      </c>
      <c r="AR34" s="16">
        <v>14624000</v>
      </c>
      <c r="AT34" s="39">
        <f t="shared" si="0"/>
        <v>46751</v>
      </c>
      <c r="AU34" s="16">
        <v>58443750</v>
      </c>
      <c r="AW34" s="39">
        <v>44469</v>
      </c>
      <c r="AX34" s="16">
        <v>395200</v>
      </c>
      <c r="AZ34" s="39">
        <v>44469</v>
      </c>
      <c r="BA34" s="16">
        <v>395200</v>
      </c>
      <c r="BC34" s="39">
        <v>44469</v>
      </c>
      <c r="BD34" s="16">
        <v>395200</v>
      </c>
      <c r="BF34" s="39">
        <v>44469</v>
      </c>
      <c r="BG34" s="16">
        <v>395200</v>
      </c>
      <c r="BI34" s="39">
        <v>44469</v>
      </c>
      <c r="BJ34" s="16">
        <v>395200</v>
      </c>
      <c r="BL34" s="39">
        <v>44469</v>
      </c>
      <c r="BM34" s="16">
        <v>395200</v>
      </c>
      <c r="BO34" s="39">
        <v>44469</v>
      </c>
      <c r="BP34" s="16">
        <v>395200</v>
      </c>
      <c r="BR34" s="39">
        <v>44469</v>
      </c>
      <c r="BS34" s="16">
        <v>395200</v>
      </c>
      <c r="BU34" s="39">
        <v>44469</v>
      </c>
      <c r="BV34" s="16">
        <v>395200</v>
      </c>
      <c r="BX34" s="39">
        <v>45289</v>
      </c>
      <c r="BY34" s="16">
        <v>88981.845530807084</v>
      </c>
      <c r="CA34" s="39">
        <v>44469</v>
      </c>
      <c r="CB34" s="16">
        <v>494200</v>
      </c>
      <c r="CD34" s="39">
        <v>44469</v>
      </c>
      <c r="CE34" s="16">
        <v>494200</v>
      </c>
      <c r="CG34" s="39">
        <v>44469</v>
      </c>
      <c r="CH34" s="16">
        <v>494200</v>
      </c>
      <c r="CJ34" s="39">
        <v>44469</v>
      </c>
      <c r="CK34" s="16">
        <v>494200</v>
      </c>
      <c r="CM34" s="39">
        <v>44469</v>
      </c>
      <c r="CN34" s="16">
        <v>494200</v>
      </c>
      <c r="CP34" s="39"/>
      <c r="CQ34" s="16"/>
      <c r="CS34" s="39"/>
      <c r="CT34" s="16"/>
      <c r="CV34" s="39"/>
      <c r="CW34" s="16"/>
      <c r="CY34" s="39">
        <v>46387</v>
      </c>
      <c r="CZ34" s="16">
        <v>2999924</v>
      </c>
      <c r="DB34" s="39">
        <v>46387</v>
      </c>
      <c r="DC34" s="16">
        <v>1939204</v>
      </c>
      <c r="DE34" s="39">
        <v>44408</v>
      </c>
      <c r="DF34" s="16">
        <v>42938855</v>
      </c>
      <c r="DH34" s="39">
        <v>46022</v>
      </c>
      <c r="DI34" s="16">
        <v>0</v>
      </c>
      <c r="DK34" s="39"/>
      <c r="DL34" s="16"/>
      <c r="DN34" s="39">
        <v>46022</v>
      </c>
      <c r="DO34" s="16">
        <v>0</v>
      </c>
      <c r="DQ34" s="39">
        <v>46022</v>
      </c>
      <c r="DR34" s="16">
        <v>0</v>
      </c>
      <c r="DT34" s="39">
        <v>47299</v>
      </c>
      <c r="DU34" s="16">
        <v>31182.069929056161</v>
      </c>
      <c r="DW34" s="39">
        <v>46022</v>
      </c>
      <c r="DX34" s="16">
        <v>753387</v>
      </c>
      <c r="DZ34" s="39">
        <v>46387</v>
      </c>
      <c r="EA34" s="16">
        <v>2565391</v>
      </c>
      <c r="EC34" s="39"/>
      <c r="ED34" s="16"/>
      <c r="EF34" s="39"/>
      <c r="EG34" s="16"/>
      <c r="EI34" s="39">
        <v>44469</v>
      </c>
      <c r="EJ34" s="16">
        <v>746251</v>
      </c>
      <c r="EL34" s="39">
        <v>44469</v>
      </c>
      <c r="EM34" s="16">
        <v>622889</v>
      </c>
      <c r="EO34" s="39">
        <v>44377</v>
      </c>
      <c r="EP34" s="16">
        <v>863248</v>
      </c>
      <c r="ER34" s="39">
        <v>44469</v>
      </c>
      <c r="ES34" s="16">
        <v>774759</v>
      </c>
      <c r="EU34" s="39">
        <v>44469</v>
      </c>
      <c r="EV34" s="16">
        <v>837302</v>
      </c>
      <c r="EX34" s="39">
        <v>44378</v>
      </c>
      <c r="EY34" s="16">
        <v>1863894</v>
      </c>
      <c r="FA34" s="39">
        <v>46203</v>
      </c>
      <c r="FB34" s="16">
        <v>2577249</v>
      </c>
      <c r="FD34" s="39"/>
      <c r="FE34" s="16"/>
      <c r="FG34" s="39"/>
      <c r="FH34" s="16"/>
      <c r="FJ34" s="39"/>
      <c r="FK34" s="16"/>
      <c r="FM34" s="39">
        <v>46934</v>
      </c>
      <c r="FN34" s="16">
        <v>835691</v>
      </c>
      <c r="FP34" s="39"/>
      <c r="FQ34" s="16"/>
      <c r="FS34" s="39"/>
      <c r="FT34" s="16"/>
      <c r="FV34" s="39"/>
      <c r="FW34" s="16"/>
      <c r="FY34" s="39"/>
      <c r="FZ34" s="16"/>
      <c r="GB34" s="39"/>
      <c r="GC34" s="16"/>
    </row>
    <row r="35" spans="1:185" x14ac:dyDescent="0.25">
      <c r="A35" s="2">
        <v>45688</v>
      </c>
      <c r="B35" s="3">
        <v>399428571.42857182</v>
      </c>
      <c r="D35" s="2">
        <v>45688</v>
      </c>
      <c r="E35" s="3">
        <v>392370370.37037027</v>
      </c>
      <c r="G35" s="2">
        <v>45688</v>
      </c>
      <c r="H35" s="3">
        <v>399428571.42857182</v>
      </c>
      <c r="I35" s="3"/>
      <c r="J35" s="2">
        <v>45688</v>
      </c>
      <c r="K35" s="3">
        <v>399428571.42857182</v>
      </c>
      <c r="L35" s="3"/>
      <c r="N35" s="39"/>
      <c r="O35" s="3"/>
      <c r="P35" s="2">
        <v>48244</v>
      </c>
      <c r="Q35" s="38">
        <v>209045454.54545474</v>
      </c>
      <c r="R35" s="38"/>
      <c r="S35" s="2">
        <v>45688</v>
      </c>
      <c r="T35" s="3">
        <v>0</v>
      </c>
      <c r="U35" s="3"/>
      <c r="W35" s="3"/>
      <c r="X35" s="3"/>
      <c r="Y35" s="3"/>
      <c r="Z35" s="3"/>
      <c r="AA35" s="3"/>
      <c r="AB35" s="43">
        <v>48213</v>
      </c>
      <c r="AC35" s="3">
        <v>0</v>
      </c>
      <c r="AD35"/>
      <c r="AE35" s="3"/>
      <c r="AF35" s="3"/>
      <c r="AG35" s="3"/>
      <c r="AH35" s="3"/>
      <c r="AI35" s="3"/>
      <c r="AJ35" s="3"/>
      <c r="AK35" s="53">
        <v>44439</v>
      </c>
      <c r="AL35" s="54">
        <v>93612227.851582617</v>
      </c>
      <c r="AM35" s="3"/>
      <c r="AN35" s="53">
        <v>44439</v>
      </c>
      <c r="AO35" s="54">
        <v>115303908499.39058</v>
      </c>
      <c r="AP35" s="3"/>
      <c r="AQ35" s="39">
        <v>44470</v>
      </c>
      <c r="AR35" s="16">
        <v>12922500</v>
      </c>
      <c r="AT35" s="39">
        <f t="shared" si="0"/>
        <v>46934</v>
      </c>
      <c r="AU35" s="16">
        <v>55800000</v>
      </c>
      <c r="AW35" s="39">
        <v>44561</v>
      </c>
      <c r="AX35" s="16">
        <v>374400</v>
      </c>
      <c r="AZ35" s="39">
        <v>44561</v>
      </c>
      <c r="BA35" s="16">
        <v>374400</v>
      </c>
      <c r="BC35" s="39">
        <v>44561</v>
      </c>
      <c r="BD35" s="16">
        <v>374400</v>
      </c>
      <c r="BF35" s="39">
        <v>44561</v>
      </c>
      <c r="BG35" s="16">
        <v>374400</v>
      </c>
      <c r="BI35" s="39">
        <v>44561</v>
      </c>
      <c r="BJ35" s="16">
        <v>374400</v>
      </c>
      <c r="BL35" s="39">
        <v>44561</v>
      </c>
      <c r="BM35" s="16">
        <v>374400</v>
      </c>
      <c r="BO35" s="39">
        <v>44561</v>
      </c>
      <c r="BP35" s="16">
        <v>374400</v>
      </c>
      <c r="BR35" s="39">
        <v>44561</v>
      </c>
      <c r="BS35" s="16">
        <v>374400</v>
      </c>
      <c r="BU35" s="39">
        <v>44561</v>
      </c>
      <c r="BV35" s="16">
        <v>374400</v>
      </c>
      <c r="BX35" s="39">
        <v>45382</v>
      </c>
      <c r="BY35" s="22">
        <v>0</v>
      </c>
      <c r="CA35" s="39">
        <v>44561</v>
      </c>
      <c r="CB35" s="16">
        <v>452840</v>
      </c>
      <c r="CD35" s="39">
        <v>44561</v>
      </c>
      <c r="CE35" s="16">
        <v>452840</v>
      </c>
      <c r="CG35" s="39">
        <v>44561</v>
      </c>
      <c r="CH35" s="16">
        <v>452840</v>
      </c>
      <c r="CJ35" s="39">
        <v>44561</v>
      </c>
      <c r="CK35" s="16">
        <v>452840</v>
      </c>
      <c r="CM35" s="39">
        <v>44561</v>
      </c>
      <c r="CN35" s="16">
        <v>452840</v>
      </c>
      <c r="CP35" s="39"/>
      <c r="CQ35" s="16"/>
      <c r="CS35" s="39"/>
      <c r="CT35" s="16"/>
      <c r="CV35" s="39"/>
      <c r="CW35" s="16"/>
      <c r="CY35" s="39">
        <v>46568</v>
      </c>
      <c r="CZ35" s="16">
        <v>2341522</v>
      </c>
      <c r="DB35" s="39">
        <v>46568</v>
      </c>
      <c r="DC35" s="16">
        <v>1552043</v>
      </c>
      <c r="DE35" s="39">
        <v>44592</v>
      </c>
      <c r="DF35" s="16">
        <v>28948218</v>
      </c>
      <c r="DH35" s="39"/>
      <c r="DI35" s="16"/>
      <c r="DK35" s="39"/>
      <c r="DL35" s="16"/>
      <c r="DN35" s="39"/>
      <c r="DO35" s="16"/>
      <c r="DQ35" s="39"/>
      <c r="DR35" s="16"/>
      <c r="DT35" s="39">
        <v>47483</v>
      </c>
      <c r="DU35" s="16">
        <v>0</v>
      </c>
      <c r="DW35" s="39">
        <v>46203</v>
      </c>
      <c r="DX35" s="16">
        <v>650479</v>
      </c>
      <c r="DZ35" s="39">
        <v>46568</v>
      </c>
      <c r="EA35" s="16">
        <v>1954464</v>
      </c>
      <c r="EC35" s="39"/>
      <c r="ED35" s="16"/>
      <c r="EF35" s="39"/>
      <c r="EG35" s="16"/>
      <c r="EI35" s="39">
        <v>44561</v>
      </c>
      <c r="EJ35" s="16">
        <v>666876</v>
      </c>
      <c r="EL35" s="39">
        <v>44561</v>
      </c>
      <c r="EM35" s="16">
        <v>563306</v>
      </c>
      <c r="EO35" s="39">
        <v>44469</v>
      </c>
      <c r="EP35" s="16">
        <v>782131</v>
      </c>
      <c r="ER35" s="39">
        <v>44561</v>
      </c>
      <c r="ES35" s="16">
        <v>700649</v>
      </c>
      <c r="EU35" s="39">
        <v>44561</v>
      </c>
      <c r="EV35" s="16">
        <v>749269</v>
      </c>
      <c r="EX35" s="39">
        <v>44470</v>
      </c>
      <c r="EY35" s="16">
        <v>1815475</v>
      </c>
      <c r="FA35" s="39">
        <v>46387</v>
      </c>
      <c r="FB35" s="16">
        <v>2286977</v>
      </c>
      <c r="FD35" s="39"/>
      <c r="FE35" s="16"/>
      <c r="FG35" s="39"/>
      <c r="FH35" s="16"/>
      <c r="FJ35" s="39"/>
      <c r="FK35" s="16"/>
      <c r="FM35" s="39">
        <v>47118</v>
      </c>
      <c r="FN35" s="16">
        <v>0</v>
      </c>
      <c r="FP35" s="39"/>
      <c r="FQ35" s="16"/>
      <c r="FS35" s="39"/>
      <c r="FT35" s="16"/>
      <c r="FV35" s="39"/>
      <c r="FW35" s="16"/>
      <c r="FY35" s="39"/>
      <c r="FZ35" s="16"/>
      <c r="GB35" s="39"/>
      <c r="GC35" s="16"/>
    </row>
    <row r="36" spans="1:185" x14ac:dyDescent="0.25">
      <c r="A36" s="2">
        <v>45777</v>
      </c>
      <c r="B36" s="3">
        <v>391142857.14285755</v>
      </c>
      <c r="D36" s="2">
        <v>45777</v>
      </c>
      <c r="E36" s="3">
        <v>383777777.77777767</v>
      </c>
      <c r="G36" s="2">
        <v>45777</v>
      </c>
      <c r="H36" s="3">
        <v>391142857.14285755</v>
      </c>
      <c r="I36" s="3"/>
      <c r="J36" s="2">
        <v>45777</v>
      </c>
      <c r="K36" s="3">
        <v>391142857.14285755</v>
      </c>
      <c r="L36" s="3"/>
      <c r="N36" s="39"/>
      <c r="O36" s="3"/>
      <c r="P36" s="2">
        <v>48334</v>
      </c>
      <c r="Q36" s="38">
        <v>199090909.09090927</v>
      </c>
      <c r="R36" s="38"/>
      <c r="S36" s="2"/>
      <c r="T36" s="3"/>
      <c r="U36" s="3"/>
      <c r="W36" s="3"/>
      <c r="X36" s="3"/>
      <c r="Y36" s="3"/>
      <c r="Z36" s="3"/>
      <c r="AA36" s="3"/>
      <c r="AB36" s="3"/>
      <c r="AC36" s="3"/>
      <c r="AD36"/>
      <c r="AE36" s="3"/>
      <c r="AF36" s="3"/>
      <c r="AG36" s="3"/>
      <c r="AH36" s="3"/>
      <c r="AI36" s="3"/>
      <c r="AJ36" s="3"/>
      <c r="AK36" s="53">
        <v>44469</v>
      </c>
      <c r="AL36" s="54">
        <v>97328454.245336294</v>
      </c>
      <c r="AM36" s="3"/>
      <c r="AN36" s="53">
        <v>44469</v>
      </c>
      <c r="AO36" s="54">
        <v>119930995238.51672</v>
      </c>
      <c r="AP36" s="3"/>
      <c r="AQ36" s="39">
        <v>44652</v>
      </c>
      <c r="AR36" s="16">
        <v>11221000</v>
      </c>
      <c r="AT36" s="39">
        <f t="shared" si="0"/>
        <v>47117</v>
      </c>
      <c r="AU36" s="16">
        <v>53156250</v>
      </c>
      <c r="AW36" s="39">
        <v>44651</v>
      </c>
      <c r="AX36" s="16">
        <v>353600</v>
      </c>
      <c r="AZ36" s="39">
        <v>44651</v>
      </c>
      <c r="BA36" s="16">
        <v>353600</v>
      </c>
      <c r="BC36" s="39">
        <v>44651</v>
      </c>
      <c r="BD36" s="16">
        <v>353600</v>
      </c>
      <c r="BF36" s="39">
        <v>44651</v>
      </c>
      <c r="BG36" s="16">
        <v>353600</v>
      </c>
      <c r="BI36" s="39">
        <v>44651</v>
      </c>
      <c r="BJ36" s="16">
        <v>353600</v>
      </c>
      <c r="BL36" s="39">
        <v>44651</v>
      </c>
      <c r="BM36" s="16">
        <v>353600</v>
      </c>
      <c r="BO36" s="39">
        <v>44651</v>
      </c>
      <c r="BP36" s="16">
        <v>353600</v>
      </c>
      <c r="BR36" s="39">
        <v>44651</v>
      </c>
      <c r="BS36" s="16">
        <v>353600</v>
      </c>
      <c r="BU36" s="39">
        <v>44651</v>
      </c>
      <c r="BV36" s="16">
        <v>353600</v>
      </c>
      <c r="BX36" s="39"/>
      <c r="BY36" s="16"/>
      <c r="CA36" s="39">
        <v>44651</v>
      </c>
      <c r="CB36" s="16">
        <v>430280</v>
      </c>
      <c r="CD36" s="39">
        <v>44651</v>
      </c>
      <c r="CE36" s="16">
        <v>430280</v>
      </c>
      <c r="CG36" s="39">
        <v>44651</v>
      </c>
      <c r="CH36" s="16">
        <v>430280</v>
      </c>
      <c r="CJ36" s="39">
        <v>44651</v>
      </c>
      <c r="CK36" s="16">
        <v>430280</v>
      </c>
      <c r="CM36" s="39">
        <v>44651</v>
      </c>
      <c r="CN36" s="16">
        <v>430280</v>
      </c>
      <c r="CP36" s="39"/>
      <c r="CQ36" s="16"/>
      <c r="CS36" s="39"/>
      <c r="CT36" s="16"/>
      <c r="CV36" s="39"/>
      <c r="CW36" s="16"/>
      <c r="CY36" s="39">
        <v>46752</v>
      </c>
      <c r="CZ36" s="16">
        <v>1669281</v>
      </c>
      <c r="DB36" s="39">
        <v>46752</v>
      </c>
      <c r="DC36" s="16">
        <v>1148397</v>
      </c>
      <c r="DE36" s="39">
        <v>44773</v>
      </c>
      <c r="DF36" s="16">
        <v>14637704</v>
      </c>
      <c r="DH36" s="39"/>
      <c r="DI36" s="16"/>
      <c r="DK36" s="39"/>
      <c r="DL36" s="16"/>
      <c r="DN36" s="39"/>
      <c r="DO36" s="16"/>
      <c r="DQ36" s="39"/>
      <c r="DR36" s="16"/>
      <c r="DT36" s="39"/>
      <c r="DU36" s="16"/>
      <c r="DW36" s="39">
        <v>46387</v>
      </c>
      <c r="DX36" s="16">
        <v>567439</v>
      </c>
      <c r="DZ36" s="39">
        <v>46752</v>
      </c>
      <c r="EA36" s="16">
        <v>1378662</v>
      </c>
      <c r="EC36" s="39"/>
      <c r="ED36" s="16"/>
      <c r="EF36" s="39"/>
      <c r="EG36" s="16"/>
      <c r="EI36" s="39">
        <v>44651</v>
      </c>
      <c r="EJ36" s="16">
        <v>586638</v>
      </c>
      <c r="EL36" s="39">
        <v>44651</v>
      </c>
      <c r="EM36" s="16">
        <v>503026</v>
      </c>
      <c r="EO36" s="39">
        <v>44561</v>
      </c>
      <c r="EP36" s="16">
        <v>699898</v>
      </c>
      <c r="ER36" s="39">
        <v>44651</v>
      </c>
      <c r="ES36" s="16">
        <v>625672</v>
      </c>
      <c r="EU36" s="39">
        <v>44651</v>
      </c>
      <c r="EV36" s="16">
        <v>860025</v>
      </c>
      <c r="EX36" s="39">
        <v>44562</v>
      </c>
      <c r="EY36" s="16">
        <v>1766660</v>
      </c>
      <c r="FA36" s="39">
        <v>46568</v>
      </c>
      <c r="FB36" s="16">
        <v>2044628</v>
      </c>
      <c r="FD36" s="39"/>
      <c r="FE36" s="16"/>
      <c r="FG36" s="39"/>
      <c r="FH36" s="16"/>
      <c r="FJ36" s="39"/>
      <c r="FK36" s="16"/>
      <c r="FM36" s="39"/>
      <c r="FN36" s="16"/>
      <c r="FP36" s="39"/>
      <c r="FQ36" s="16"/>
      <c r="FS36" s="39"/>
      <c r="FT36" s="16"/>
      <c r="FV36" s="39"/>
      <c r="FW36" s="16"/>
      <c r="FY36" s="39"/>
      <c r="FZ36" s="16"/>
      <c r="GB36" s="39"/>
      <c r="GC36" s="16"/>
    </row>
    <row r="37" spans="1:185" x14ac:dyDescent="0.25">
      <c r="A37" s="2">
        <v>45869</v>
      </c>
      <c r="B37" s="3">
        <v>382857142.85714328</v>
      </c>
      <c r="D37" s="2">
        <v>45869</v>
      </c>
      <c r="E37" s="3">
        <v>375185185.18518507</v>
      </c>
      <c r="G37" s="2">
        <v>45869</v>
      </c>
      <c r="H37" s="3">
        <v>382857142.85714328</v>
      </c>
      <c r="I37" s="3"/>
      <c r="J37" s="2">
        <v>45869</v>
      </c>
      <c r="K37" s="3">
        <v>382857142.85714328</v>
      </c>
      <c r="L37" s="3"/>
      <c r="N37" s="39"/>
      <c r="O37" s="3"/>
      <c r="P37" s="2">
        <v>48426</v>
      </c>
      <c r="Q37" s="38">
        <v>189136363.6363638</v>
      </c>
      <c r="R37" s="38"/>
      <c r="S37" s="2"/>
      <c r="T37" s="3"/>
      <c r="U37" s="3"/>
      <c r="V37" s="2"/>
      <c r="W37" s="3"/>
      <c r="X37" s="3"/>
      <c r="Y37" s="3"/>
      <c r="Z37" s="3"/>
      <c r="AA37" s="3"/>
      <c r="AB37" s="3"/>
      <c r="AC37" s="3"/>
      <c r="AD37"/>
      <c r="AE37" s="3"/>
      <c r="AF37" s="3"/>
      <c r="AG37" s="3"/>
      <c r="AH37" s="3"/>
      <c r="AI37" s="3"/>
      <c r="AJ37" s="3"/>
      <c r="AK37" s="53">
        <v>44500</v>
      </c>
      <c r="AL37" s="54">
        <v>97952238.659925759</v>
      </c>
      <c r="AM37" s="3"/>
      <c r="AN37" s="53">
        <v>44500</v>
      </c>
      <c r="AO37" s="54">
        <v>120707671438.24231</v>
      </c>
      <c r="AP37" s="3"/>
      <c r="AQ37" s="39">
        <v>44835</v>
      </c>
      <c r="AR37" s="16">
        <v>9347500</v>
      </c>
      <c r="AT37" s="39">
        <f t="shared" si="0"/>
        <v>47299</v>
      </c>
      <c r="AU37" s="16">
        <v>49781250</v>
      </c>
      <c r="AW37" s="39">
        <v>44742</v>
      </c>
      <c r="AX37" s="16">
        <v>309360</v>
      </c>
      <c r="AZ37" s="39">
        <v>44742</v>
      </c>
      <c r="BA37" s="16">
        <v>309360</v>
      </c>
      <c r="BC37" s="39">
        <v>44742</v>
      </c>
      <c r="BD37" s="16">
        <v>309360</v>
      </c>
      <c r="BF37" s="39">
        <v>44742</v>
      </c>
      <c r="BG37" s="16">
        <v>309360</v>
      </c>
      <c r="BI37" s="39">
        <v>44742</v>
      </c>
      <c r="BJ37" s="16">
        <v>309360</v>
      </c>
      <c r="BL37" s="39">
        <v>44742</v>
      </c>
      <c r="BM37" s="16">
        <v>309360</v>
      </c>
      <c r="BO37" s="39">
        <v>44742</v>
      </c>
      <c r="BP37" s="16">
        <v>309360</v>
      </c>
      <c r="BR37" s="39">
        <v>44742</v>
      </c>
      <c r="BS37" s="16">
        <v>309360</v>
      </c>
      <c r="BU37" s="39">
        <v>44742</v>
      </c>
      <c r="BV37" s="16">
        <v>309360</v>
      </c>
      <c r="BX37" s="39"/>
      <c r="BY37" s="16"/>
      <c r="CA37" s="39">
        <v>44742</v>
      </c>
      <c r="CB37" s="16">
        <v>372000</v>
      </c>
      <c r="CD37" s="39">
        <v>44742</v>
      </c>
      <c r="CE37" s="16">
        <v>372000</v>
      </c>
      <c r="CG37" s="39">
        <v>44742</v>
      </c>
      <c r="CH37" s="16">
        <v>372000</v>
      </c>
      <c r="CJ37" s="39">
        <v>44742</v>
      </c>
      <c r="CK37" s="16">
        <v>372000</v>
      </c>
      <c r="CM37" s="39">
        <v>44742</v>
      </c>
      <c r="CN37" s="16">
        <v>372000</v>
      </c>
      <c r="CP37" s="39"/>
      <c r="CQ37" s="16"/>
      <c r="CS37" s="39"/>
      <c r="CT37" s="16"/>
      <c r="CV37" s="39"/>
      <c r="CW37" s="16"/>
      <c r="CY37" s="39">
        <v>46934</v>
      </c>
      <c r="CZ37" s="16">
        <v>1014232</v>
      </c>
      <c r="DB37" s="39">
        <v>46934</v>
      </c>
      <c r="DC37" s="16">
        <v>688760</v>
      </c>
      <c r="DE37" s="39">
        <v>44957</v>
      </c>
      <c r="DF37" s="16">
        <v>0</v>
      </c>
      <c r="DH37" s="39"/>
      <c r="DI37" s="16"/>
      <c r="DK37" s="39"/>
      <c r="DL37" s="16"/>
      <c r="DN37" s="39"/>
      <c r="DO37" s="16"/>
      <c r="DQ37" s="39"/>
      <c r="DR37" s="16"/>
      <c r="DT37" s="39"/>
      <c r="DU37" s="16"/>
      <c r="DW37" s="39">
        <v>46568</v>
      </c>
      <c r="DX37" s="16">
        <v>459251</v>
      </c>
      <c r="DZ37" s="39">
        <v>46934</v>
      </c>
      <c r="EA37" s="16">
        <v>741391</v>
      </c>
      <c r="EC37" s="39"/>
      <c r="ED37" s="16"/>
      <c r="EF37" s="39"/>
      <c r="EG37" s="16"/>
      <c r="EI37" s="39">
        <v>44742</v>
      </c>
      <c r="EJ37" s="16">
        <v>505527</v>
      </c>
      <c r="EL37" s="39">
        <v>44742</v>
      </c>
      <c r="EM37" s="16">
        <v>442226</v>
      </c>
      <c r="EO37" s="39">
        <v>44651</v>
      </c>
      <c r="EP37" s="16">
        <v>616535</v>
      </c>
      <c r="ER37" s="39">
        <v>44742</v>
      </c>
      <c r="ES37" s="16">
        <v>550048</v>
      </c>
      <c r="EU37" s="39">
        <v>44742</v>
      </c>
      <c r="EV37" s="16">
        <v>569554</v>
      </c>
      <c r="EX37" s="39">
        <v>44652</v>
      </c>
      <c r="EY37" s="16">
        <v>1717445</v>
      </c>
      <c r="FA37" s="39">
        <v>46752</v>
      </c>
      <c r="FB37" s="16">
        <v>1739310</v>
      </c>
      <c r="FD37" s="39"/>
      <c r="FE37" s="16"/>
      <c r="FG37" s="39"/>
      <c r="FH37" s="16"/>
      <c r="FJ37" s="39"/>
      <c r="FK37" s="16"/>
      <c r="FM37" s="39"/>
      <c r="FN37" s="16"/>
      <c r="FP37" s="39"/>
      <c r="FQ37" s="16"/>
      <c r="FS37" s="39"/>
      <c r="FT37" s="16"/>
      <c r="FV37" s="39"/>
      <c r="FW37" s="16"/>
      <c r="FY37" s="39"/>
      <c r="FZ37" s="16"/>
      <c r="GB37" s="39"/>
      <c r="GC37" s="16"/>
    </row>
    <row r="38" spans="1:185" x14ac:dyDescent="0.25">
      <c r="A38" s="2">
        <v>45961</v>
      </c>
      <c r="B38" s="3">
        <v>374571428.57142901</v>
      </c>
      <c r="D38" s="2">
        <v>45961</v>
      </c>
      <c r="E38" s="3">
        <v>366592592.59259248</v>
      </c>
      <c r="G38" s="2">
        <v>45961</v>
      </c>
      <c r="H38" s="3">
        <v>374571428.57142901</v>
      </c>
      <c r="I38" s="3"/>
      <c r="J38" s="2">
        <v>45961</v>
      </c>
      <c r="K38" s="3">
        <v>374571428.57142901</v>
      </c>
      <c r="L38" s="3"/>
      <c r="N38" s="39"/>
      <c r="O38" s="3"/>
      <c r="P38" s="2">
        <v>48518</v>
      </c>
      <c r="Q38" s="38">
        <v>179181818.18181834</v>
      </c>
      <c r="R38" s="38"/>
      <c r="S38" s="2"/>
      <c r="T38" s="3"/>
      <c r="U38" s="3"/>
      <c r="V38" s="2"/>
      <c r="W38" s="3"/>
      <c r="X38" s="3"/>
      <c r="Y38" s="3"/>
      <c r="Z38" s="3"/>
      <c r="AA38" s="3"/>
      <c r="AB38" s="3"/>
      <c r="AC38" s="3"/>
      <c r="AD38"/>
      <c r="AE38" s="3"/>
      <c r="AF38" s="3"/>
      <c r="AG38" s="3"/>
      <c r="AH38" s="3"/>
      <c r="AI38" s="3"/>
      <c r="AJ38" s="3"/>
      <c r="AK38" s="53">
        <v>44530</v>
      </c>
      <c r="AL38" s="54">
        <v>110115236.1216533</v>
      </c>
      <c r="AM38" s="3"/>
      <c r="AN38" s="53">
        <v>44530</v>
      </c>
      <c r="AO38" s="54">
        <v>135851862964.83502</v>
      </c>
      <c r="AP38" s="3"/>
      <c r="AQ38" s="39">
        <v>45017</v>
      </c>
      <c r="AR38" s="16">
        <v>7474000</v>
      </c>
      <c r="AT38" s="39">
        <f t="shared" si="0"/>
        <v>47482</v>
      </c>
      <c r="AU38" s="16">
        <v>46406250</v>
      </c>
      <c r="AW38" s="39">
        <v>44834</v>
      </c>
      <c r="AX38" s="16">
        <v>265120</v>
      </c>
      <c r="AZ38" s="39">
        <v>44834</v>
      </c>
      <c r="BA38" s="16">
        <v>265120</v>
      </c>
      <c r="BC38" s="39">
        <v>44834</v>
      </c>
      <c r="BD38" s="16">
        <v>265120</v>
      </c>
      <c r="BF38" s="39">
        <v>44834</v>
      </c>
      <c r="BG38" s="16">
        <v>265120</v>
      </c>
      <c r="BI38" s="39">
        <v>44834</v>
      </c>
      <c r="BJ38" s="16">
        <v>265120</v>
      </c>
      <c r="BL38" s="39">
        <v>44834</v>
      </c>
      <c r="BM38" s="16">
        <v>265120</v>
      </c>
      <c r="BO38" s="39">
        <v>44834</v>
      </c>
      <c r="BP38" s="16">
        <v>265120</v>
      </c>
      <c r="BR38" s="39">
        <v>44834</v>
      </c>
      <c r="BS38" s="16">
        <v>265120</v>
      </c>
      <c r="BU38" s="39">
        <v>44834</v>
      </c>
      <c r="BV38" s="16">
        <v>265120</v>
      </c>
      <c r="BX38" s="39"/>
      <c r="BY38" s="16"/>
      <c r="CA38" s="39">
        <v>44834</v>
      </c>
      <c r="CB38" s="16">
        <v>306200</v>
      </c>
      <c r="CD38" s="39">
        <v>44834</v>
      </c>
      <c r="CE38" s="16">
        <v>306200</v>
      </c>
      <c r="CG38" s="39">
        <v>44834</v>
      </c>
      <c r="CH38" s="16">
        <v>306200</v>
      </c>
      <c r="CJ38" s="39">
        <v>44834</v>
      </c>
      <c r="CK38" s="16">
        <v>306200</v>
      </c>
      <c r="CM38" s="39">
        <v>44834</v>
      </c>
      <c r="CN38" s="16">
        <v>306200</v>
      </c>
      <c r="CP38" s="39"/>
      <c r="CQ38" s="16"/>
      <c r="CS38" s="39"/>
      <c r="CT38" s="16"/>
      <c r="CV38" s="39"/>
      <c r="CW38" s="16"/>
      <c r="CY38" s="39">
        <v>47118</v>
      </c>
      <c r="CZ38" s="16">
        <v>371824</v>
      </c>
      <c r="DB38" s="39">
        <v>47118</v>
      </c>
      <c r="DC38" s="16">
        <v>184859</v>
      </c>
      <c r="DE38" s="39"/>
      <c r="DF38" s="16"/>
      <c r="DH38" s="39"/>
      <c r="DI38" s="16"/>
      <c r="DK38" s="39"/>
      <c r="DL38" s="16"/>
      <c r="DN38" s="39"/>
      <c r="DO38" s="16"/>
      <c r="DQ38" s="39"/>
      <c r="DR38" s="16"/>
      <c r="DT38" s="39"/>
      <c r="DU38" s="16"/>
      <c r="DW38" s="39">
        <v>46752</v>
      </c>
      <c r="DX38" s="16">
        <v>371853</v>
      </c>
      <c r="DZ38" s="39">
        <v>47118</v>
      </c>
      <c r="EA38" s="16">
        <v>139246</v>
      </c>
      <c r="EC38" s="39"/>
      <c r="ED38" s="16"/>
      <c r="EF38" s="39"/>
      <c r="EG38" s="16"/>
      <c r="EI38" s="39">
        <v>44834</v>
      </c>
      <c r="EJ38" s="16">
        <v>423534</v>
      </c>
      <c r="EL38" s="39">
        <v>44834</v>
      </c>
      <c r="EM38" s="16">
        <v>380889</v>
      </c>
      <c r="EO38" s="39">
        <v>44742</v>
      </c>
      <c r="EP38" s="16">
        <v>532026</v>
      </c>
      <c r="ER38" s="39">
        <v>44834</v>
      </c>
      <c r="ES38" s="16">
        <v>473756</v>
      </c>
      <c r="EU38" s="39">
        <v>44834</v>
      </c>
      <c r="EV38" s="16">
        <v>477840</v>
      </c>
      <c r="EX38" s="39">
        <v>44743</v>
      </c>
      <c r="EY38" s="16">
        <v>1667828</v>
      </c>
      <c r="FA38" s="39">
        <v>46934</v>
      </c>
      <c r="FB38" s="16">
        <v>1475408</v>
      </c>
      <c r="FD38" s="39"/>
      <c r="FE38" s="16"/>
      <c r="FG38" s="39"/>
      <c r="FH38" s="16"/>
      <c r="FJ38" s="39"/>
      <c r="FK38" s="16"/>
      <c r="FM38" s="39"/>
      <c r="FN38" s="16"/>
      <c r="FP38" s="39"/>
      <c r="FQ38" s="16"/>
      <c r="FS38" s="39"/>
      <c r="FT38" s="16"/>
      <c r="FV38" s="39"/>
      <c r="FW38" s="16"/>
      <c r="FY38" s="39"/>
      <c r="FZ38" s="16"/>
      <c r="GB38" s="39"/>
      <c r="GC38" s="16"/>
    </row>
    <row r="39" spans="1:185" x14ac:dyDescent="0.25">
      <c r="A39" s="2">
        <v>46053</v>
      </c>
      <c r="B39" s="3">
        <v>366285714.28571475</v>
      </c>
      <c r="D39" s="2">
        <v>46053</v>
      </c>
      <c r="E39" s="3">
        <v>358000000</v>
      </c>
      <c r="G39" s="2">
        <v>46053</v>
      </c>
      <c r="H39" s="3">
        <v>366285714.28571475</v>
      </c>
      <c r="I39" s="3"/>
      <c r="J39" s="2">
        <v>46053</v>
      </c>
      <c r="K39" s="3">
        <v>366285714.28571475</v>
      </c>
      <c r="L39" s="3"/>
      <c r="O39" s="3"/>
      <c r="P39" s="2">
        <v>48610</v>
      </c>
      <c r="Q39" s="38">
        <v>169227272.72727287</v>
      </c>
      <c r="R39" s="38"/>
      <c r="S39" s="2"/>
      <c r="T39" s="3"/>
      <c r="U39" s="3"/>
      <c r="V39" s="2"/>
      <c r="W39" s="3"/>
      <c r="X39" s="3"/>
      <c r="Y39" s="3"/>
      <c r="Z39" s="3"/>
      <c r="AA39" s="3"/>
      <c r="AB39" s="3"/>
      <c r="AC39" s="3"/>
      <c r="AD39"/>
      <c r="AE39" s="3"/>
      <c r="AF39" s="3"/>
      <c r="AG39" s="3"/>
      <c r="AH39" s="3"/>
      <c r="AI39" s="3"/>
      <c r="AJ39" s="3"/>
      <c r="AK39" s="53">
        <v>44561</v>
      </c>
      <c r="AL39" s="54">
        <v>110739020.53624278</v>
      </c>
      <c r="AM39" s="3"/>
      <c r="AN39" s="53">
        <v>44561</v>
      </c>
      <c r="AO39" s="54">
        <v>136628539164.56059</v>
      </c>
      <c r="AP39" s="3"/>
      <c r="AQ39" s="39">
        <v>45200</v>
      </c>
      <c r="AR39" s="16">
        <v>5445000</v>
      </c>
      <c r="AT39" s="39">
        <f t="shared" si="0"/>
        <v>47664</v>
      </c>
      <c r="AU39" s="16">
        <v>43340625</v>
      </c>
      <c r="AW39" s="39">
        <v>44926</v>
      </c>
      <c r="AX39" s="16">
        <v>244320</v>
      </c>
      <c r="AZ39" s="39">
        <v>44926</v>
      </c>
      <c r="BA39" s="16">
        <v>244320</v>
      </c>
      <c r="BC39" s="39">
        <v>44926</v>
      </c>
      <c r="BD39" s="16">
        <v>244320</v>
      </c>
      <c r="BF39" s="39">
        <v>44926</v>
      </c>
      <c r="BG39" s="16">
        <v>244320</v>
      </c>
      <c r="BI39" s="39">
        <v>44926</v>
      </c>
      <c r="BJ39" s="16">
        <v>244320</v>
      </c>
      <c r="BL39" s="39">
        <v>44926</v>
      </c>
      <c r="BM39" s="16">
        <v>244320</v>
      </c>
      <c r="BO39" s="39">
        <v>44926</v>
      </c>
      <c r="BP39" s="16">
        <v>244320</v>
      </c>
      <c r="BR39" s="39">
        <v>44926</v>
      </c>
      <c r="BS39" s="16">
        <v>244320</v>
      </c>
      <c r="BU39" s="39">
        <v>44926</v>
      </c>
      <c r="BV39" s="16">
        <v>244320</v>
      </c>
      <c r="BX39" s="39"/>
      <c r="BY39" s="16"/>
      <c r="CA39" s="39">
        <v>44926</v>
      </c>
      <c r="CB39" s="16">
        <v>264840</v>
      </c>
      <c r="CD39" s="39">
        <v>44926</v>
      </c>
      <c r="CE39" s="16">
        <v>264840</v>
      </c>
      <c r="CG39" s="39">
        <v>44926</v>
      </c>
      <c r="CH39" s="16">
        <v>264840</v>
      </c>
      <c r="CJ39" s="39">
        <v>44926</v>
      </c>
      <c r="CK39" s="16">
        <v>264840</v>
      </c>
      <c r="CM39" s="39">
        <v>44926</v>
      </c>
      <c r="CN39" s="16">
        <v>264840</v>
      </c>
      <c r="CP39" s="39"/>
      <c r="CQ39" s="16"/>
      <c r="CS39" s="39"/>
      <c r="CT39" s="16"/>
      <c r="CV39" s="39"/>
      <c r="CW39" s="16"/>
      <c r="CY39" s="39">
        <v>47299</v>
      </c>
      <c r="CZ39" s="16">
        <v>0</v>
      </c>
      <c r="DB39" s="39">
        <v>47299</v>
      </c>
      <c r="DC39" s="16">
        <v>0</v>
      </c>
      <c r="DE39" s="39"/>
      <c r="DF39" s="16"/>
      <c r="DH39" s="39"/>
      <c r="DI39" s="16"/>
      <c r="DK39" s="39"/>
      <c r="DL39" s="16"/>
      <c r="DN39" s="39"/>
      <c r="DO39" s="16"/>
      <c r="DQ39" s="39"/>
      <c r="DR39" s="16"/>
      <c r="DT39" s="39"/>
      <c r="DU39" s="16"/>
      <c r="DW39" s="39">
        <v>46934</v>
      </c>
      <c r="DX39" s="16">
        <v>258793</v>
      </c>
      <c r="DZ39" s="39">
        <v>47299</v>
      </c>
      <c r="EA39" s="16">
        <v>0</v>
      </c>
      <c r="EC39" s="39"/>
      <c r="ED39" s="16"/>
      <c r="EF39" s="39"/>
      <c r="EG39" s="16"/>
      <c r="EI39" s="39">
        <v>44926</v>
      </c>
      <c r="EJ39" s="16">
        <v>340650</v>
      </c>
      <c r="EL39" s="39">
        <v>44926</v>
      </c>
      <c r="EM39" s="16">
        <v>318916</v>
      </c>
      <c r="EO39" s="39">
        <v>44834</v>
      </c>
      <c r="EP39" s="16">
        <v>446354</v>
      </c>
      <c r="ER39" s="39">
        <v>44926</v>
      </c>
      <c r="ES39" s="16">
        <v>396673</v>
      </c>
      <c r="EU39" s="39">
        <v>44926</v>
      </c>
      <c r="EV39" s="16">
        <v>384864</v>
      </c>
      <c r="EX39" s="39">
        <v>44835</v>
      </c>
      <c r="EY39" s="16">
        <v>1617805</v>
      </c>
      <c r="FA39" s="39">
        <v>47118</v>
      </c>
      <c r="FB39" s="16">
        <v>0</v>
      </c>
      <c r="FD39" s="39"/>
      <c r="FE39" s="16"/>
      <c r="FG39" s="39"/>
      <c r="FH39" s="16"/>
      <c r="FJ39" s="39"/>
      <c r="FK39" s="16"/>
      <c r="FM39" s="39"/>
      <c r="FN39" s="16"/>
      <c r="FP39" s="39"/>
      <c r="FQ39" s="16"/>
      <c r="FS39" s="39"/>
      <c r="FT39" s="16"/>
      <c r="FV39" s="39"/>
      <c r="FW39" s="16"/>
      <c r="FY39" s="39"/>
      <c r="FZ39" s="16"/>
      <c r="GB39" s="39"/>
      <c r="GC39" s="16"/>
    </row>
    <row r="40" spans="1:185" x14ac:dyDescent="0.25">
      <c r="A40" s="2">
        <v>46142</v>
      </c>
      <c r="B40" s="3">
        <v>358000000</v>
      </c>
      <c r="D40" s="2">
        <v>46142</v>
      </c>
      <c r="E40" s="3">
        <v>0</v>
      </c>
      <c r="G40" s="2">
        <v>46142</v>
      </c>
      <c r="H40" s="3">
        <v>358000000</v>
      </c>
      <c r="I40" s="3"/>
      <c r="J40" s="2">
        <v>46142</v>
      </c>
      <c r="K40" s="3">
        <v>438000000</v>
      </c>
      <c r="L40" s="3"/>
      <c r="O40" s="3"/>
      <c r="P40" s="2">
        <v>48699</v>
      </c>
      <c r="Q40" s="38">
        <v>159272727.2727274</v>
      </c>
      <c r="R40" s="38"/>
      <c r="S40" s="2"/>
      <c r="T40" s="3"/>
      <c r="U40" s="3"/>
      <c r="V40" s="2"/>
      <c r="W40" s="3"/>
      <c r="X40" s="3"/>
      <c r="Y40" s="3"/>
      <c r="Z40" s="3"/>
      <c r="AA40" s="3"/>
      <c r="AB40" s="3"/>
      <c r="AC40" s="3"/>
      <c r="AD40"/>
      <c r="AE40" s="3"/>
      <c r="AF40" s="3"/>
      <c r="AG40" s="3"/>
      <c r="AH40" s="3"/>
      <c r="AI40" s="3"/>
      <c r="AJ40" s="3"/>
      <c r="AK40" s="53">
        <v>44592</v>
      </c>
      <c r="AL40" s="54">
        <v>120594175.38854273</v>
      </c>
      <c r="AM40" s="3"/>
      <c r="AN40" s="53">
        <v>44592</v>
      </c>
      <c r="AO40" s="54">
        <v>149031299615.0885</v>
      </c>
      <c r="AP40" s="3"/>
      <c r="AQ40" s="39">
        <v>45383</v>
      </c>
      <c r="AR40" s="16">
        <v>3416000</v>
      </c>
      <c r="AT40" s="39">
        <f t="shared" si="0"/>
        <v>47847</v>
      </c>
      <c r="AU40" s="16">
        <v>40275000</v>
      </c>
      <c r="AW40" s="39">
        <v>45016</v>
      </c>
      <c r="AX40" s="16">
        <v>223520</v>
      </c>
      <c r="AZ40" s="39">
        <v>45016</v>
      </c>
      <c r="BA40" s="16">
        <v>223520</v>
      </c>
      <c r="BC40" s="39">
        <v>45016</v>
      </c>
      <c r="BD40" s="16">
        <v>223520</v>
      </c>
      <c r="BF40" s="39">
        <v>45016</v>
      </c>
      <c r="BG40" s="16">
        <v>223520</v>
      </c>
      <c r="BI40" s="39">
        <v>45016</v>
      </c>
      <c r="BJ40" s="16">
        <v>223520</v>
      </c>
      <c r="BL40" s="39">
        <v>45016</v>
      </c>
      <c r="BM40" s="16">
        <v>223520</v>
      </c>
      <c r="BO40" s="39">
        <v>45016</v>
      </c>
      <c r="BP40" s="16">
        <v>223520</v>
      </c>
      <c r="BR40" s="39">
        <v>45016</v>
      </c>
      <c r="BS40" s="16">
        <v>223520</v>
      </c>
      <c r="BU40" s="39">
        <v>45016</v>
      </c>
      <c r="BV40" s="16">
        <v>223520</v>
      </c>
      <c r="BX40" s="39"/>
      <c r="BY40" s="16"/>
      <c r="CA40" s="39">
        <v>45016</v>
      </c>
      <c r="CB40" s="16">
        <v>242280</v>
      </c>
      <c r="CD40" s="39">
        <v>45016</v>
      </c>
      <c r="CE40" s="16">
        <v>242280</v>
      </c>
      <c r="CG40" s="39">
        <v>45016</v>
      </c>
      <c r="CH40" s="16">
        <v>242280</v>
      </c>
      <c r="CJ40" s="39">
        <v>45016</v>
      </c>
      <c r="CK40" s="16">
        <v>242280</v>
      </c>
      <c r="CM40" s="39">
        <v>45016</v>
      </c>
      <c r="CN40" s="16">
        <v>242280</v>
      </c>
      <c r="CP40" s="39"/>
      <c r="CQ40" s="16"/>
      <c r="CS40" s="39"/>
      <c r="CT40" s="16"/>
      <c r="CV40" s="39"/>
      <c r="CW40" s="16"/>
      <c r="CY40" s="39"/>
      <c r="CZ40" s="16"/>
      <c r="DB40" s="39"/>
      <c r="DC40" s="16"/>
      <c r="DE40" s="39"/>
      <c r="DF40" s="16"/>
      <c r="DH40" s="39"/>
      <c r="DI40" s="16"/>
      <c r="DK40" s="39"/>
      <c r="DL40" s="16"/>
      <c r="DN40" s="39"/>
      <c r="DO40" s="16"/>
      <c r="DQ40" s="39"/>
      <c r="DR40" s="16"/>
      <c r="DT40" s="39"/>
      <c r="DU40" s="16"/>
      <c r="DW40" s="39">
        <v>47118</v>
      </c>
      <c r="DX40" s="16">
        <v>166689</v>
      </c>
      <c r="DZ40" s="39"/>
      <c r="EA40" s="16"/>
      <c r="EC40" s="39"/>
      <c r="ED40" s="16"/>
      <c r="EF40" s="39"/>
      <c r="EG40" s="16"/>
      <c r="EI40" s="39">
        <v>45016</v>
      </c>
      <c r="EJ40" s="16">
        <v>256864</v>
      </c>
      <c r="EL40" s="39">
        <v>45016</v>
      </c>
      <c r="EM40" s="16">
        <v>256348</v>
      </c>
      <c r="EO40" s="39">
        <v>44926</v>
      </c>
      <c r="EP40" s="16">
        <v>359505</v>
      </c>
      <c r="ER40" s="39">
        <v>45016</v>
      </c>
      <c r="ES40" s="16">
        <v>318850</v>
      </c>
      <c r="EU40" s="39">
        <v>45016</v>
      </c>
      <c r="EV40" s="16">
        <v>290610</v>
      </c>
      <c r="EX40" s="39">
        <v>44927</v>
      </c>
      <c r="EY40" s="16">
        <v>1567373</v>
      </c>
      <c r="FA40" s="39"/>
      <c r="FB40" s="16"/>
      <c r="FD40" s="39"/>
      <c r="FE40" s="16"/>
      <c r="FG40" s="39"/>
      <c r="FH40" s="16"/>
      <c r="FJ40" s="39"/>
      <c r="FK40" s="16"/>
      <c r="FM40" s="39"/>
      <c r="FN40" s="16"/>
      <c r="FP40" s="39"/>
      <c r="FQ40" s="16"/>
      <c r="FS40" s="39"/>
      <c r="FT40" s="16"/>
      <c r="FV40" s="39"/>
      <c r="FW40" s="16"/>
      <c r="FY40" s="39"/>
      <c r="FZ40" s="16"/>
      <c r="GB40" s="39"/>
      <c r="GC40" s="16"/>
    </row>
    <row r="41" spans="1:185" x14ac:dyDescent="0.25">
      <c r="A41" s="2">
        <v>46234</v>
      </c>
      <c r="B41" s="3">
        <v>0</v>
      </c>
      <c r="D41" s="2"/>
      <c r="E41" s="3"/>
      <c r="G41" s="2">
        <v>46234</v>
      </c>
      <c r="H41" s="3">
        <v>340100000</v>
      </c>
      <c r="I41" s="3"/>
      <c r="J41" s="2">
        <v>46234</v>
      </c>
      <c r="K41" s="38">
        <v>428045454.54545456</v>
      </c>
      <c r="L41" s="3"/>
      <c r="O41" s="3"/>
      <c r="P41" s="2">
        <v>48791</v>
      </c>
      <c r="Q41" s="38">
        <v>149318181.81818193</v>
      </c>
      <c r="R41" s="38"/>
      <c r="S41" s="2"/>
      <c r="T41" s="3"/>
      <c r="U41" s="3"/>
      <c r="V41" s="2"/>
      <c r="W41" s="3"/>
      <c r="X41" s="3"/>
      <c r="Y41" s="3"/>
      <c r="Z41" s="3"/>
      <c r="AA41" s="3"/>
      <c r="AB41" s="3"/>
      <c r="AC41" s="3"/>
      <c r="AD41"/>
      <c r="AE41" s="3"/>
      <c r="AF41" s="3"/>
      <c r="AG41" s="3"/>
      <c r="AH41" s="3"/>
      <c r="AI41" s="3"/>
      <c r="AJ41" s="3"/>
      <c r="AK41" s="53">
        <v>44620</v>
      </c>
      <c r="AL41" s="54">
        <v>121217959.80313219</v>
      </c>
      <c r="AM41" s="3"/>
      <c r="AN41" s="53">
        <v>44620</v>
      </c>
      <c r="AO41" s="54">
        <v>149816335343.38257</v>
      </c>
      <c r="AP41" s="3"/>
      <c r="AQ41" s="39">
        <v>45566</v>
      </c>
      <c r="AR41" s="16">
        <v>1708000</v>
      </c>
      <c r="AT41" s="39">
        <f t="shared" si="0"/>
        <v>48029</v>
      </c>
      <c r="AU41" s="16">
        <v>35887500</v>
      </c>
      <c r="AW41" s="39">
        <v>45107</v>
      </c>
      <c r="AX41" s="16">
        <v>179280</v>
      </c>
      <c r="AZ41" s="39">
        <v>45107</v>
      </c>
      <c r="BA41" s="16">
        <v>179280</v>
      </c>
      <c r="BC41" s="39">
        <v>45107</v>
      </c>
      <c r="BD41" s="16">
        <v>179280</v>
      </c>
      <c r="BF41" s="39">
        <v>45107</v>
      </c>
      <c r="BG41" s="16">
        <v>179280</v>
      </c>
      <c r="BI41" s="39">
        <v>45107</v>
      </c>
      <c r="BJ41" s="16">
        <v>179280</v>
      </c>
      <c r="BL41" s="39">
        <v>45107</v>
      </c>
      <c r="BM41" s="16">
        <v>179280</v>
      </c>
      <c r="BO41" s="39">
        <v>45107</v>
      </c>
      <c r="BP41" s="16">
        <v>179280</v>
      </c>
      <c r="BR41" s="39">
        <v>45107</v>
      </c>
      <c r="BS41" s="16">
        <v>179280</v>
      </c>
      <c r="BU41" s="39">
        <v>45107</v>
      </c>
      <c r="BV41" s="16">
        <v>179280</v>
      </c>
      <c r="BX41" s="39"/>
      <c r="BY41" s="16"/>
      <c r="CA41" s="39">
        <v>45107</v>
      </c>
      <c r="CB41" s="16">
        <v>184000</v>
      </c>
      <c r="CD41" s="39">
        <v>45107</v>
      </c>
      <c r="CE41" s="16">
        <v>184000</v>
      </c>
      <c r="CG41" s="39">
        <v>45107</v>
      </c>
      <c r="CH41" s="16">
        <v>184000</v>
      </c>
      <c r="CJ41" s="39">
        <v>45107</v>
      </c>
      <c r="CK41" s="16">
        <v>184000</v>
      </c>
      <c r="CM41" s="39">
        <v>45107</v>
      </c>
      <c r="CN41" s="16">
        <v>184000</v>
      </c>
      <c r="CP41" s="39"/>
      <c r="CQ41" s="16"/>
      <c r="CS41" s="39"/>
      <c r="CT41" s="16"/>
      <c r="CV41" s="39"/>
      <c r="CW41" s="16"/>
      <c r="CY41" s="39"/>
      <c r="CZ41" s="16"/>
      <c r="DB41" s="39"/>
      <c r="DC41" s="16"/>
      <c r="DE41" s="39"/>
      <c r="DF41" s="16"/>
      <c r="DH41" s="39"/>
      <c r="DI41" s="16"/>
      <c r="DK41" s="39"/>
      <c r="DL41" s="16"/>
      <c r="DN41" s="39"/>
      <c r="DO41" s="16"/>
      <c r="DQ41" s="39"/>
      <c r="DR41" s="16"/>
      <c r="DT41" s="39"/>
      <c r="DU41" s="16"/>
      <c r="DW41" s="39">
        <v>47299</v>
      </c>
      <c r="DX41" s="16">
        <v>48364</v>
      </c>
      <c r="DZ41" s="39"/>
      <c r="EA41" s="16"/>
      <c r="EC41" s="39"/>
      <c r="ED41" s="16"/>
      <c r="EF41" s="39"/>
      <c r="EG41" s="16"/>
      <c r="EI41" s="39">
        <v>45107</v>
      </c>
      <c r="EJ41" s="16">
        <v>172167</v>
      </c>
      <c r="EL41" s="39">
        <v>45107</v>
      </c>
      <c r="EM41" s="16">
        <v>193179</v>
      </c>
      <c r="EO41" s="39">
        <v>45016</v>
      </c>
      <c r="EP41" s="16">
        <v>271461</v>
      </c>
      <c r="ER41" s="39">
        <v>45107</v>
      </c>
      <c r="ES41" s="16">
        <v>240279</v>
      </c>
      <c r="EU41" s="39">
        <v>45107</v>
      </c>
      <c r="EV41" s="16">
        <v>195060</v>
      </c>
      <c r="EX41" s="39">
        <v>45017</v>
      </c>
      <c r="EY41" s="16">
        <v>1516528</v>
      </c>
      <c r="FA41" s="39"/>
      <c r="FB41" s="16"/>
      <c r="FD41" s="39"/>
      <c r="FE41" s="16"/>
      <c r="FG41" s="39"/>
      <c r="FH41" s="16"/>
      <c r="FJ41" s="39"/>
      <c r="FK41" s="16"/>
      <c r="FM41" s="39"/>
      <c r="FN41" s="16"/>
      <c r="FP41" s="39"/>
      <c r="FQ41" s="16"/>
      <c r="FS41" s="39"/>
      <c r="FT41" s="16"/>
      <c r="FV41" s="39"/>
      <c r="FW41" s="16"/>
      <c r="FY41" s="39"/>
      <c r="FZ41" s="16"/>
      <c r="GB41" s="39"/>
      <c r="GC41" s="16"/>
    </row>
    <row r="42" spans="1:185" x14ac:dyDescent="0.25">
      <c r="A42" s="2"/>
      <c r="B42" s="3"/>
      <c r="G42" s="2">
        <v>46326</v>
      </c>
      <c r="H42" s="3">
        <v>322200000</v>
      </c>
      <c r="I42" s="3"/>
      <c r="J42" s="2">
        <v>46326</v>
      </c>
      <c r="K42" s="38">
        <v>418090909.09090912</v>
      </c>
      <c r="L42" s="3"/>
      <c r="O42" s="3"/>
      <c r="P42" s="2">
        <v>48883</v>
      </c>
      <c r="Q42" s="38">
        <v>139363636.36363646</v>
      </c>
      <c r="R42" s="38"/>
      <c r="S42" s="2"/>
      <c r="T42" s="3"/>
      <c r="U42" s="3"/>
      <c r="V42" s="2"/>
      <c r="W42" s="3"/>
      <c r="X42" s="3"/>
      <c r="Y42" s="3"/>
      <c r="Z42" s="3"/>
      <c r="AA42" s="3"/>
      <c r="AB42" s="3"/>
      <c r="AC42" s="3"/>
      <c r="AD42"/>
      <c r="AE42" s="3"/>
      <c r="AF42" s="3"/>
      <c r="AG42" s="3"/>
      <c r="AH42" s="3"/>
      <c r="AI42" s="3"/>
      <c r="AJ42" s="3"/>
      <c r="AK42" s="53">
        <v>44651</v>
      </c>
      <c r="AL42" s="54">
        <v>125653335.00760747</v>
      </c>
      <c r="AM42" s="3"/>
      <c r="AN42" s="53">
        <v>44651</v>
      </c>
      <c r="AO42" s="54">
        <v>155398276671.93311</v>
      </c>
      <c r="AP42" s="3"/>
      <c r="AQ42" s="39">
        <v>45748</v>
      </c>
      <c r="AR42" s="16">
        <v>0</v>
      </c>
      <c r="AT42" s="39">
        <f t="shared" si="0"/>
        <v>48212</v>
      </c>
      <c r="AU42" s="16">
        <v>31500000</v>
      </c>
      <c r="AW42" s="39">
        <v>45198</v>
      </c>
      <c r="AX42" s="16">
        <v>135040</v>
      </c>
      <c r="AZ42" s="39">
        <v>45198</v>
      </c>
      <c r="BA42" s="16">
        <v>135040</v>
      </c>
      <c r="BC42" s="39">
        <v>45198</v>
      </c>
      <c r="BD42" s="16">
        <v>135040</v>
      </c>
      <c r="BF42" s="39">
        <v>45198</v>
      </c>
      <c r="BG42" s="16">
        <v>135040</v>
      </c>
      <c r="BI42" s="39">
        <v>45198</v>
      </c>
      <c r="BJ42" s="16">
        <v>135040</v>
      </c>
      <c r="BL42" s="39">
        <v>45198</v>
      </c>
      <c r="BM42" s="16">
        <v>135040</v>
      </c>
      <c r="BO42" s="39">
        <v>45198</v>
      </c>
      <c r="BP42" s="16">
        <v>135040</v>
      </c>
      <c r="BR42" s="39">
        <v>45198</v>
      </c>
      <c r="BS42" s="16">
        <v>135040</v>
      </c>
      <c r="BU42" s="39">
        <v>45198</v>
      </c>
      <c r="BV42" s="16">
        <v>135040</v>
      </c>
      <c r="BX42" s="39"/>
      <c r="BY42" s="16"/>
      <c r="CA42" s="39">
        <v>45198</v>
      </c>
      <c r="CB42" s="16">
        <v>118200</v>
      </c>
      <c r="CD42" s="39">
        <v>45198</v>
      </c>
      <c r="CE42" s="16">
        <v>118200</v>
      </c>
      <c r="CG42" s="39">
        <v>45198</v>
      </c>
      <c r="CH42" s="16">
        <v>118200</v>
      </c>
      <c r="CJ42" s="39">
        <v>45198</v>
      </c>
      <c r="CK42" s="16">
        <v>118200</v>
      </c>
      <c r="CM42" s="39">
        <v>45198</v>
      </c>
      <c r="CN42" s="16">
        <v>118200</v>
      </c>
      <c r="CP42" s="39"/>
      <c r="CQ42" s="16"/>
      <c r="CS42" s="39"/>
      <c r="CT42" s="16"/>
      <c r="CV42" s="39"/>
      <c r="CW42" s="16"/>
      <c r="CY42" s="39"/>
      <c r="CZ42" s="16"/>
      <c r="DB42" s="39"/>
      <c r="DC42" s="16"/>
      <c r="DE42" s="39"/>
      <c r="DF42" s="16"/>
      <c r="DH42" s="39"/>
      <c r="DI42" s="16"/>
      <c r="DK42" s="39"/>
      <c r="DL42" s="16"/>
      <c r="DN42" s="39"/>
      <c r="DO42" s="16"/>
      <c r="DQ42" s="39"/>
      <c r="DR42" s="16"/>
      <c r="DT42" s="39"/>
      <c r="DU42" s="16"/>
      <c r="DW42" s="39">
        <v>47483</v>
      </c>
      <c r="DX42" s="16">
        <v>0</v>
      </c>
      <c r="DZ42" s="39"/>
      <c r="EA42" s="16"/>
      <c r="EC42" s="39"/>
      <c r="ED42" s="16"/>
      <c r="EF42" s="39"/>
      <c r="EG42" s="16"/>
      <c r="EI42" s="39">
        <v>45198</v>
      </c>
      <c r="EJ42" s="16">
        <v>86549</v>
      </c>
      <c r="EL42" s="39">
        <v>45198</v>
      </c>
      <c r="EM42" s="16">
        <v>129403</v>
      </c>
      <c r="EO42" s="39">
        <v>45107</v>
      </c>
      <c r="EP42" s="16">
        <v>182207</v>
      </c>
      <c r="ER42" s="39">
        <v>45198</v>
      </c>
      <c r="ES42" s="16">
        <v>160953</v>
      </c>
      <c r="EU42" s="39">
        <v>45198</v>
      </c>
      <c r="EV42" s="16">
        <v>98196</v>
      </c>
      <c r="EX42" s="39">
        <v>45108</v>
      </c>
      <c r="EY42" s="16">
        <v>1465268</v>
      </c>
      <c r="FA42" s="39"/>
      <c r="FB42" s="16"/>
      <c r="FD42" s="39"/>
      <c r="FE42" s="16"/>
      <c r="FG42" s="39"/>
      <c r="FH42" s="16"/>
      <c r="FJ42" s="39"/>
      <c r="FK42" s="16"/>
      <c r="FM42" s="39"/>
      <c r="FN42" s="16"/>
      <c r="FP42" s="39"/>
      <c r="FQ42" s="16"/>
      <c r="FS42" s="39"/>
      <c r="FT42" s="16"/>
      <c r="FV42" s="39"/>
      <c r="FW42" s="16"/>
      <c r="FY42" s="39"/>
      <c r="FZ42" s="16"/>
      <c r="GB42" s="39"/>
      <c r="GC42" s="16"/>
    </row>
    <row r="43" spans="1:185" x14ac:dyDescent="0.25">
      <c r="A43" s="2"/>
      <c r="B43" s="3"/>
      <c r="E43" s="3"/>
      <c r="G43" s="2">
        <v>46418</v>
      </c>
      <c r="H43" s="3">
        <v>304300000</v>
      </c>
      <c r="I43" s="3"/>
      <c r="J43" s="2">
        <v>46418</v>
      </c>
      <c r="K43" s="38">
        <v>408136363.63636369</v>
      </c>
      <c r="L43" s="38"/>
      <c r="O43" s="3"/>
      <c r="P43" s="2">
        <v>48975</v>
      </c>
      <c r="Q43" s="38">
        <v>129409090.90909101</v>
      </c>
      <c r="R43" s="38"/>
      <c r="S43" s="2"/>
      <c r="T43" s="3"/>
      <c r="U43" s="3"/>
      <c r="V43" s="2"/>
      <c r="W43" s="3"/>
      <c r="X43" s="3"/>
      <c r="Y43" s="3"/>
      <c r="Z43" s="3"/>
      <c r="AA43" s="3"/>
      <c r="AB43" s="3"/>
      <c r="AC43" s="3"/>
      <c r="AD43"/>
      <c r="AE43" s="3"/>
      <c r="AF43" s="3"/>
      <c r="AG43" s="3"/>
      <c r="AH43" s="3"/>
      <c r="AI43" s="3"/>
      <c r="AJ43" s="3"/>
      <c r="AK43" s="53">
        <v>44681</v>
      </c>
      <c r="AL43" s="54">
        <v>135508489.85990742</v>
      </c>
      <c r="AM43" s="3"/>
      <c r="AN43" s="53">
        <v>44681</v>
      </c>
      <c r="AO43" s="54">
        <v>167801037122.461</v>
      </c>
      <c r="AP43" s="3"/>
      <c r="AQ43" s="3"/>
      <c r="AR43" s="3"/>
      <c r="AT43" s="39">
        <f t="shared" si="0"/>
        <v>48395</v>
      </c>
      <c r="AU43" s="16">
        <v>26606250</v>
      </c>
      <c r="AW43" s="39">
        <v>45289</v>
      </c>
      <c r="AX43" s="16">
        <v>114240</v>
      </c>
      <c r="AZ43" s="39">
        <v>45289</v>
      </c>
      <c r="BA43" s="16">
        <v>114240</v>
      </c>
      <c r="BC43" s="39">
        <v>45289</v>
      </c>
      <c r="BD43" s="16">
        <v>114240</v>
      </c>
      <c r="BF43" s="39">
        <v>45289</v>
      </c>
      <c r="BG43" s="16">
        <v>114240</v>
      </c>
      <c r="BI43" s="39">
        <v>45289</v>
      </c>
      <c r="BJ43" s="16">
        <v>114240</v>
      </c>
      <c r="BL43" s="39">
        <v>45289</v>
      </c>
      <c r="BM43" s="16">
        <v>114240</v>
      </c>
      <c r="BO43" s="39">
        <v>45289</v>
      </c>
      <c r="BP43" s="16">
        <v>114240</v>
      </c>
      <c r="BR43" s="39">
        <v>45289</v>
      </c>
      <c r="BS43" s="16">
        <v>114240</v>
      </c>
      <c r="BU43" s="39">
        <v>45289</v>
      </c>
      <c r="BV43" s="16">
        <v>114240</v>
      </c>
      <c r="BX43" s="39"/>
      <c r="BY43" s="16"/>
      <c r="CA43" s="39">
        <v>45289</v>
      </c>
      <c r="CB43" s="16">
        <v>76840</v>
      </c>
      <c r="CD43" s="39">
        <v>45289</v>
      </c>
      <c r="CE43" s="16">
        <v>76840</v>
      </c>
      <c r="CG43" s="39">
        <v>45289</v>
      </c>
      <c r="CH43" s="16">
        <v>76840</v>
      </c>
      <c r="CJ43" s="39">
        <v>45289</v>
      </c>
      <c r="CK43" s="16">
        <v>76840</v>
      </c>
      <c r="CM43" s="39">
        <v>45289</v>
      </c>
      <c r="CN43" s="16">
        <v>76840</v>
      </c>
      <c r="CP43" s="39"/>
      <c r="CQ43" s="16"/>
      <c r="CS43" s="39"/>
      <c r="CT43" s="16"/>
      <c r="CV43" s="39"/>
      <c r="CW43" s="16"/>
      <c r="CY43" s="39"/>
      <c r="CZ43" s="16"/>
      <c r="DB43" s="39"/>
      <c r="DC43" s="16"/>
      <c r="DE43" s="39"/>
      <c r="DF43" s="16"/>
      <c r="DH43" s="39"/>
      <c r="DI43" s="16"/>
      <c r="DK43" s="39"/>
      <c r="DL43" s="16"/>
      <c r="DN43" s="39"/>
      <c r="DO43" s="16"/>
      <c r="DQ43" s="39"/>
      <c r="DR43" s="16"/>
      <c r="DT43" s="39"/>
      <c r="DU43" s="16"/>
      <c r="DW43" s="39"/>
      <c r="DX43" s="16"/>
      <c r="DZ43" s="39"/>
      <c r="EA43" s="16"/>
      <c r="EC43" s="39"/>
      <c r="ED43" s="16"/>
      <c r="EF43" s="39"/>
      <c r="EG43" s="16"/>
      <c r="EI43" s="39">
        <v>45289</v>
      </c>
      <c r="EJ43" s="22">
        <v>0</v>
      </c>
      <c r="EL43" s="39">
        <v>45289</v>
      </c>
      <c r="EM43" s="16">
        <v>65014</v>
      </c>
      <c r="EO43" s="39">
        <v>45198</v>
      </c>
      <c r="EP43" s="16">
        <v>91726</v>
      </c>
      <c r="ER43" s="39">
        <v>45289</v>
      </c>
      <c r="ES43" s="16">
        <v>80865</v>
      </c>
      <c r="EU43" s="39">
        <v>45289</v>
      </c>
      <c r="EV43" s="16">
        <v>0</v>
      </c>
      <c r="EX43" s="39">
        <v>45200</v>
      </c>
      <c r="EY43" s="16">
        <v>1413588</v>
      </c>
      <c r="FA43" s="39"/>
      <c r="FB43" s="16"/>
      <c r="FD43" s="39"/>
      <c r="FE43" s="16"/>
      <c r="FG43" s="39"/>
      <c r="FH43" s="16"/>
      <c r="FJ43" s="39"/>
      <c r="FK43" s="16"/>
      <c r="FM43" s="39"/>
      <c r="FN43" s="16"/>
      <c r="FP43" s="39"/>
      <c r="FQ43" s="16"/>
      <c r="FS43" s="39"/>
      <c r="FT43" s="16"/>
      <c r="FV43" s="39"/>
      <c r="FW43" s="16"/>
      <c r="FY43" s="39"/>
      <c r="FZ43" s="16"/>
      <c r="GB43" s="39"/>
      <c r="GC43" s="16"/>
    </row>
    <row r="44" spans="1:185" x14ac:dyDescent="0.25">
      <c r="A44" s="2"/>
      <c r="B44" s="3"/>
      <c r="G44" s="2">
        <v>46507</v>
      </c>
      <c r="H44" s="3">
        <v>286400000</v>
      </c>
      <c r="I44" s="3"/>
      <c r="J44" s="2">
        <v>46507</v>
      </c>
      <c r="K44" s="38">
        <v>398181818.18181825</v>
      </c>
      <c r="L44" s="38"/>
      <c r="O44" s="3"/>
      <c r="P44" s="2">
        <v>49064</v>
      </c>
      <c r="Q44" s="38">
        <v>119454545.45454556</v>
      </c>
      <c r="R44" s="38"/>
      <c r="S44" s="2"/>
      <c r="T44" s="3"/>
      <c r="U44" s="3"/>
      <c r="V44" s="2"/>
      <c r="W44" s="3"/>
      <c r="X44" s="3"/>
      <c r="Y44" s="3"/>
      <c r="Z44" s="3"/>
      <c r="AA44" s="3"/>
      <c r="AB44" s="3"/>
      <c r="AC44" s="3"/>
      <c r="AD44"/>
      <c r="AE44" s="3"/>
      <c r="AF44" s="3"/>
      <c r="AG44" s="3"/>
      <c r="AH44" s="3"/>
      <c r="AI44" s="3"/>
      <c r="AJ44" s="3"/>
      <c r="AK44" s="53">
        <v>44712</v>
      </c>
      <c r="AL44" s="54">
        <v>136132274.27449688</v>
      </c>
      <c r="AM44" s="3"/>
      <c r="AN44" s="53">
        <v>44712</v>
      </c>
      <c r="AO44" s="54">
        <v>168586072850.75507</v>
      </c>
      <c r="AP44" s="3"/>
      <c r="AQ44" s="3"/>
      <c r="AR44" s="3"/>
      <c r="AT44" s="39">
        <f t="shared" si="0"/>
        <v>48578</v>
      </c>
      <c r="AU44" s="16">
        <v>21712500</v>
      </c>
      <c r="AW44" s="39">
        <v>45382</v>
      </c>
      <c r="AX44" s="22">
        <v>0</v>
      </c>
      <c r="AZ44" s="39">
        <v>45382</v>
      </c>
      <c r="BA44" s="22">
        <v>0</v>
      </c>
      <c r="BC44" s="39">
        <v>45382</v>
      </c>
      <c r="BD44" s="22">
        <v>0</v>
      </c>
      <c r="BF44" s="39">
        <v>45382</v>
      </c>
      <c r="BG44" s="16">
        <v>0</v>
      </c>
      <c r="BI44" s="39">
        <v>45382</v>
      </c>
      <c r="BJ44" s="16">
        <v>0</v>
      </c>
      <c r="BL44" s="39">
        <v>45382</v>
      </c>
      <c r="BM44" s="22">
        <v>0</v>
      </c>
      <c r="BO44" s="39">
        <v>45382</v>
      </c>
      <c r="BP44" s="16">
        <v>0</v>
      </c>
      <c r="BR44" s="39">
        <v>45382</v>
      </c>
      <c r="BS44" s="22">
        <v>0</v>
      </c>
      <c r="BU44" s="39">
        <v>45382</v>
      </c>
      <c r="BV44" s="22">
        <v>0</v>
      </c>
      <c r="BX44" s="39"/>
      <c r="BY44" s="16"/>
      <c r="CA44" s="39">
        <v>45382</v>
      </c>
      <c r="CB44" s="16">
        <v>54280</v>
      </c>
      <c r="CD44" s="39">
        <v>45382</v>
      </c>
      <c r="CE44" s="16">
        <v>54280</v>
      </c>
      <c r="CG44" s="39">
        <v>45382</v>
      </c>
      <c r="CH44" s="16">
        <v>54280</v>
      </c>
      <c r="CJ44" s="39">
        <v>45382</v>
      </c>
      <c r="CK44" s="16">
        <v>54280</v>
      </c>
      <c r="CM44" s="39">
        <v>45382</v>
      </c>
      <c r="CN44" s="16">
        <v>54280</v>
      </c>
      <c r="CP44" s="39"/>
      <c r="CQ44" s="16"/>
      <c r="CS44" s="39"/>
      <c r="CT44" s="16"/>
      <c r="CV44" s="39"/>
      <c r="CW44" s="16"/>
      <c r="CY44" s="39"/>
      <c r="CZ44" s="16"/>
      <c r="DB44" s="39"/>
      <c r="DC44" s="16"/>
      <c r="DE44" s="39"/>
      <c r="DF44" s="16"/>
      <c r="DH44" s="39"/>
      <c r="DI44" s="16"/>
      <c r="DK44" s="39"/>
      <c r="DL44" s="16"/>
      <c r="DN44" s="39"/>
      <c r="DO44" s="16"/>
      <c r="DQ44" s="39"/>
      <c r="DR44" s="16"/>
      <c r="DT44" s="39"/>
      <c r="DU44" s="16"/>
      <c r="DW44" s="39"/>
      <c r="DX44" s="16"/>
      <c r="DZ44" s="39"/>
      <c r="EA44" s="16"/>
      <c r="EC44" s="39"/>
      <c r="ED44" s="16"/>
      <c r="EF44" s="39"/>
      <c r="EG44" s="16"/>
      <c r="EL44" s="39">
        <v>45380</v>
      </c>
      <c r="EM44" s="22">
        <v>0</v>
      </c>
      <c r="EO44" s="39">
        <v>45289</v>
      </c>
      <c r="EP44" s="22">
        <v>0</v>
      </c>
      <c r="ER44" s="39">
        <v>45379</v>
      </c>
      <c r="ES44" s="22">
        <v>0</v>
      </c>
      <c r="EX44" s="39">
        <v>45292</v>
      </c>
      <c r="EY44" s="16">
        <v>1361486</v>
      </c>
      <c r="FA44" s="39"/>
      <c r="FB44" s="16"/>
      <c r="FD44" s="39"/>
      <c r="FE44" s="16"/>
      <c r="FG44" s="39"/>
      <c r="FH44" s="16"/>
      <c r="FJ44" s="39"/>
      <c r="FK44" s="16"/>
      <c r="FM44" s="39"/>
      <c r="FN44" s="16"/>
      <c r="FP44" s="39"/>
      <c r="FQ44" s="16"/>
      <c r="FS44" s="39"/>
      <c r="FT44" s="16"/>
      <c r="FV44" s="39"/>
      <c r="FW44" s="16"/>
      <c r="FY44" s="39"/>
      <c r="FZ44" s="16"/>
      <c r="GB44" s="39"/>
      <c r="GC44" s="16"/>
    </row>
    <row r="45" spans="1:185" x14ac:dyDescent="0.25">
      <c r="A45" s="2"/>
      <c r="B45" s="3"/>
      <c r="G45" s="2">
        <v>46599</v>
      </c>
      <c r="H45" s="3">
        <v>268500000</v>
      </c>
      <c r="I45" s="3"/>
      <c r="J45" s="2">
        <v>46599</v>
      </c>
      <c r="K45" s="38">
        <v>388227272.72727281</v>
      </c>
      <c r="L45" s="38"/>
      <c r="O45" s="3"/>
      <c r="P45" s="2">
        <v>49156</v>
      </c>
      <c r="Q45" s="38">
        <v>109500000.0000001</v>
      </c>
      <c r="R45" s="38"/>
      <c r="S45" s="2"/>
      <c r="T45" s="3"/>
      <c r="U45" s="3"/>
      <c r="V45" s="2"/>
      <c r="W45" s="3"/>
      <c r="X45" s="3"/>
      <c r="Y45" s="3"/>
      <c r="Z45" s="3"/>
      <c r="AA45" s="3"/>
      <c r="AB45" s="3"/>
      <c r="AC45" s="3"/>
      <c r="AD45"/>
      <c r="AE45" s="3"/>
      <c r="AF45" s="3"/>
      <c r="AG45" s="3"/>
      <c r="AH45" s="3"/>
      <c r="AI45" s="3"/>
      <c r="AJ45" s="3"/>
      <c r="AK45" s="53">
        <v>44742</v>
      </c>
      <c r="AL45" s="54">
        <v>136756058.68908635</v>
      </c>
      <c r="AM45" s="3"/>
      <c r="AN45" s="53">
        <v>44742</v>
      </c>
      <c r="AO45" s="54">
        <v>169371108579.04913</v>
      </c>
      <c r="AP45" s="3"/>
      <c r="AQ45" s="3"/>
      <c r="AR45" s="3"/>
      <c r="AT45" s="39">
        <f t="shared" si="0"/>
        <v>48760</v>
      </c>
      <c r="AU45" s="16">
        <v>16312500</v>
      </c>
      <c r="BF45" s="39"/>
      <c r="BG45" s="16"/>
      <c r="BI45" s="39"/>
      <c r="BO45" s="39"/>
      <c r="BX45" s="39"/>
      <c r="BY45" s="16"/>
      <c r="CA45" s="39">
        <v>45473</v>
      </c>
      <c r="CB45" s="16">
        <v>0</v>
      </c>
      <c r="CD45" s="39">
        <v>45473</v>
      </c>
      <c r="CE45" s="16">
        <v>0</v>
      </c>
      <c r="CG45" s="39">
        <v>45473</v>
      </c>
      <c r="CH45" s="22">
        <v>0</v>
      </c>
      <c r="CJ45" s="39">
        <v>45473</v>
      </c>
      <c r="CK45" s="16">
        <v>0</v>
      </c>
      <c r="CM45" s="39">
        <v>45473</v>
      </c>
      <c r="CN45" s="16">
        <v>0</v>
      </c>
      <c r="CP45" s="39"/>
      <c r="CQ45" s="16"/>
      <c r="CS45" s="39"/>
      <c r="CT45" s="16"/>
      <c r="CV45" s="39"/>
      <c r="CW45" s="16"/>
      <c r="CY45" s="39"/>
      <c r="CZ45" s="16"/>
      <c r="DB45" s="39"/>
      <c r="DC45" s="16"/>
      <c r="DE45" s="39"/>
      <c r="DF45" s="16"/>
      <c r="DH45" s="39"/>
      <c r="DI45" s="16"/>
      <c r="DK45" s="39"/>
      <c r="DL45" s="16"/>
      <c r="DN45" s="39"/>
      <c r="DO45" s="16"/>
      <c r="DQ45" s="39"/>
      <c r="DR45" s="16"/>
      <c r="DT45" s="39"/>
      <c r="DU45" s="16"/>
      <c r="DW45" s="39"/>
      <c r="DX45" s="16"/>
      <c r="DZ45" s="39"/>
      <c r="EA45" s="16"/>
      <c r="EC45" s="39"/>
      <c r="ED45" s="16"/>
      <c r="EF45" s="39"/>
      <c r="EG45" s="16"/>
      <c r="EX45" s="39">
        <v>45383</v>
      </c>
      <c r="EY45" s="16">
        <v>1308957</v>
      </c>
      <c r="FA45" s="39"/>
      <c r="FB45" s="16"/>
      <c r="FD45" s="39"/>
      <c r="FE45" s="16"/>
      <c r="FG45" s="39"/>
      <c r="FH45" s="16"/>
      <c r="FJ45" s="39"/>
      <c r="FK45" s="16"/>
      <c r="FM45" s="39"/>
      <c r="FN45" s="16"/>
      <c r="FP45" s="39"/>
      <c r="FQ45" s="16"/>
      <c r="FS45" s="39"/>
      <c r="FT45" s="16"/>
      <c r="FV45" s="39"/>
      <c r="FW45" s="16"/>
      <c r="FY45" s="39"/>
      <c r="FZ45" s="16"/>
      <c r="GB45" s="39"/>
      <c r="GC45" s="16"/>
    </row>
    <row r="46" spans="1:185" x14ac:dyDescent="0.25">
      <c r="A46" s="2"/>
      <c r="B46" s="3"/>
      <c r="G46" s="2">
        <v>46691</v>
      </c>
      <c r="H46" s="3">
        <v>250600000</v>
      </c>
      <c r="I46" s="3"/>
      <c r="J46" s="2">
        <v>46691</v>
      </c>
      <c r="K46" s="38">
        <v>378272727.27272737</v>
      </c>
      <c r="L46" s="38"/>
      <c r="O46" s="3"/>
      <c r="P46" s="2">
        <v>49248</v>
      </c>
      <c r="Q46" s="38">
        <v>99545454.545454651</v>
      </c>
      <c r="R46" s="38"/>
      <c r="S46" s="2"/>
      <c r="T46" s="3"/>
      <c r="U46" s="3"/>
      <c r="V46" s="2"/>
      <c r="W46" s="3"/>
      <c r="X46" s="3"/>
      <c r="Y46" s="3"/>
      <c r="Z46" s="3"/>
      <c r="AA46" s="3"/>
      <c r="AB46" s="3"/>
      <c r="AC46" s="3"/>
      <c r="AD46"/>
      <c r="AE46" s="3"/>
      <c r="AF46" s="3"/>
      <c r="AG46" s="3"/>
      <c r="AH46" s="3"/>
      <c r="AI46" s="3"/>
      <c r="AJ46" s="3"/>
      <c r="AK46" s="53">
        <v>44773</v>
      </c>
      <c r="AL46" s="54">
        <v>140841607.01781726</v>
      </c>
      <c r="AM46" s="3"/>
      <c r="AN46" s="53">
        <v>44773</v>
      </c>
      <c r="AO46" s="54">
        <v>174512791078.18085</v>
      </c>
      <c r="AP46" s="3"/>
      <c r="AQ46" s="3"/>
      <c r="AR46" s="3"/>
      <c r="AT46" s="39">
        <f t="shared" si="0"/>
        <v>48943</v>
      </c>
      <c r="AU46" s="16">
        <v>10912500</v>
      </c>
      <c r="BF46" s="39"/>
      <c r="BX46" s="39"/>
      <c r="BY46" s="16"/>
      <c r="CA46" s="39"/>
      <c r="CB46" s="16"/>
      <c r="CD46" s="39"/>
      <c r="CE46" s="16"/>
      <c r="CJ46" s="39"/>
      <c r="CK46" s="16"/>
      <c r="CM46" s="39"/>
      <c r="CP46" s="39"/>
      <c r="CQ46" s="16"/>
      <c r="CS46" s="39"/>
      <c r="CT46" s="16"/>
      <c r="CV46" s="39"/>
      <c r="CW46" s="16"/>
      <c r="CY46" s="39"/>
      <c r="CZ46" s="16"/>
      <c r="DB46" s="39"/>
      <c r="DC46" s="16"/>
      <c r="DE46" s="39"/>
      <c r="DF46" s="16"/>
      <c r="DH46" s="39"/>
      <c r="DI46" s="16"/>
      <c r="DK46" s="39"/>
      <c r="DL46" s="16"/>
      <c r="DN46" s="39"/>
      <c r="DO46" s="16"/>
      <c r="DQ46" s="39"/>
      <c r="DR46" s="16"/>
      <c r="DT46" s="39"/>
      <c r="DU46" s="16"/>
      <c r="DW46" s="39"/>
      <c r="DX46" s="16"/>
      <c r="DZ46" s="39"/>
      <c r="EA46" s="16"/>
      <c r="EC46" s="39"/>
      <c r="ED46" s="16"/>
      <c r="EF46" s="39"/>
      <c r="EG46" s="16"/>
      <c r="EX46" s="39">
        <v>45474</v>
      </c>
      <c r="EY46" s="16">
        <v>1255999</v>
      </c>
      <c r="FA46" s="39"/>
      <c r="FB46" s="16"/>
      <c r="FD46" s="39"/>
      <c r="FE46" s="16"/>
      <c r="FG46" s="39"/>
      <c r="FH46" s="16"/>
      <c r="FJ46" s="39"/>
      <c r="FK46" s="16"/>
      <c r="FM46" s="39"/>
      <c r="FN46" s="16"/>
      <c r="FP46" s="39"/>
      <c r="FQ46" s="16"/>
      <c r="FS46" s="39"/>
      <c r="FT46" s="16"/>
      <c r="FV46" s="39"/>
      <c r="FW46" s="16"/>
      <c r="FY46" s="39"/>
      <c r="FZ46" s="16"/>
      <c r="GB46" s="39"/>
      <c r="GC46" s="16"/>
    </row>
    <row r="47" spans="1:185" x14ac:dyDescent="0.25">
      <c r="A47" s="2"/>
      <c r="B47" s="3"/>
      <c r="G47" s="2">
        <v>46783</v>
      </c>
      <c r="H47" s="3">
        <v>232700000</v>
      </c>
      <c r="I47" s="3"/>
      <c r="J47" s="2">
        <v>46783</v>
      </c>
      <c r="K47" s="38">
        <v>368318181.81818193</v>
      </c>
      <c r="L47" s="38"/>
      <c r="O47" s="3"/>
      <c r="P47" s="2">
        <v>49340</v>
      </c>
      <c r="Q47" s="38">
        <v>89590909.090909198</v>
      </c>
      <c r="R47" s="38"/>
      <c r="S47" s="2"/>
      <c r="T47" s="3"/>
      <c r="U47" s="3"/>
      <c r="V47" s="2"/>
      <c r="W47" s="3"/>
      <c r="X47" s="3"/>
      <c r="Y47" s="3"/>
      <c r="Z47" s="3"/>
      <c r="AA47" s="3"/>
      <c r="AB47" s="3"/>
      <c r="AC47" s="3"/>
      <c r="AD47"/>
      <c r="AE47" s="3"/>
      <c r="AF47" s="3"/>
      <c r="AG47" s="3"/>
      <c r="AH47" s="3"/>
      <c r="AI47" s="3"/>
      <c r="AJ47" s="3"/>
      <c r="AK47" s="53">
        <v>44804</v>
      </c>
      <c r="AL47" s="54">
        <v>159928132.30782768</v>
      </c>
      <c r="AM47" s="3"/>
      <c r="AN47" s="53">
        <v>44804</v>
      </c>
      <c r="AO47" s="54">
        <v>198533276250.94263</v>
      </c>
      <c r="AP47" s="3"/>
      <c r="AQ47" s="3"/>
      <c r="AR47" s="3"/>
      <c r="AT47" s="39">
        <f t="shared" si="0"/>
        <v>49125</v>
      </c>
      <c r="AU47" s="16">
        <v>5456250</v>
      </c>
      <c r="BX47" s="39"/>
      <c r="BY47" s="16"/>
      <c r="CA47" s="39"/>
      <c r="CD47" s="39"/>
      <c r="CJ47" s="39"/>
      <c r="CP47" s="39"/>
      <c r="CQ47" s="16"/>
      <c r="CS47" s="39"/>
      <c r="CT47" s="16"/>
      <c r="CV47" s="39"/>
      <c r="CW47" s="16"/>
      <c r="CY47" s="39"/>
      <c r="CZ47" s="16"/>
      <c r="DB47" s="39"/>
      <c r="DC47" s="16"/>
      <c r="DE47" s="39"/>
      <c r="DF47" s="16"/>
      <c r="DH47" s="39"/>
      <c r="DI47" s="16"/>
      <c r="DK47" s="39"/>
      <c r="DL47" s="16"/>
      <c r="DN47" s="39"/>
      <c r="DO47" s="16"/>
      <c r="DQ47" s="39"/>
      <c r="DR47" s="16"/>
      <c r="DT47" s="39"/>
      <c r="DU47" s="16"/>
      <c r="DW47" s="39"/>
      <c r="DX47" s="16"/>
      <c r="DZ47" s="39"/>
      <c r="EA47" s="16"/>
      <c r="EC47" s="39"/>
      <c r="ED47" s="16"/>
      <c r="EF47" s="39"/>
      <c r="EG47" s="16"/>
      <c r="EX47" s="39">
        <v>45566</v>
      </c>
      <c r="EY47" s="16">
        <v>1202608</v>
      </c>
      <c r="FA47" s="39"/>
      <c r="FB47" s="16"/>
      <c r="FD47" s="39"/>
      <c r="FE47" s="16"/>
      <c r="FG47" s="39"/>
      <c r="FH47" s="16"/>
      <c r="FJ47" s="39"/>
      <c r="FK47" s="16"/>
      <c r="FM47" s="39"/>
      <c r="FN47" s="16"/>
      <c r="FP47" s="39"/>
      <c r="FQ47" s="16"/>
      <c r="FS47" s="39"/>
      <c r="FT47" s="16"/>
      <c r="FV47" s="39"/>
      <c r="FW47" s="16"/>
      <c r="FY47" s="39"/>
      <c r="FZ47" s="16"/>
      <c r="GB47" s="39"/>
      <c r="GC47" s="16"/>
    </row>
    <row r="48" spans="1:185" x14ac:dyDescent="0.25">
      <c r="A48" s="2"/>
      <c r="B48" s="3"/>
      <c r="G48" s="2">
        <v>46873</v>
      </c>
      <c r="H48" s="3">
        <v>214800000</v>
      </c>
      <c r="I48" s="3"/>
      <c r="J48" s="2">
        <v>46873</v>
      </c>
      <c r="K48" s="38">
        <v>358363636.36363649</v>
      </c>
      <c r="L48" s="38"/>
      <c r="O48" s="3"/>
      <c r="P48" s="2">
        <v>49429</v>
      </c>
      <c r="Q48" s="38">
        <v>79636363.636363745</v>
      </c>
      <c r="R48" s="38"/>
      <c r="S48" s="2"/>
      <c r="T48" s="3"/>
      <c r="U48" s="3"/>
      <c r="V48" s="2"/>
      <c r="W48" s="3"/>
      <c r="X48" s="3"/>
      <c r="Y48" s="3"/>
      <c r="Z48" s="3"/>
      <c r="AA48" s="3"/>
      <c r="AB48" s="3"/>
      <c r="AC48" s="3"/>
      <c r="AD48"/>
      <c r="AE48" s="3"/>
      <c r="AF48" s="3"/>
      <c r="AG48" s="3"/>
      <c r="AH48" s="3"/>
      <c r="AI48" s="3"/>
      <c r="AJ48" s="3"/>
      <c r="AK48" s="53">
        <v>44834</v>
      </c>
      <c r="AL48" s="54">
        <v>164783408.19880831</v>
      </c>
      <c r="AM48" s="3"/>
      <c r="AN48" s="53">
        <v>44834</v>
      </c>
      <c r="AO48" s="54">
        <v>204643664641.54236</v>
      </c>
      <c r="AP48" s="3"/>
      <c r="AT48" s="39">
        <f t="shared" si="0"/>
        <v>49308</v>
      </c>
      <c r="AU48" s="22">
        <v>0</v>
      </c>
      <c r="BX48" s="39"/>
      <c r="BY48" s="16"/>
      <c r="CP48" s="39"/>
      <c r="CQ48" s="16"/>
      <c r="CS48" s="39"/>
      <c r="CT48" s="16"/>
      <c r="CV48" s="39"/>
      <c r="CW48" s="16"/>
      <c r="CY48" s="39"/>
      <c r="CZ48" s="16"/>
      <c r="DB48" s="39"/>
      <c r="DC48" s="16"/>
      <c r="DE48" s="39"/>
      <c r="DF48" s="16"/>
      <c r="DH48" s="39"/>
      <c r="DI48" s="16"/>
      <c r="DK48" s="39"/>
      <c r="DL48" s="16"/>
      <c r="DN48" s="39"/>
      <c r="DO48" s="16"/>
      <c r="DQ48" s="39"/>
      <c r="DR48" s="16"/>
      <c r="DT48" s="39"/>
      <c r="DU48" s="16"/>
      <c r="DW48" s="39"/>
      <c r="DX48" s="16"/>
      <c r="DZ48" s="39"/>
      <c r="EA48" s="16"/>
      <c r="EC48" s="39"/>
      <c r="ED48" s="16"/>
      <c r="EF48" s="39"/>
      <c r="EG48" s="16"/>
      <c r="EX48" s="39">
        <v>45658</v>
      </c>
      <c r="EY48" s="16">
        <v>1148780</v>
      </c>
      <c r="FA48" s="39"/>
      <c r="FB48" s="16"/>
      <c r="FD48" s="39"/>
      <c r="FE48" s="16"/>
      <c r="FG48" s="39"/>
      <c r="FH48" s="16"/>
      <c r="FJ48" s="39"/>
      <c r="FK48" s="16"/>
      <c r="FM48" s="39"/>
      <c r="FN48" s="16"/>
      <c r="FP48" s="39"/>
      <c r="FQ48" s="16"/>
      <c r="FS48" s="39"/>
      <c r="FT48" s="16"/>
      <c r="FV48" s="39"/>
      <c r="FW48" s="16"/>
      <c r="FY48" s="39"/>
      <c r="FZ48" s="16"/>
      <c r="GB48" s="39"/>
      <c r="GC48" s="16"/>
    </row>
    <row r="49" spans="1:185" x14ac:dyDescent="0.25">
      <c r="A49" s="2"/>
      <c r="B49" s="3"/>
      <c r="G49" s="2">
        <v>46965</v>
      </c>
      <c r="H49" s="3">
        <v>196900000</v>
      </c>
      <c r="I49" s="3"/>
      <c r="J49" s="2">
        <v>46965</v>
      </c>
      <c r="K49" s="38">
        <v>348409090.90909106</v>
      </c>
      <c r="L49" s="38"/>
      <c r="O49" s="3"/>
      <c r="P49" s="2">
        <v>49521</v>
      </c>
      <c r="Q49" s="38">
        <v>69681818.181818292</v>
      </c>
      <c r="R49" s="38"/>
      <c r="S49" s="2"/>
      <c r="T49" s="3"/>
      <c r="U49" s="3"/>
      <c r="V49" s="2"/>
      <c r="W49" s="3"/>
      <c r="X49" s="3"/>
      <c r="Y49" s="3"/>
      <c r="Z49" s="3"/>
      <c r="AA49" s="3"/>
      <c r="AB49" s="3"/>
      <c r="AC49" s="3"/>
      <c r="AD49"/>
      <c r="AE49" s="3"/>
      <c r="AF49" s="3"/>
      <c r="AG49" s="3"/>
      <c r="AH49" s="3"/>
      <c r="AI49" s="3"/>
      <c r="AJ49" s="3"/>
      <c r="AK49" s="53">
        <v>44865</v>
      </c>
      <c r="AL49" s="54">
        <v>164798682.25203183</v>
      </c>
      <c r="AM49" s="3"/>
      <c r="AN49" s="53">
        <v>44865</v>
      </c>
      <c r="AO49" s="54">
        <v>204662887112.02399</v>
      </c>
      <c r="AP49" s="3"/>
      <c r="AT49" s="39"/>
      <c r="BX49" s="39"/>
      <c r="BY49" s="16"/>
      <c r="CP49" s="39"/>
      <c r="CQ49" s="16"/>
      <c r="CS49" s="39"/>
      <c r="CT49" s="16"/>
      <c r="CV49" s="39"/>
      <c r="CW49" s="16"/>
      <c r="CY49" s="39"/>
      <c r="CZ49" s="16"/>
      <c r="DB49" s="39"/>
      <c r="DC49" s="16"/>
      <c r="DE49" s="39"/>
      <c r="DF49" s="16"/>
      <c r="DH49" s="39"/>
      <c r="DI49" s="16"/>
      <c r="DK49" s="39"/>
      <c r="DL49" s="16"/>
      <c r="DN49" s="39"/>
      <c r="DO49" s="16"/>
      <c r="DQ49" s="39"/>
      <c r="DR49" s="16"/>
      <c r="DT49" s="39"/>
      <c r="DU49" s="16"/>
      <c r="DW49" s="39"/>
      <c r="DX49" s="16"/>
      <c r="DZ49" s="39"/>
      <c r="EA49" s="16"/>
      <c r="EC49" s="39"/>
      <c r="ED49" s="16"/>
      <c r="EF49" s="39"/>
      <c r="EG49" s="16"/>
      <c r="EX49" s="39">
        <v>45748</v>
      </c>
      <c r="EY49" s="16">
        <v>1094512</v>
      </c>
      <c r="FA49" s="39"/>
      <c r="FB49" s="16"/>
      <c r="FD49" s="39"/>
      <c r="FE49" s="16"/>
      <c r="FG49" s="39"/>
      <c r="FH49" s="16"/>
      <c r="FJ49" s="39"/>
      <c r="FK49" s="16"/>
      <c r="FM49" s="39"/>
      <c r="FN49" s="16"/>
      <c r="FP49" s="39"/>
      <c r="FQ49" s="16"/>
      <c r="FS49" s="39"/>
      <c r="FT49" s="16"/>
      <c r="FV49" s="39"/>
      <c r="FW49" s="16"/>
      <c r="FY49" s="39"/>
      <c r="FZ49" s="16"/>
      <c r="GB49" s="39"/>
      <c r="GC49" s="16"/>
    </row>
    <row r="50" spans="1:185" x14ac:dyDescent="0.25">
      <c r="A50" s="2"/>
      <c r="B50" s="3"/>
      <c r="G50" s="2">
        <v>47057</v>
      </c>
      <c r="H50" s="3">
        <v>179000000</v>
      </c>
      <c r="I50" s="3"/>
      <c r="J50" s="2">
        <v>47057</v>
      </c>
      <c r="K50" s="38">
        <v>338454545.45454562</v>
      </c>
      <c r="L50" s="38"/>
      <c r="O50" s="3"/>
      <c r="P50" s="2">
        <v>49613</v>
      </c>
      <c r="Q50" s="38">
        <v>59727272.727272838</v>
      </c>
      <c r="R50" s="38"/>
      <c r="S50" s="2"/>
      <c r="T50" s="3"/>
      <c r="U50" s="3"/>
      <c r="V50" s="2"/>
      <c r="W50" s="3"/>
      <c r="X50" s="3"/>
      <c r="Y50" s="3"/>
      <c r="Z50" s="3"/>
      <c r="AA50" s="3"/>
      <c r="AB50" s="3"/>
      <c r="AC50" s="3"/>
      <c r="AD50"/>
      <c r="AE50" s="3"/>
      <c r="AF50" s="3"/>
      <c r="AG50" s="3"/>
      <c r="AH50" s="3"/>
      <c r="AI50" s="3"/>
      <c r="AJ50" s="3"/>
      <c r="AK50" s="53">
        <v>44895</v>
      </c>
      <c r="AL50" s="54">
        <v>173867178.02667272</v>
      </c>
      <c r="AM50" s="3"/>
      <c r="AN50" s="53">
        <v>44895</v>
      </c>
      <c r="AO50" s="54">
        <v>216075633276.35715</v>
      </c>
      <c r="AP50" s="3"/>
      <c r="BX50" s="39"/>
      <c r="BY50" s="16"/>
      <c r="CP50" s="39"/>
      <c r="CQ50" s="16"/>
      <c r="CS50" s="39"/>
      <c r="CT50" s="16"/>
      <c r="CV50" s="39"/>
      <c r="CW50" s="16"/>
      <c r="CY50" s="39"/>
      <c r="CZ50" s="16"/>
      <c r="DB50" s="39"/>
      <c r="DC50" s="16"/>
      <c r="DE50" s="39"/>
      <c r="DF50" s="16"/>
      <c r="DH50" s="39"/>
      <c r="DI50" s="16"/>
      <c r="DK50" s="39"/>
      <c r="DL50" s="16"/>
      <c r="DN50" s="39"/>
      <c r="DO50" s="16"/>
      <c r="DQ50" s="39"/>
      <c r="DR50" s="16"/>
      <c r="DT50" s="39"/>
      <c r="DU50" s="16"/>
      <c r="DW50" s="39"/>
      <c r="DX50" s="16"/>
      <c r="DZ50" s="39"/>
      <c r="EA50" s="16"/>
      <c r="EC50" s="39"/>
      <c r="ED50" s="16"/>
      <c r="EF50" s="39"/>
      <c r="EG50" s="16"/>
      <c r="EX50" s="39">
        <v>45839</v>
      </c>
      <c r="EY50" s="16">
        <v>1039800</v>
      </c>
      <c r="FA50" s="39"/>
      <c r="FB50" s="16"/>
      <c r="FD50" s="39"/>
      <c r="FE50" s="16"/>
      <c r="FG50" s="39"/>
      <c r="FH50" s="16"/>
      <c r="FJ50" s="39"/>
      <c r="FK50" s="16"/>
      <c r="FM50" s="39"/>
      <c r="FN50" s="16"/>
      <c r="FP50" s="39"/>
      <c r="FQ50" s="16"/>
      <c r="FS50" s="39"/>
      <c r="FT50" s="16"/>
      <c r="FV50" s="39"/>
      <c r="FW50" s="16"/>
      <c r="FY50" s="39"/>
      <c r="FZ50" s="16"/>
      <c r="GB50" s="39"/>
      <c r="GC50" s="16"/>
    </row>
    <row r="51" spans="1:185" x14ac:dyDescent="0.25">
      <c r="A51" s="2"/>
      <c r="B51" s="3"/>
      <c r="G51" s="2">
        <v>47149</v>
      </c>
      <c r="H51" s="3">
        <v>161100000</v>
      </c>
      <c r="I51" s="3"/>
      <c r="J51" s="2">
        <v>47149</v>
      </c>
      <c r="K51" s="38">
        <v>328500000.00000018</v>
      </c>
      <c r="L51" s="38"/>
      <c r="O51" s="3"/>
      <c r="P51" s="2">
        <v>49705</v>
      </c>
      <c r="Q51" s="38">
        <v>49772727.272727385</v>
      </c>
      <c r="R51" s="38"/>
      <c r="S51" s="2"/>
      <c r="T51" s="3"/>
      <c r="U51" s="3"/>
      <c r="V51" s="2"/>
      <c r="W51" s="3"/>
      <c r="X51" s="3"/>
      <c r="Y51" s="3"/>
      <c r="Z51" s="3"/>
      <c r="AA51" s="3"/>
      <c r="AB51" s="3"/>
      <c r="AC51" s="3"/>
      <c r="AD51"/>
      <c r="AE51" s="3"/>
      <c r="AF51" s="3"/>
      <c r="AG51" s="3"/>
      <c r="AH51" s="3"/>
      <c r="AI51" s="3"/>
      <c r="AJ51" s="3"/>
      <c r="AK51" s="53">
        <v>44926</v>
      </c>
      <c r="AL51" s="54">
        <v>173867178.02667272</v>
      </c>
      <c r="AM51" s="3"/>
      <c r="AN51" s="53">
        <v>44926</v>
      </c>
      <c r="AO51" s="54">
        <v>216075633276.35715</v>
      </c>
      <c r="AP51" s="3"/>
      <c r="BX51" s="39"/>
      <c r="BY51" s="16"/>
      <c r="CP51" s="39"/>
      <c r="CQ51" s="16"/>
      <c r="CS51" s="39"/>
      <c r="CT51" s="16"/>
      <c r="CV51" s="39"/>
      <c r="CW51" s="16"/>
      <c r="CY51" s="39"/>
      <c r="CZ51" s="16"/>
      <c r="DB51" s="39"/>
      <c r="DC51" s="16"/>
      <c r="DE51" s="39"/>
      <c r="DF51" s="16"/>
      <c r="DH51" s="39"/>
      <c r="DI51" s="16"/>
      <c r="DK51" s="39"/>
      <c r="DL51" s="16"/>
      <c r="DN51" s="39"/>
      <c r="DO51" s="16"/>
      <c r="DQ51" s="39"/>
      <c r="DR51" s="16"/>
      <c r="DT51" s="39"/>
      <c r="DU51" s="16"/>
      <c r="DW51" s="39"/>
      <c r="DX51" s="16"/>
      <c r="DZ51" s="39"/>
      <c r="EA51" s="16"/>
      <c r="EC51" s="39"/>
      <c r="ED51" s="16"/>
      <c r="EF51" s="39"/>
      <c r="EG51" s="16"/>
      <c r="EX51" s="39">
        <v>45931</v>
      </c>
      <c r="EY51" s="16">
        <v>984641</v>
      </c>
      <c r="FA51" s="39"/>
      <c r="FB51" s="16"/>
      <c r="FD51" s="39"/>
      <c r="FE51" s="16"/>
      <c r="FG51" s="39"/>
      <c r="FH51" s="16"/>
      <c r="FJ51" s="39"/>
      <c r="FK51" s="16"/>
      <c r="FM51" s="39"/>
      <c r="FN51" s="16"/>
      <c r="FP51" s="39"/>
      <c r="FQ51" s="16"/>
      <c r="FS51" s="39"/>
      <c r="FT51" s="16"/>
      <c r="FV51" s="39"/>
      <c r="FW51" s="16"/>
      <c r="FY51" s="39"/>
      <c r="FZ51" s="16"/>
      <c r="GB51" s="39"/>
      <c r="GC51" s="16"/>
    </row>
    <row r="52" spans="1:185" x14ac:dyDescent="0.25">
      <c r="A52" s="2"/>
      <c r="B52" s="3"/>
      <c r="G52" s="2">
        <v>47238</v>
      </c>
      <c r="H52" s="3">
        <v>143200000</v>
      </c>
      <c r="I52" s="3"/>
      <c r="J52" s="2">
        <v>47238</v>
      </c>
      <c r="K52" s="38">
        <v>318545454.54545474</v>
      </c>
      <c r="L52" s="38"/>
      <c r="O52" s="3"/>
      <c r="P52" s="2">
        <v>49795</v>
      </c>
      <c r="Q52" s="38">
        <v>39818181.818181932</v>
      </c>
      <c r="R52" s="38"/>
      <c r="S52" s="2"/>
      <c r="T52" s="3"/>
      <c r="U52" s="3"/>
      <c r="V52" s="2"/>
      <c r="W52" s="3"/>
      <c r="X52" s="3"/>
      <c r="Y52" s="3"/>
      <c r="Z52" s="3"/>
      <c r="AA52" s="3"/>
      <c r="AB52" s="3"/>
      <c r="AC52" s="3"/>
      <c r="AD52"/>
      <c r="AE52" s="3"/>
      <c r="AF52" s="3"/>
      <c r="AG52" s="3"/>
      <c r="AH52" s="3"/>
      <c r="AI52" s="3"/>
      <c r="AJ52" s="3"/>
      <c r="AK52" s="53">
        <v>44957</v>
      </c>
      <c r="AL52" s="54">
        <v>173867178.02667272</v>
      </c>
      <c r="AM52" s="3"/>
      <c r="AN52" s="53">
        <v>44957</v>
      </c>
      <c r="AO52" s="54">
        <v>216075633276.35715</v>
      </c>
      <c r="AP52" s="3"/>
      <c r="BX52" s="39"/>
      <c r="BY52" s="16"/>
      <c r="CP52" s="39"/>
      <c r="CQ52" s="16"/>
      <c r="CS52" s="39"/>
      <c r="CT52" s="16"/>
      <c r="CV52" s="39"/>
      <c r="CW52" s="16"/>
      <c r="CY52" s="39"/>
      <c r="CZ52" s="16"/>
      <c r="DB52" s="39"/>
      <c r="DC52" s="16"/>
      <c r="DE52" s="39"/>
      <c r="DF52" s="16"/>
      <c r="DH52" s="39"/>
      <c r="DI52" s="16"/>
      <c r="DK52" s="39"/>
      <c r="DL52" s="16"/>
      <c r="DN52" s="39"/>
      <c r="DO52" s="16"/>
      <c r="DQ52" s="39"/>
      <c r="DR52" s="16"/>
      <c r="DT52" s="39"/>
      <c r="DU52" s="16"/>
      <c r="DW52" s="39"/>
      <c r="DX52" s="16"/>
      <c r="DZ52" s="39"/>
      <c r="EA52" s="16"/>
      <c r="EC52" s="39"/>
      <c r="ED52" s="16"/>
      <c r="EF52" s="39"/>
      <c r="EG52" s="16"/>
      <c r="EX52" s="39">
        <v>46023</v>
      </c>
      <c r="EY52" s="16">
        <v>929030</v>
      </c>
      <c r="FA52" s="39"/>
      <c r="FB52" s="16"/>
      <c r="FD52" s="39"/>
      <c r="FE52" s="16"/>
      <c r="FG52" s="39"/>
      <c r="FH52" s="16"/>
      <c r="FJ52" s="39"/>
      <c r="FK52" s="16"/>
      <c r="FM52" s="39"/>
      <c r="FN52" s="16"/>
      <c r="FP52" s="39"/>
      <c r="FQ52" s="16"/>
      <c r="FS52" s="39"/>
      <c r="FT52" s="16"/>
      <c r="FV52" s="39"/>
      <c r="FW52" s="16"/>
      <c r="FY52" s="39"/>
      <c r="FZ52" s="16"/>
      <c r="GB52" s="39"/>
      <c r="GC52" s="16"/>
    </row>
    <row r="53" spans="1:185" x14ac:dyDescent="0.25">
      <c r="A53" s="2"/>
      <c r="B53" s="3"/>
      <c r="G53" s="2">
        <v>47330</v>
      </c>
      <c r="H53" s="3">
        <v>125300000</v>
      </c>
      <c r="I53" s="3"/>
      <c r="J53" s="2">
        <v>47330</v>
      </c>
      <c r="K53" s="38">
        <v>308590909.0909093</v>
      </c>
      <c r="L53" s="38"/>
      <c r="O53" s="3"/>
      <c r="P53" s="2">
        <v>49887</v>
      </c>
      <c r="Q53" s="38">
        <v>29863636.363636479</v>
      </c>
      <c r="R53" s="38"/>
      <c r="S53" s="2"/>
      <c r="T53" s="3"/>
      <c r="U53" s="3"/>
      <c r="V53" s="2"/>
      <c r="W53" s="3"/>
      <c r="X53" s="3"/>
      <c r="Y53" s="3"/>
      <c r="Z53" s="3"/>
      <c r="AA53" s="3"/>
      <c r="AB53" s="3"/>
      <c r="AC53" s="3"/>
      <c r="AD53"/>
      <c r="AE53" s="3"/>
      <c r="AF53" s="3"/>
      <c r="AG53" s="3"/>
      <c r="AH53" s="3"/>
      <c r="AI53" s="3"/>
      <c r="AJ53" s="3"/>
      <c r="AK53" s="53">
        <v>44985</v>
      </c>
      <c r="AL53" s="54">
        <v>173867178.02667272</v>
      </c>
      <c r="AM53" s="3"/>
      <c r="AN53" s="53">
        <v>44985</v>
      </c>
      <c r="AO53" s="54">
        <v>216075633276.35715</v>
      </c>
      <c r="AP53" s="3"/>
      <c r="BX53" s="39"/>
      <c r="BY53" s="16"/>
      <c r="CP53" s="39"/>
      <c r="CQ53" s="16"/>
      <c r="CS53" s="39"/>
      <c r="CT53" s="16"/>
      <c r="CV53" s="39"/>
      <c r="CW53" s="16"/>
      <c r="CY53" s="39"/>
      <c r="CZ53" s="16"/>
      <c r="DB53" s="39"/>
      <c r="DC53" s="16"/>
      <c r="DE53" s="39"/>
      <c r="DF53" s="16"/>
      <c r="DH53" s="39"/>
      <c r="DI53" s="16"/>
      <c r="DK53" s="39"/>
      <c r="DL53" s="16"/>
      <c r="DN53" s="39"/>
      <c r="DO53" s="16"/>
      <c r="DQ53" s="39"/>
      <c r="DR53" s="16"/>
      <c r="DT53" s="39"/>
      <c r="DU53" s="16"/>
      <c r="DW53" s="39"/>
      <c r="DX53" s="16"/>
      <c r="DZ53" s="39"/>
      <c r="EA53" s="16"/>
      <c r="EC53" s="39"/>
      <c r="ED53" s="16"/>
      <c r="EF53" s="39"/>
      <c r="EG53" s="16"/>
      <c r="EX53" s="39">
        <v>46113</v>
      </c>
      <c r="EY53" s="16">
        <v>872965</v>
      </c>
      <c r="FA53" s="39"/>
      <c r="FB53" s="16"/>
      <c r="FD53" s="39"/>
      <c r="FE53" s="16"/>
      <c r="FG53" s="39"/>
      <c r="FH53" s="16"/>
      <c r="FJ53" s="39"/>
      <c r="FK53" s="16"/>
      <c r="FM53" s="39"/>
      <c r="FN53" s="16"/>
      <c r="FP53" s="39"/>
      <c r="FQ53" s="16"/>
      <c r="FS53" s="39"/>
      <c r="FT53" s="16"/>
      <c r="FV53" s="39"/>
      <c r="FW53" s="16"/>
      <c r="FY53" s="39"/>
      <c r="FZ53" s="16"/>
      <c r="GB53" s="39"/>
      <c r="GC53" s="16"/>
    </row>
    <row r="54" spans="1:185" x14ac:dyDescent="0.25">
      <c r="A54" s="2"/>
      <c r="B54" s="3"/>
      <c r="G54" s="2">
        <v>47422</v>
      </c>
      <c r="H54" s="3">
        <v>107400000</v>
      </c>
      <c r="I54" s="3"/>
      <c r="J54" s="2">
        <v>47422</v>
      </c>
      <c r="K54" s="38">
        <v>298636363.63636386</v>
      </c>
      <c r="L54" s="38"/>
      <c r="O54" s="3"/>
      <c r="P54" s="2">
        <v>49979</v>
      </c>
      <c r="Q54" s="38">
        <v>19909090.909091026</v>
      </c>
      <c r="R54" s="38"/>
      <c r="S54" s="2"/>
      <c r="T54" s="3"/>
      <c r="U54" s="3"/>
      <c r="V54" s="2"/>
      <c r="W54" s="3"/>
      <c r="X54" s="3"/>
      <c r="Y54" s="3"/>
      <c r="Z54" s="3"/>
      <c r="AA54" s="3"/>
      <c r="AB54" s="3"/>
      <c r="AC54" s="3"/>
      <c r="AD54"/>
      <c r="AE54" s="3"/>
      <c r="AF54" s="3"/>
      <c r="AG54" s="3"/>
      <c r="AH54" s="3"/>
      <c r="AI54" s="3"/>
      <c r="AJ54" s="3"/>
      <c r="AK54" s="53">
        <v>45016</v>
      </c>
      <c r="AL54" s="54">
        <v>173867178.02667272</v>
      </c>
      <c r="AM54" s="3"/>
      <c r="AN54" s="53">
        <v>45016</v>
      </c>
      <c r="AO54" s="54">
        <v>216075633276.35715</v>
      </c>
      <c r="AP54" s="3"/>
      <c r="BX54" s="39"/>
      <c r="BY54" s="16"/>
      <c r="CP54" s="39"/>
      <c r="CQ54" s="16"/>
      <c r="CS54" s="39"/>
      <c r="CT54" s="16"/>
      <c r="CV54" s="39"/>
      <c r="CW54" s="16"/>
      <c r="CY54" s="39"/>
      <c r="CZ54" s="16"/>
      <c r="DB54" s="39"/>
      <c r="DC54" s="16"/>
      <c r="DE54" s="39"/>
      <c r="DF54" s="16"/>
      <c r="DH54" s="39"/>
      <c r="DI54" s="16"/>
      <c r="DK54" s="39"/>
      <c r="DL54" s="16"/>
      <c r="DN54" s="39"/>
      <c r="DO54" s="16"/>
      <c r="DQ54" s="39"/>
      <c r="DR54" s="16"/>
      <c r="DT54" s="39"/>
      <c r="DU54" s="16"/>
      <c r="DW54" s="39"/>
      <c r="DX54" s="16"/>
      <c r="DZ54" s="39"/>
      <c r="EA54" s="16"/>
      <c r="EC54" s="39"/>
      <c r="ED54" s="16"/>
      <c r="EF54" s="39"/>
      <c r="EG54" s="16"/>
      <c r="EX54" s="39">
        <v>46204</v>
      </c>
      <c r="EY54" s="16">
        <v>816441</v>
      </c>
      <c r="FA54" s="39"/>
      <c r="FB54" s="16"/>
      <c r="FD54" s="39"/>
      <c r="FE54" s="16"/>
      <c r="FG54" s="39"/>
      <c r="FH54" s="16"/>
      <c r="FJ54" s="39"/>
      <c r="FK54" s="16"/>
      <c r="FM54" s="39"/>
      <c r="FN54" s="16"/>
      <c r="FP54" s="39"/>
      <c r="FQ54" s="16"/>
      <c r="FS54" s="39"/>
      <c r="FT54" s="16"/>
      <c r="FV54" s="39"/>
      <c r="FW54" s="16"/>
      <c r="FY54" s="39"/>
      <c r="FZ54" s="16"/>
      <c r="GB54" s="39"/>
      <c r="GC54" s="16"/>
    </row>
    <row r="55" spans="1:185" x14ac:dyDescent="0.25">
      <c r="A55" s="2"/>
      <c r="B55" s="3"/>
      <c r="G55" s="2">
        <v>47514</v>
      </c>
      <c r="H55" s="3">
        <v>89500000</v>
      </c>
      <c r="I55" s="3"/>
      <c r="J55" s="2">
        <v>47514</v>
      </c>
      <c r="K55" s="38">
        <v>288681818.18181843</v>
      </c>
      <c r="L55" s="38"/>
      <c r="O55" s="3"/>
      <c r="P55" s="2">
        <v>50071</v>
      </c>
      <c r="Q55" s="38">
        <v>9954545.4545455705</v>
      </c>
      <c r="R55" s="38"/>
      <c r="S55" s="2"/>
      <c r="T55" s="3"/>
      <c r="U55" s="3"/>
      <c r="V55" s="2"/>
      <c r="W55" s="3"/>
      <c r="X55" s="3"/>
      <c r="Y55" s="3"/>
      <c r="Z55" s="3"/>
      <c r="AA55" s="3"/>
      <c r="AB55" s="3"/>
      <c r="AC55" s="3"/>
      <c r="AD55"/>
      <c r="AE55" s="3"/>
      <c r="AF55" s="3"/>
      <c r="AG55" s="3"/>
      <c r="AH55" s="3"/>
      <c r="AI55" s="3"/>
      <c r="AJ55" s="3"/>
      <c r="AK55" s="53">
        <v>45046</v>
      </c>
      <c r="AL55" s="54">
        <v>173867178.02667272</v>
      </c>
      <c r="AM55" s="3"/>
      <c r="AN55" s="53">
        <v>45046</v>
      </c>
      <c r="AO55" s="54">
        <v>216075633276.35715</v>
      </c>
      <c r="AP55" s="3"/>
      <c r="BX55" s="39"/>
      <c r="BY55" s="16"/>
      <c r="CP55" s="39"/>
      <c r="CQ55" s="16"/>
      <c r="CS55" s="39"/>
      <c r="CT55" s="16"/>
      <c r="CV55" s="39"/>
      <c r="CW55" s="16"/>
      <c r="CY55" s="39"/>
      <c r="CZ55" s="16"/>
      <c r="DB55" s="39"/>
      <c r="DC55" s="16"/>
      <c r="DE55" s="39"/>
      <c r="DF55" s="16"/>
      <c r="DH55" s="39"/>
      <c r="DI55" s="16"/>
      <c r="DK55" s="39"/>
      <c r="DL55" s="16"/>
      <c r="DN55" s="39"/>
      <c r="DO55" s="16"/>
      <c r="DQ55" s="39"/>
      <c r="DR55" s="16"/>
      <c r="DT55" s="39"/>
      <c r="DU55" s="16"/>
      <c r="DW55" s="39"/>
      <c r="DX55" s="16"/>
      <c r="DZ55" s="39"/>
      <c r="EA55" s="16"/>
      <c r="EC55" s="39"/>
      <c r="ED55" s="16"/>
      <c r="EF55" s="39"/>
      <c r="EG55" s="16"/>
      <c r="EX55" s="39">
        <v>46296</v>
      </c>
      <c r="EY55" s="16">
        <v>759454</v>
      </c>
      <c r="FA55" s="39"/>
      <c r="FB55" s="16"/>
      <c r="FD55" s="39"/>
      <c r="FE55" s="16"/>
      <c r="FG55" s="39"/>
      <c r="FH55" s="16"/>
      <c r="FJ55" s="39"/>
      <c r="FK55" s="16"/>
      <c r="FM55" s="39"/>
      <c r="FN55" s="16"/>
      <c r="FP55" s="39"/>
      <c r="FQ55" s="16"/>
      <c r="FS55" s="39"/>
      <c r="FT55" s="16"/>
      <c r="FV55" s="39"/>
      <c r="FW55" s="16"/>
      <c r="FY55" s="39"/>
      <c r="FZ55" s="16"/>
      <c r="GB55" s="39"/>
      <c r="GC55" s="16"/>
    </row>
    <row r="56" spans="1:185" x14ac:dyDescent="0.25">
      <c r="A56" s="2"/>
      <c r="B56" s="3"/>
      <c r="G56" s="2">
        <v>47603</v>
      </c>
      <c r="H56" s="3">
        <v>71600000</v>
      </c>
      <c r="I56" s="3"/>
      <c r="J56" s="2">
        <v>47603</v>
      </c>
      <c r="K56" s="38">
        <v>278727272.72727299</v>
      </c>
      <c r="L56" s="38"/>
      <c r="O56" s="3"/>
      <c r="P56" s="2">
        <v>50160</v>
      </c>
      <c r="Q56" s="3">
        <v>0</v>
      </c>
      <c r="R56" s="3"/>
      <c r="S56" s="2"/>
      <c r="T56" s="3"/>
      <c r="U56" s="3"/>
      <c r="V56" s="2"/>
      <c r="W56" s="3"/>
      <c r="X56" s="3"/>
      <c r="Y56" s="3"/>
      <c r="Z56" s="3"/>
      <c r="AA56" s="3"/>
      <c r="AB56" s="3"/>
      <c r="AC56" s="3"/>
      <c r="AD56"/>
      <c r="AE56" s="3"/>
      <c r="AF56" s="3"/>
      <c r="AG56" s="3"/>
      <c r="AH56" s="3"/>
      <c r="AI56" s="3"/>
      <c r="AJ56" s="3"/>
      <c r="AK56" s="53">
        <v>45077</v>
      </c>
      <c r="AL56" s="54">
        <v>173867178.02667272</v>
      </c>
      <c r="AM56" s="3"/>
      <c r="AN56" s="53">
        <v>45077</v>
      </c>
      <c r="AO56" s="54">
        <v>216075633276.35715</v>
      </c>
      <c r="AP56" s="3"/>
      <c r="BX56" s="39"/>
      <c r="BY56" s="16"/>
      <c r="CP56" s="39"/>
      <c r="CQ56" s="16"/>
      <c r="CS56" s="39"/>
      <c r="CT56" s="16"/>
      <c r="CV56" s="39"/>
      <c r="CW56" s="16"/>
      <c r="CY56" s="39"/>
      <c r="CZ56" s="16"/>
      <c r="DB56" s="39"/>
      <c r="DC56" s="16"/>
      <c r="DE56" s="39"/>
      <c r="DF56" s="16"/>
      <c r="DH56" s="39"/>
      <c r="DI56" s="16"/>
      <c r="DK56" s="39"/>
      <c r="DL56" s="16"/>
      <c r="DN56" s="39"/>
      <c r="DO56" s="16"/>
      <c r="DQ56" s="39"/>
      <c r="DR56" s="16"/>
      <c r="DT56" s="39"/>
      <c r="DU56" s="16"/>
      <c r="DW56" s="39"/>
      <c r="DX56" s="16"/>
      <c r="DZ56" s="39"/>
      <c r="EA56" s="16"/>
      <c r="EC56" s="39"/>
      <c r="ED56" s="16"/>
      <c r="EF56" s="39"/>
      <c r="EG56" s="16"/>
      <c r="EX56" s="39">
        <v>46388</v>
      </c>
      <c r="EY56" s="16">
        <v>702002</v>
      </c>
      <c r="FA56" s="39"/>
      <c r="FB56" s="16"/>
      <c r="FD56" s="39"/>
      <c r="FE56" s="16"/>
      <c r="FG56" s="39"/>
      <c r="FH56" s="16"/>
      <c r="FJ56" s="39"/>
      <c r="FK56" s="16"/>
      <c r="FM56" s="39"/>
      <c r="FN56" s="16"/>
      <c r="FP56" s="39"/>
      <c r="FQ56" s="16"/>
      <c r="FS56" s="39"/>
      <c r="FT56" s="16"/>
      <c r="FV56" s="39"/>
      <c r="FW56" s="16"/>
      <c r="FY56" s="39"/>
      <c r="FZ56" s="16"/>
      <c r="GB56" s="39"/>
      <c r="GC56" s="16"/>
    </row>
    <row r="57" spans="1:185" x14ac:dyDescent="0.25">
      <c r="A57" s="2"/>
      <c r="B57" s="3"/>
      <c r="G57" s="2">
        <v>47695</v>
      </c>
      <c r="H57" s="3">
        <v>53700000</v>
      </c>
      <c r="I57" s="3"/>
      <c r="J57" s="2">
        <v>47695</v>
      </c>
      <c r="K57" s="38">
        <v>268772727.27272755</v>
      </c>
      <c r="L57" s="38"/>
      <c r="O57" s="3"/>
      <c r="S57" s="2"/>
      <c r="T57" s="3"/>
      <c r="U57" s="3"/>
      <c r="V57" s="2"/>
      <c r="W57" s="3"/>
      <c r="X57" s="3"/>
      <c r="Y57" s="3"/>
      <c r="Z57" s="3"/>
      <c r="AA57" s="3"/>
      <c r="AB57" s="3"/>
      <c r="AC57" s="3"/>
      <c r="AD57"/>
      <c r="AE57" s="3"/>
      <c r="AF57" s="3"/>
      <c r="AG57" s="3"/>
      <c r="AH57" s="3"/>
      <c r="AI57" s="3"/>
      <c r="AJ57" s="3"/>
      <c r="AK57" s="53">
        <v>45107</v>
      </c>
      <c r="AL57" s="54">
        <v>173867178.02667272</v>
      </c>
      <c r="AM57" s="3"/>
      <c r="AN57" s="53">
        <v>45107</v>
      </c>
      <c r="AO57" s="54">
        <v>216075633276.35715</v>
      </c>
      <c r="AP57" s="3"/>
      <c r="BX57" s="39"/>
      <c r="BY57" s="16"/>
      <c r="CP57" s="39"/>
      <c r="CQ57" s="16"/>
      <c r="CS57" s="39"/>
      <c r="CT57" s="16"/>
      <c r="CV57" s="39"/>
      <c r="CW57" s="16"/>
      <c r="DE57" s="39"/>
      <c r="DF57" s="16"/>
      <c r="DH57" s="39"/>
      <c r="DI57" s="16"/>
      <c r="DK57" s="39"/>
      <c r="DL57" s="16"/>
      <c r="DN57" s="39"/>
      <c r="DO57" s="16"/>
      <c r="DQ57" s="39"/>
      <c r="DR57" s="16"/>
      <c r="DT57" s="39"/>
      <c r="DU57" s="16"/>
      <c r="DW57" s="39"/>
      <c r="DX57" s="16"/>
      <c r="DZ57" s="39"/>
      <c r="EA57" s="16"/>
      <c r="EC57" s="39"/>
      <c r="ED57" s="16"/>
      <c r="EF57" s="39"/>
      <c r="EG57" s="16"/>
      <c r="EX57" s="39">
        <v>46478</v>
      </c>
      <c r="EY57" s="16">
        <v>644080</v>
      </c>
      <c r="FA57" s="39"/>
      <c r="FB57" s="16"/>
      <c r="FD57" s="39"/>
      <c r="FE57" s="16"/>
      <c r="FG57" s="39"/>
      <c r="FH57" s="16"/>
      <c r="FJ57" s="39"/>
      <c r="FK57" s="16"/>
      <c r="FM57" s="39"/>
      <c r="FN57" s="16"/>
      <c r="FP57" s="39"/>
      <c r="FQ57" s="16"/>
      <c r="FS57" s="39"/>
      <c r="FT57" s="16"/>
      <c r="FV57" s="39"/>
      <c r="FW57" s="16"/>
      <c r="FY57" s="39"/>
      <c r="FZ57" s="16"/>
      <c r="GB57" s="39"/>
      <c r="GC57" s="16"/>
    </row>
    <row r="58" spans="1:185" x14ac:dyDescent="0.25">
      <c r="A58" s="2"/>
      <c r="B58" s="3"/>
      <c r="G58" s="2">
        <v>47787</v>
      </c>
      <c r="H58" s="3">
        <v>35800000</v>
      </c>
      <c r="I58" s="3"/>
      <c r="J58" s="2">
        <v>47787</v>
      </c>
      <c r="K58" s="38">
        <v>258818181.81818208</v>
      </c>
      <c r="L58" s="38"/>
      <c r="O58" s="3"/>
      <c r="S58" s="2"/>
      <c r="T58" s="3"/>
      <c r="U58" s="3"/>
      <c r="V58" s="2"/>
      <c r="W58" s="3"/>
      <c r="X58" s="3"/>
      <c r="Y58" s="3"/>
      <c r="Z58" s="3"/>
      <c r="AA58" s="3"/>
      <c r="AB58" s="3"/>
      <c r="AC58" s="3"/>
      <c r="AD58"/>
      <c r="AE58" s="3"/>
      <c r="AF58" s="3"/>
      <c r="AG58" s="3"/>
      <c r="AH58" s="3"/>
      <c r="AI58" s="3"/>
      <c r="AJ58" s="3"/>
      <c r="AK58" s="53">
        <v>45138</v>
      </c>
      <c r="AL58" s="54">
        <v>173867178.02667272</v>
      </c>
      <c r="AM58" s="3"/>
      <c r="AN58" s="53">
        <v>45138</v>
      </c>
      <c r="AO58" s="54">
        <v>216075633276.35715</v>
      </c>
      <c r="AP58" s="3"/>
      <c r="BX58" s="39"/>
      <c r="BY58" s="16"/>
      <c r="CP58" s="39"/>
      <c r="CQ58" s="16"/>
      <c r="CS58" s="39"/>
      <c r="CT58" s="16"/>
      <c r="CV58" s="39"/>
      <c r="CW58" s="16"/>
      <c r="DE58" s="39"/>
      <c r="DF58" s="16"/>
      <c r="DH58" s="39"/>
      <c r="DI58" s="16"/>
      <c r="DK58" s="39"/>
      <c r="DL58" s="16"/>
      <c r="DN58" s="39"/>
      <c r="DO58" s="16"/>
      <c r="DQ58" s="39"/>
      <c r="DR58" s="16"/>
      <c r="DT58" s="39"/>
      <c r="DU58" s="16"/>
      <c r="DW58" s="39"/>
      <c r="DX58" s="16"/>
      <c r="DZ58" s="39"/>
      <c r="EA58" s="16"/>
      <c r="EC58" s="39"/>
      <c r="ED58" s="16"/>
      <c r="EF58" s="39"/>
      <c r="EG58" s="16"/>
      <c r="EX58" s="39">
        <v>46569</v>
      </c>
      <c r="EY58" s="16">
        <v>585684</v>
      </c>
      <c r="FA58" s="39"/>
      <c r="FB58" s="16"/>
      <c r="FD58" s="39"/>
      <c r="FE58" s="16"/>
      <c r="FG58" s="39"/>
      <c r="FH58" s="16"/>
      <c r="FJ58" s="39"/>
      <c r="FK58" s="16"/>
      <c r="FM58" s="39"/>
      <c r="FN58" s="16"/>
      <c r="FP58" s="39"/>
      <c r="FQ58" s="16"/>
      <c r="FS58" s="39"/>
      <c r="FT58" s="16"/>
      <c r="FV58" s="39"/>
      <c r="FW58" s="16"/>
      <c r="FY58" s="39"/>
      <c r="FZ58" s="16"/>
      <c r="GB58" s="39"/>
      <c r="GC58" s="16"/>
    </row>
    <row r="59" spans="1:185" x14ac:dyDescent="0.25">
      <c r="A59" s="2"/>
      <c r="B59" s="3"/>
      <c r="G59" s="2">
        <v>47879</v>
      </c>
      <c r="H59" s="3">
        <v>17900000</v>
      </c>
      <c r="I59" s="3"/>
      <c r="J59" s="2">
        <v>47879</v>
      </c>
      <c r="K59" s="38">
        <v>248863636.36363661</v>
      </c>
      <c r="L59" s="38"/>
      <c r="O59" s="3"/>
      <c r="S59" s="2"/>
      <c r="T59" s="3"/>
      <c r="U59" s="3"/>
      <c r="V59" s="2"/>
      <c r="W59" s="3"/>
      <c r="X59" s="3"/>
      <c r="Y59" s="3"/>
      <c r="Z59" s="3"/>
      <c r="AA59" s="3"/>
      <c r="AB59" s="3"/>
      <c r="AC59" s="3"/>
      <c r="AD59"/>
      <c r="AE59" s="3"/>
      <c r="AF59" s="3"/>
      <c r="AG59" s="3"/>
      <c r="AH59" s="3"/>
      <c r="AI59" s="3"/>
      <c r="AJ59" s="3"/>
      <c r="AK59" s="53">
        <v>45169</v>
      </c>
      <c r="AL59" s="54">
        <v>173867178.02667272</v>
      </c>
      <c r="AM59" s="3"/>
      <c r="AN59" s="53">
        <v>45169</v>
      </c>
      <c r="AO59" s="54">
        <v>216075633276.35715</v>
      </c>
      <c r="AP59" s="3"/>
      <c r="BX59" s="39"/>
      <c r="BY59" s="16"/>
      <c r="CP59" s="39"/>
      <c r="CQ59" s="16"/>
      <c r="CS59" s="39"/>
      <c r="CT59" s="16"/>
      <c r="CV59" s="39"/>
      <c r="CW59" s="16"/>
      <c r="DE59" s="39"/>
      <c r="DF59" s="16"/>
      <c r="DH59" s="39"/>
      <c r="DI59" s="16"/>
      <c r="DK59" s="39"/>
      <c r="DL59" s="16"/>
      <c r="DN59" s="39"/>
      <c r="DO59" s="16"/>
      <c r="DQ59" s="39"/>
      <c r="DR59" s="16"/>
      <c r="DT59" s="39"/>
      <c r="DU59" s="16"/>
      <c r="DW59" s="39"/>
      <c r="DX59" s="16"/>
      <c r="DZ59" s="39"/>
      <c r="EA59" s="16"/>
      <c r="EC59" s="39"/>
      <c r="ED59" s="16"/>
      <c r="EF59" s="39"/>
      <c r="EG59" s="16"/>
      <c r="EX59" s="39">
        <v>46661</v>
      </c>
      <c r="EY59" s="16">
        <v>526810</v>
      </c>
      <c r="FA59" s="39"/>
      <c r="FB59" s="16"/>
      <c r="FD59" s="39"/>
      <c r="FE59" s="16"/>
      <c r="FG59" s="39"/>
      <c r="FH59" s="16"/>
      <c r="FJ59" s="39"/>
      <c r="FK59" s="16"/>
      <c r="FM59" s="39"/>
      <c r="FN59" s="16"/>
      <c r="FP59" s="39"/>
      <c r="FQ59" s="16"/>
      <c r="FS59" s="39"/>
      <c r="FT59" s="16"/>
      <c r="FV59" s="39"/>
      <c r="FW59" s="16"/>
      <c r="FY59" s="39"/>
      <c r="FZ59" s="16"/>
      <c r="GB59" s="39"/>
      <c r="GC59" s="16"/>
    </row>
    <row r="60" spans="1:185" x14ac:dyDescent="0.25">
      <c r="A60" s="2"/>
      <c r="B60" s="3"/>
      <c r="G60" s="2">
        <v>47968</v>
      </c>
      <c r="H60" s="3">
        <v>0</v>
      </c>
      <c r="I60" s="3"/>
      <c r="J60" s="2">
        <v>47968</v>
      </c>
      <c r="K60" s="38">
        <v>238909090.90909114</v>
      </c>
      <c r="L60" s="38"/>
      <c r="O60" s="3"/>
      <c r="S60" s="2"/>
      <c r="T60" s="3"/>
      <c r="U60" s="3"/>
      <c r="V60" s="2"/>
      <c r="W60" s="3"/>
      <c r="X60" s="3"/>
      <c r="Y60" s="3"/>
      <c r="Z60" s="3"/>
      <c r="AA60" s="3"/>
      <c r="AB60" s="3"/>
      <c r="AC60" s="3"/>
      <c r="AD60"/>
      <c r="AE60" s="3"/>
      <c r="AF60" s="3"/>
      <c r="AG60" s="3"/>
      <c r="AH60" s="3"/>
      <c r="AI60" s="3"/>
      <c r="AJ60" s="3"/>
      <c r="AK60" s="53">
        <v>45199</v>
      </c>
      <c r="AL60" s="54">
        <v>167393937.2168014</v>
      </c>
      <c r="AM60" s="3"/>
      <c r="AN60" s="53">
        <v>45199</v>
      </c>
      <c r="AO60" s="54">
        <v>215918078412.52789</v>
      </c>
      <c r="AP60" s="3"/>
      <c r="BX60" s="39"/>
      <c r="BY60" s="16"/>
      <c r="CP60" s="39"/>
      <c r="CQ60" s="16"/>
      <c r="CS60" s="39"/>
      <c r="CT60" s="16"/>
      <c r="CV60" s="39"/>
      <c r="CW60" s="16"/>
      <c r="DE60" s="39"/>
      <c r="DF60" s="16"/>
      <c r="DH60" s="39"/>
      <c r="DI60" s="16"/>
      <c r="DK60" s="39"/>
      <c r="DL60" s="16"/>
      <c r="DN60" s="39"/>
      <c r="DO60" s="16"/>
      <c r="DQ60" s="39"/>
      <c r="DR60" s="16"/>
      <c r="DT60" s="39"/>
      <c r="DU60" s="16"/>
      <c r="DW60" s="39"/>
      <c r="DX60" s="16"/>
      <c r="DZ60" s="39"/>
      <c r="EA60" s="16"/>
      <c r="EC60" s="39"/>
      <c r="ED60" s="16"/>
      <c r="EF60" s="39"/>
      <c r="EG60" s="16"/>
      <c r="EX60" s="39">
        <v>46753</v>
      </c>
      <c r="EY60" s="16">
        <v>467455</v>
      </c>
      <c r="FA60" s="39"/>
      <c r="FB60" s="16"/>
      <c r="FD60" s="39"/>
      <c r="FE60" s="16"/>
      <c r="FG60" s="39"/>
      <c r="FH60" s="16"/>
      <c r="FJ60" s="39"/>
      <c r="FK60" s="16"/>
      <c r="FM60" s="39"/>
      <c r="FN60" s="16"/>
      <c r="FP60" s="39"/>
      <c r="FQ60" s="16"/>
      <c r="FS60" s="39"/>
      <c r="FT60" s="16"/>
      <c r="FV60" s="39"/>
      <c r="FW60" s="16"/>
      <c r="FY60" s="39"/>
      <c r="FZ60" s="16"/>
      <c r="GB60" s="39"/>
      <c r="GC60" s="16"/>
    </row>
    <row r="61" spans="1:185" x14ac:dyDescent="0.25">
      <c r="A61" s="2"/>
      <c r="B61" s="3"/>
      <c r="G61" s="2"/>
      <c r="H61" s="3"/>
      <c r="I61" s="3"/>
      <c r="J61" s="2">
        <v>48060</v>
      </c>
      <c r="K61" s="38">
        <v>228954545.45454568</v>
      </c>
      <c r="L61" s="38"/>
      <c r="O61" s="3"/>
      <c r="S61" s="2"/>
      <c r="T61" s="3"/>
      <c r="U61" s="3"/>
      <c r="V61" s="2"/>
      <c r="W61" s="3"/>
      <c r="X61" s="3"/>
      <c r="Y61" s="3"/>
      <c r="Z61" s="3"/>
      <c r="AA61" s="3"/>
      <c r="AB61" s="3"/>
      <c r="AC61" s="3"/>
      <c r="AD61"/>
      <c r="AE61" s="3"/>
      <c r="AF61" s="3"/>
      <c r="AG61" s="3"/>
      <c r="AH61" s="3"/>
      <c r="AI61" s="3"/>
      <c r="AJ61" s="3"/>
      <c r="AK61" s="53">
        <v>45230</v>
      </c>
      <c r="AL61" s="54">
        <v>167393937.2168014</v>
      </c>
      <c r="AM61" s="3"/>
      <c r="AN61" s="53">
        <v>45230</v>
      </c>
      <c r="AO61" s="54">
        <v>215918078412.52789</v>
      </c>
      <c r="AP61" s="3"/>
      <c r="CP61" s="39"/>
      <c r="CQ61" s="16"/>
      <c r="CS61" s="39"/>
      <c r="CT61" s="16"/>
      <c r="CV61" s="39"/>
      <c r="CW61" s="16"/>
      <c r="DE61" s="39"/>
      <c r="DF61" s="16"/>
      <c r="DH61" s="39"/>
      <c r="DI61" s="16"/>
      <c r="DK61" s="39"/>
      <c r="DL61" s="16"/>
      <c r="DN61" s="39"/>
      <c r="DO61" s="16"/>
      <c r="DQ61" s="39"/>
      <c r="DR61" s="16"/>
      <c r="DT61" s="39"/>
      <c r="DU61" s="16"/>
      <c r="DW61" s="39"/>
      <c r="DX61" s="16"/>
      <c r="DZ61" s="39"/>
      <c r="EA61" s="16"/>
      <c r="EC61" s="39"/>
      <c r="ED61" s="16"/>
      <c r="EF61" s="39"/>
      <c r="EG61" s="16"/>
      <c r="EX61" s="39">
        <v>46844</v>
      </c>
      <c r="EY61" s="16">
        <v>407615</v>
      </c>
      <c r="FA61" s="39"/>
      <c r="FB61" s="16"/>
      <c r="FD61" s="39"/>
      <c r="FE61" s="16"/>
      <c r="FG61" s="39"/>
      <c r="FH61" s="16"/>
      <c r="FJ61" s="39"/>
      <c r="FK61" s="16"/>
      <c r="FM61" s="39"/>
      <c r="FN61" s="16"/>
      <c r="FP61" s="39"/>
      <c r="FQ61" s="16"/>
      <c r="FS61" s="39"/>
      <c r="FT61" s="16"/>
      <c r="FV61" s="39"/>
      <c r="FW61" s="16"/>
      <c r="FY61" s="39"/>
      <c r="FZ61" s="16"/>
      <c r="GB61" s="39"/>
      <c r="GC61" s="16"/>
    </row>
    <row r="62" spans="1:185" x14ac:dyDescent="0.25">
      <c r="A62" s="2"/>
      <c r="B62" s="3"/>
      <c r="H62" s="39"/>
      <c r="I62" s="3"/>
      <c r="J62" s="2">
        <v>48152</v>
      </c>
      <c r="K62" s="38">
        <v>219000000.00000021</v>
      </c>
      <c r="L62" s="38"/>
      <c r="O62" s="3"/>
      <c r="S62" s="2"/>
      <c r="T62" s="3"/>
      <c r="U62" s="3"/>
      <c r="V62" s="2"/>
      <c r="W62" s="3"/>
      <c r="X62" s="3"/>
      <c r="Y62" s="3"/>
      <c r="Z62" s="3"/>
      <c r="AA62" s="3"/>
      <c r="AB62" s="3"/>
      <c r="AC62" s="3"/>
      <c r="AD62"/>
      <c r="AE62" s="3"/>
      <c r="AF62" s="3"/>
      <c r="AG62" s="3"/>
      <c r="AH62" s="3"/>
      <c r="AI62" s="3"/>
      <c r="AJ62" s="3"/>
      <c r="AK62" s="53">
        <v>45260</v>
      </c>
      <c r="AL62" s="54">
        <v>167393937.2168014</v>
      </c>
      <c r="AM62" s="3"/>
      <c r="AN62" s="53">
        <v>45260</v>
      </c>
      <c r="AO62" s="54">
        <v>215918078412.52789</v>
      </c>
      <c r="AP62" s="3"/>
      <c r="CP62" s="39"/>
      <c r="CQ62" s="16"/>
      <c r="CS62" s="39"/>
      <c r="CT62" s="16"/>
      <c r="CV62" s="39"/>
      <c r="CW62" s="16"/>
      <c r="DE62" s="39"/>
      <c r="DF62" s="16"/>
      <c r="DH62" s="39"/>
      <c r="DI62" s="16"/>
      <c r="DK62" s="39"/>
      <c r="DL62" s="16"/>
      <c r="DN62" s="39"/>
      <c r="DO62" s="16"/>
      <c r="DQ62" s="39"/>
      <c r="DR62" s="16"/>
      <c r="DT62" s="39"/>
      <c r="DU62" s="16"/>
      <c r="DW62" s="39"/>
      <c r="DX62" s="16"/>
      <c r="DZ62" s="39"/>
      <c r="EA62" s="16"/>
      <c r="EC62" s="39"/>
      <c r="ED62" s="16"/>
      <c r="EF62" s="39"/>
      <c r="EG62" s="16"/>
      <c r="EX62" s="39">
        <v>46935</v>
      </c>
      <c r="EY62" s="16">
        <v>347285</v>
      </c>
      <c r="FA62" s="39"/>
      <c r="FB62" s="16"/>
      <c r="FD62" s="39"/>
      <c r="FE62" s="16"/>
      <c r="FG62" s="39"/>
      <c r="FH62" s="16"/>
      <c r="FJ62" s="39"/>
      <c r="FK62" s="16"/>
      <c r="FM62" s="39"/>
      <c r="FN62" s="16"/>
      <c r="FP62" s="39"/>
      <c r="FQ62" s="16"/>
      <c r="FS62" s="39"/>
      <c r="FT62" s="16"/>
      <c r="FV62" s="39"/>
      <c r="FW62" s="16"/>
      <c r="FY62" s="39"/>
      <c r="FZ62" s="16"/>
      <c r="GB62" s="39"/>
      <c r="GC62" s="16"/>
    </row>
    <row r="63" spans="1:185" x14ac:dyDescent="0.25">
      <c r="B63" s="39"/>
      <c r="H63" s="39"/>
      <c r="I63" s="39"/>
      <c r="J63" s="2">
        <v>48244</v>
      </c>
      <c r="K63" s="38">
        <v>209045454.54545474</v>
      </c>
      <c r="L63" s="38"/>
      <c r="O63" s="39"/>
      <c r="T63" s="39"/>
      <c r="U63" s="39"/>
      <c r="W63" s="39"/>
      <c r="X63" s="39"/>
      <c r="Y63" s="39"/>
      <c r="Z63" s="39"/>
      <c r="AA63" s="39"/>
      <c r="AB63" s="39"/>
      <c r="AC63" s="39"/>
      <c r="AD63" s="16"/>
      <c r="AE63" s="16"/>
      <c r="AF63" s="16"/>
      <c r="AG63" s="16"/>
      <c r="AH63" s="16"/>
      <c r="AI63" s="16"/>
      <c r="AJ63" s="16"/>
      <c r="AK63" s="53">
        <v>45291</v>
      </c>
      <c r="AL63" s="54">
        <v>167393937.2168014</v>
      </c>
      <c r="AM63" s="16"/>
      <c r="AN63" s="53">
        <v>45291</v>
      </c>
      <c r="AO63" s="54">
        <v>215918078412.52789</v>
      </c>
      <c r="AP63" s="16"/>
      <c r="CP63" s="39"/>
      <c r="CQ63" s="16"/>
      <c r="CS63" s="39"/>
      <c r="CT63" s="16"/>
      <c r="CV63" s="39"/>
      <c r="CW63" s="16"/>
      <c r="DE63" s="39"/>
      <c r="DF63" s="16"/>
      <c r="DH63" s="39"/>
      <c r="DI63" s="16"/>
      <c r="DK63" s="39"/>
      <c r="DL63" s="16"/>
      <c r="DN63" s="39"/>
      <c r="DO63" s="16"/>
      <c r="DQ63" s="39"/>
      <c r="DR63" s="16"/>
      <c r="DT63" s="39"/>
      <c r="DU63" s="16"/>
      <c r="DW63" s="39"/>
      <c r="DX63" s="16"/>
      <c r="DZ63" s="39"/>
      <c r="EA63" s="16"/>
      <c r="EC63" s="39"/>
      <c r="ED63" s="16"/>
      <c r="EF63" s="39"/>
      <c r="EG63" s="16"/>
      <c r="EX63" s="39">
        <v>47027</v>
      </c>
      <c r="EY63" s="16">
        <v>286461</v>
      </c>
      <c r="FA63" s="39"/>
      <c r="FB63" s="16"/>
      <c r="FD63" s="39"/>
      <c r="FE63" s="16"/>
      <c r="FG63" s="39"/>
      <c r="FH63" s="16"/>
      <c r="FJ63" s="39"/>
      <c r="FK63" s="16"/>
      <c r="FM63" s="39"/>
      <c r="FN63" s="16"/>
      <c r="FP63" s="39"/>
      <c r="FQ63" s="16"/>
      <c r="FS63" s="39"/>
      <c r="FT63" s="16"/>
      <c r="FV63" s="39"/>
      <c r="FW63" s="16"/>
      <c r="FY63" s="39"/>
      <c r="FZ63" s="16"/>
      <c r="GB63" s="39"/>
      <c r="GC63" s="16"/>
    </row>
    <row r="64" spans="1:185" x14ac:dyDescent="0.25">
      <c r="B64" s="39"/>
      <c r="H64" s="39"/>
      <c r="I64" s="39"/>
      <c r="J64" s="2">
        <v>48334</v>
      </c>
      <c r="K64" s="38">
        <v>199090909.09090927</v>
      </c>
      <c r="L64" s="38"/>
      <c r="O64" s="39"/>
      <c r="T64" s="39"/>
      <c r="U64" s="39"/>
      <c r="W64" s="39"/>
      <c r="X64" s="39"/>
      <c r="Y64" s="39"/>
      <c r="Z64" s="39"/>
      <c r="AA64" s="39"/>
      <c r="AB64" s="39"/>
      <c r="AC64" s="39"/>
      <c r="AD64" s="16"/>
      <c r="AE64" s="16"/>
      <c r="AF64" s="16"/>
      <c r="AG64" s="16"/>
      <c r="AH64" s="16"/>
      <c r="AI64" s="16"/>
      <c r="AJ64" s="16"/>
      <c r="AK64" s="53">
        <v>45322</v>
      </c>
      <c r="AL64" s="54">
        <v>167393937.2168014</v>
      </c>
      <c r="AM64" s="16"/>
      <c r="AN64" s="53">
        <v>45322</v>
      </c>
      <c r="AO64" s="54">
        <v>215918078412.52789</v>
      </c>
      <c r="AP64" s="16"/>
      <c r="EX64" s="39">
        <v>47119</v>
      </c>
      <c r="EY64" s="16">
        <v>225141</v>
      </c>
      <c r="FA64" s="39"/>
      <c r="FB64" s="16"/>
      <c r="FD64" s="39"/>
      <c r="FE64" s="16"/>
      <c r="FG64" s="39"/>
      <c r="FH64" s="16"/>
      <c r="FJ64" s="39"/>
      <c r="FK64" s="16"/>
      <c r="FM64" s="39"/>
      <c r="FN64" s="16"/>
      <c r="FP64" s="39"/>
      <c r="FQ64" s="16"/>
      <c r="FS64" s="39"/>
      <c r="FT64" s="16"/>
      <c r="FV64" s="39"/>
      <c r="FW64" s="16"/>
      <c r="FY64" s="39"/>
      <c r="FZ64" s="16"/>
      <c r="GB64" s="39"/>
      <c r="GC64" s="16"/>
    </row>
    <row r="65" spans="2:185" x14ac:dyDescent="0.25">
      <c r="B65" s="39"/>
      <c r="H65" s="39"/>
      <c r="I65" s="39"/>
      <c r="J65" s="2">
        <v>48426</v>
      </c>
      <c r="K65" s="38">
        <v>189136363.6363638</v>
      </c>
      <c r="L65" s="38"/>
      <c r="O65" s="39"/>
      <c r="T65" s="39"/>
      <c r="U65" s="39"/>
      <c r="W65" s="39"/>
      <c r="X65" s="39"/>
      <c r="Y65" s="39"/>
      <c r="Z65" s="39"/>
      <c r="AA65" s="39"/>
      <c r="AB65" s="39"/>
      <c r="AC65" s="39"/>
      <c r="AD65" s="16"/>
      <c r="AE65" s="16"/>
      <c r="AF65" s="16"/>
      <c r="AG65" s="16"/>
      <c r="AH65" s="16"/>
      <c r="AI65" s="16"/>
      <c r="AJ65" s="16"/>
      <c r="AK65" s="53">
        <v>45351</v>
      </c>
      <c r="AL65" s="54">
        <v>167393937.2168014</v>
      </c>
      <c r="AM65" s="16"/>
      <c r="AN65" s="53">
        <v>45351</v>
      </c>
      <c r="AO65" s="54">
        <v>215918078412.52789</v>
      </c>
      <c r="AP65" s="16"/>
      <c r="EX65" s="39">
        <v>47209</v>
      </c>
      <c r="EY65" s="16">
        <v>163318</v>
      </c>
      <c r="FA65" s="39"/>
      <c r="FB65" s="16"/>
      <c r="FD65" s="39"/>
      <c r="FE65" s="16"/>
      <c r="FG65" s="39"/>
      <c r="FH65" s="16"/>
      <c r="FJ65" s="39"/>
      <c r="FK65" s="16"/>
      <c r="FM65" s="39"/>
      <c r="FN65" s="16"/>
      <c r="FP65" s="39"/>
      <c r="FQ65" s="16"/>
      <c r="FS65" s="39"/>
      <c r="FT65" s="16"/>
      <c r="FV65" s="39"/>
      <c r="FW65" s="16"/>
      <c r="FY65" s="39"/>
      <c r="FZ65" s="16"/>
      <c r="GB65" s="39"/>
      <c r="GC65" s="16"/>
    </row>
    <row r="66" spans="2:185" x14ac:dyDescent="0.25">
      <c r="B66" s="39"/>
      <c r="H66" s="39"/>
      <c r="I66" s="39"/>
      <c r="J66" s="2">
        <v>48518</v>
      </c>
      <c r="K66" s="3">
        <v>179181818.18181834</v>
      </c>
      <c r="L66" s="38"/>
      <c r="O66" s="39"/>
      <c r="T66" s="39"/>
      <c r="U66" s="39"/>
      <c r="W66" s="39"/>
      <c r="X66" s="39"/>
      <c r="Y66" s="39"/>
      <c r="Z66" s="39"/>
      <c r="AA66" s="39"/>
      <c r="AB66" s="39"/>
      <c r="AC66" s="39"/>
      <c r="AD66" s="16"/>
      <c r="AE66" s="16"/>
      <c r="AF66" s="16"/>
      <c r="AG66" s="16"/>
      <c r="AH66" s="16"/>
      <c r="AI66" s="16"/>
      <c r="AJ66" s="16"/>
      <c r="AK66" s="53">
        <v>45382</v>
      </c>
      <c r="AL66" s="54">
        <v>164701545.06190607</v>
      </c>
      <c r="AM66" s="16"/>
      <c r="AN66" s="53">
        <v>45382</v>
      </c>
      <c r="AO66" s="54">
        <v>213164911394.04895</v>
      </c>
      <c r="AP66" s="16"/>
      <c r="EX66" s="39">
        <v>47300</v>
      </c>
      <c r="EY66" s="16">
        <v>100990</v>
      </c>
      <c r="FA66" s="39"/>
      <c r="FB66" s="16"/>
      <c r="FD66" s="39"/>
      <c r="FE66" s="16"/>
      <c r="FG66" s="39"/>
      <c r="FH66" s="16"/>
      <c r="FJ66" s="39"/>
      <c r="FK66" s="16"/>
      <c r="FM66" s="39"/>
      <c r="FN66" s="16"/>
      <c r="FP66" s="39"/>
      <c r="FQ66" s="16"/>
      <c r="FS66" s="39"/>
      <c r="FT66" s="16"/>
      <c r="FV66" s="39"/>
      <c r="FW66" s="16"/>
      <c r="FY66" s="39"/>
      <c r="FZ66" s="16"/>
      <c r="GB66" s="39"/>
      <c r="GC66" s="16"/>
    </row>
    <row r="67" spans="2:185" x14ac:dyDescent="0.25">
      <c r="B67" s="39"/>
      <c r="H67" s="39"/>
      <c r="I67" s="39"/>
      <c r="J67" s="2">
        <v>48610</v>
      </c>
      <c r="K67" s="3">
        <v>169227272.72727287</v>
      </c>
      <c r="L67" s="38"/>
      <c r="O67" s="39"/>
      <c r="T67" s="39"/>
      <c r="U67" s="39"/>
      <c r="W67" s="39"/>
      <c r="X67" s="39"/>
      <c r="Y67" s="39"/>
      <c r="Z67" s="39"/>
      <c r="AA67" s="39"/>
      <c r="AB67" s="39"/>
      <c r="AC67" s="39"/>
      <c r="AD67" s="16"/>
      <c r="AE67" s="16"/>
      <c r="AF67" s="16"/>
      <c r="AG67" s="16"/>
      <c r="AH67" s="16"/>
      <c r="AI67" s="16"/>
      <c r="AJ67" s="16"/>
      <c r="AK67" s="53">
        <v>45412</v>
      </c>
      <c r="AL67" s="54">
        <v>164701545.06190607</v>
      </c>
      <c r="AM67" s="16"/>
      <c r="AN67" s="53">
        <v>45412</v>
      </c>
      <c r="AO67" s="54">
        <v>213164911394.04895</v>
      </c>
      <c r="AP67" s="16"/>
      <c r="EX67" s="39">
        <v>47392</v>
      </c>
      <c r="EY67" s="16">
        <v>38152</v>
      </c>
      <c r="FA67" s="39"/>
      <c r="FB67" s="16"/>
      <c r="FD67" s="39"/>
      <c r="FE67" s="16"/>
      <c r="FG67" s="39"/>
      <c r="FH67" s="16"/>
      <c r="FJ67" s="39"/>
      <c r="FK67" s="16"/>
      <c r="FM67" s="39"/>
      <c r="FN67" s="16"/>
      <c r="FP67" s="39"/>
      <c r="FQ67" s="16"/>
      <c r="FS67" s="39"/>
      <c r="FT67" s="16"/>
      <c r="FV67" s="39"/>
      <c r="FW67" s="16"/>
      <c r="FY67" s="39"/>
      <c r="FZ67" s="16"/>
      <c r="GB67" s="39"/>
      <c r="GC67" s="16"/>
    </row>
    <row r="68" spans="2:185" x14ac:dyDescent="0.25">
      <c r="B68" s="39"/>
      <c r="I68" s="39"/>
      <c r="J68" s="2">
        <v>48699</v>
      </c>
      <c r="K68" s="3">
        <v>159272727.2727274</v>
      </c>
      <c r="L68" s="38"/>
      <c r="O68" s="39"/>
      <c r="T68" s="39"/>
      <c r="U68" s="39"/>
      <c r="W68" s="39"/>
      <c r="X68" s="39"/>
      <c r="Y68" s="39"/>
      <c r="Z68" s="39"/>
      <c r="AA68" s="39"/>
      <c r="AB68" s="39"/>
      <c r="AC68" s="39"/>
      <c r="AD68" s="16"/>
      <c r="AE68" s="16"/>
      <c r="AF68" s="16"/>
      <c r="AG68" s="16"/>
      <c r="AH68" s="16"/>
      <c r="AI68" s="16"/>
      <c r="AJ68" s="16"/>
      <c r="AK68" s="53">
        <v>45443</v>
      </c>
      <c r="AL68" s="54">
        <v>164701545.06190607</v>
      </c>
      <c r="AM68" s="16"/>
      <c r="AN68" s="53">
        <v>45443</v>
      </c>
      <c r="AO68" s="54">
        <v>213164911394.04895</v>
      </c>
      <c r="AP68" s="16"/>
      <c r="EX68" s="39">
        <v>47484</v>
      </c>
      <c r="EY68" s="22">
        <v>0</v>
      </c>
    </row>
    <row r="69" spans="2:185" x14ac:dyDescent="0.25">
      <c r="J69" s="2">
        <v>48791</v>
      </c>
      <c r="K69" s="3">
        <v>149318181.81818193</v>
      </c>
      <c r="L69" s="38"/>
      <c r="AK69" s="53">
        <v>45473</v>
      </c>
      <c r="AL69" s="54">
        <v>164701545.06190607</v>
      </c>
      <c r="AN69" s="53">
        <v>45473</v>
      </c>
      <c r="AO69" s="54">
        <v>213164911394.04895</v>
      </c>
    </row>
    <row r="70" spans="2:185" x14ac:dyDescent="0.25">
      <c r="J70" s="2">
        <v>48883</v>
      </c>
      <c r="K70" s="3">
        <v>139363636.36363646</v>
      </c>
      <c r="L70" s="38"/>
      <c r="AK70" s="53">
        <v>45504</v>
      </c>
      <c r="AL70" s="54">
        <v>164701545.06190607</v>
      </c>
      <c r="AN70" s="53">
        <v>45504</v>
      </c>
      <c r="AO70" s="54">
        <v>213164911394.04895</v>
      </c>
    </row>
    <row r="71" spans="2:185" x14ac:dyDescent="0.25">
      <c r="J71" s="2">
        <v>48975</v>
      </c>
      <c r="K71" s="3">
        <v>129409090.90909101</v>
      </c>
      <c r="L71" s="38"/>
      <c r="AK71" s="53">
        <v>45535</v>
      </c>
      <c r="AL71" s="54">
        <v>164701545.06190607</v>
      </c>
      <c r="AN71" s="53">
        <v>45535</v>
      </c>
      <c r="AO71" s="54">
        <v>213164911394.04895</v>
      </c>
    </row>
    <row r="72" spans="2:185" x14ac:dyDescent="0.25">
      <c r="J72" s="2">
        <v>49064</v>
      </c>
      <c r="K72" s="3">
        <v>119454545.45454556</v>
      </c>
      <c r="L72" s="38"/>
      <c r="AK72" s="53">
        <v>45565</v>
      </c>
      <c r="AL72" s="54">
        <v>159323097.35265806</v>
      </c>
      <c r="AN72" s="53">
        <v>45565</v>
      </c>
      <c r="AO72" s="54">
        <v>211702932393.26041</v>
      </c>
    </row>
    <row r="73" spans="2:185" x14ac:dyDescent="0.25">
      <c r="J73" s="2">
        <v>49156</v>
      </c>
      <c r="K73" s="3">
        <v>109500000.0000001</v>
      </c>
      <c r="L73" s="38"/>
      <c r="AK73" s="53">
        <v>45596</v>
      </c>
      <c r="AL73" s="54">
        <v>159323097.35265806</v>
      </c>
      <c r="AN73" s="53">
        <v>45596</v>
      </c>
      <c r="AO73" s="54">
        <v>211702932393.26041</v>
      </c>
    </row>
    <row r="74" spans="2:185" x14ac:dyDescent="0.25">
      <c r="J74" s="2">
        <v>49248</v>
      </c>
      <c r="K74" s="3">
        <v>99545454.545454651</v>
      </c>
      <c r="L74" s="38"/>
      <c r="AK74" s="53">
        <v>45626</v>
      </c>
      <c r="AL74" s="54">
        <v>159323097.35265806</v>
      </c>
      <c r="AN74" s="53">
        <v>45626</v>
      </c>
      <c r="AO74" s="54">
        <v>211702932393.26041</v>
      </c>
    </row>
    <row r="75" spans="2:185" x14ac:dyDescent="0.25">
      <c r="J75" s="2">
        <v>49340</v>
      </c>
      <c r="K75" s="3">
        <v>89590909.090909198</v>
      </c>
      <c r="L75" s="38"/>
      <c r="AK75" s="53">
        <v>45657</v>
      </c>
      <c r="AL75" s="54">
        <v>159323097.35265806</v>
      </c>
      <c r="AN75" s="53">
        <v>45657</v>
      </c>
      <c r="AO75" s="54">
        <v>211702932393.26041</v>
      </c>
    </row>
    <row r="76" spans="2:185" x14ac:dyDescent="0.25">
      <c r="J76" s="2">
        <v>49429</v>
      </c>
      <c r="K76" s="3">
        <v>79636363.636363745</v>
      </c>
      <c r="L76" s="38"/>
      <c r="AK76" s="53">
        <v>45688</v>
      </c>
      <c r="AL76" s="54">
        <v>159323097.35265806</v>
      </c>
      <c r="AN76" s="53">
        <v>45688</v>
      </c>
      <c r="AO76" s="54">
        <v>211702932393.26041</v>
      </c>
    </row>
    <row r="77" spans="2:185" x14ac:dyDescent="0.25">
      <c r="J77" s="2">
        <v>49521</v>
      </c>
      <c r="K77" s="3">
        <v>69681818.181818292</v>
      </c>
      <c r="L77" s="38"/>
      <c r="AK77" s="53">
        <v>45716</v>
      </c>
      <c r="AL77" s="54">
        <v>159323097.35265806</v>
      </c>
      <c r="AN77" s="53">
        <v>45716</v>
      </c>
      <c r="AO77" s="54">
        <v>211702932393.26041</v>
      </c>
    </row>
    <row r="78" spans="2:185" x14ac:dyDescent="0.25">
      <c r="J78" s="2">
        <v>49613</v>
      </c>
      <c r="K78" s="3">
        <v>59727272.727272838</v>
      </c>
      <c r="L78" s="38"/>
      <c r="AK78" s="53">
        <v>45747</v>
      </c>
      <c r="AL78" s="54">
        <v>154841029.60420728</v>
      </c>
      <c r="AN78" s="53">
        <v>45747</v>
      </c>
      <c r="AO78" s="54">
        <v>211299971778.99475</v>
      </c>
    </row>
    <row r="79" spans="2:185" x14ac:dyDescent="0.25">
      <c r="J79" s="2">
        <v>49705</v>
      </c>
      <c r="K79" s="3">
        <v>49772727.272727385</v>
      </c>
      <c r="L79" s="38"/>
      <c r="AK79" s="53">
        <v>45777</v>
      </c>
      <c r="AL79" s="54">
        <v>154841029.60420728</v>
      </c>
      <c r="AN79" s="53">
        <v>45777</v>
      </c>
      <c r="AO79" s="54">
        <v>211299971778.99475</v>
      </c>
    </row>
    <row r="80" spans="2:185" x14ac:dyDescent="0.25">
      <c r="J80" s="2">
        <v>49795</v>
      </c>
      <c r="K80" s="3">
        <v>39818181.818181932</v>
      </c>
      <c r="L80" s="38"/>
      <c r="AK80" s="53">
        <v>45808</v>
      </c>
      <c r="AL80" s="54">
        <v>154841029.60420728</v>
      </c>
      <c r="AN80" s="53">
        <v>45808</v>
      </c>
      <c r="AO80" s="54">
        <v>211299971778.99475</v>
      </c>
    </row>
    <row r="81" spans="10:41" x14ac:dyDescent="0.25">
      <c r="J81" s="2">
        <v>49887</v>
      </c>
      <c r="K81" s="3">
        <v>29863636.363636479</v>
      </c>
      <c r="L81" s="38"/>
      <c r="AK81" s="53">
        <v>45838</v>
      </c>
      <c r="AL81" s="54">
        <v>154841029.60420728</v>
      </c>
      <c r="AN81" s="53">
        <v>45838</v>
      </c>
      <c r="AO81" s="54">
        <v>211299971778.99475</v>
      </c>
    </row>
    <row r="82" spans="10:41" x14ac:dyDescent="0.25">
      <c r="J82" s="2">
        <v>49979</v>
      </c>
      <c r="K82" s="3">
        <v>19909090.909091026</v>
      </c>
      <c r="L82" s="38"/>
      <c r="AK82" s="53">
        <v>45869</v>
      </c>
      <c r="AL82" s="54">
        <v>154841029.60420728</v>
      </c>
      <c r="AN82" s="53">
        <v>45869</v>
      </c>
      <c r="AO82" s="54">
        <v>211299971778.99475</v>
      </c>
    </row>
    <row r="83" spans="10:41" x14ac:dyDescent="0.25">
      <c r="J83" s="2">
        <v>50071</v>
      </c>
      <c r="K83" s="3">
        <v>9954545.4545455705</v>
      </c>
      <c r="L83" s="38"/>
      <c r="AK83" s="53">
        <v>45900</v>
      </c>
      <c r="AL83" s="54">
        <v>154841029.60420728</v>
      </c>
      <c r="AN83" s="53">
        <v>45900</v>
      </c>
      <c r="AO83" s="54">
        <v>211299971778.99475</v>
      </c>
    </row>
    <row r="84" spans="10:41" x14ac:dyDescent="0.25">
      <c r="J84" s="2">
        <v>50160</v>
      </c>
      <c r="K84" s="3">
        <v>0</v>
      </c>
      <c r="L84" s="38"/>
      <c r="AK84" s="53">
        <v>45930</v>
      </c>
      <c r="AL84" s="54">
        <v>146219782.20259881</v>
      </c>
      <c r="AN84" s="53">
        <v>45930</v>
      </c>
      <c r="AO84" s="54">
        <v>198457141675.21976</v>
      </c>
    </row>
    <row r="85" spans="10:41" x14ac:dyDescent="0.25">
      <c r="L85" s="38"/>
      <c r="AK85" s="53">
        <v>45961</v>
      </c>
      <c r="AL85" s="54">
        <v>146219782.20259881</v>
      </c>
      <c r="AN85" s="53">
        <v>45961</v>
      </c>
      <c r="AO85" s="54">
        <v>198457141675.21976</v>
      </c>
    </row>
    <row r="86" spans="10:41" x14ac:dyDescent="0.25">
      <c r="L86" s="3"/>
      <c r="AK86" s="53">
        <v>45991</v>
      </c>
      <c r="AL86" s="54">
        <v>146219782.20259881</v>
      </c>
      <c r="AN86" s="53">
        <v>45991</v>
      </c>
      <c r="AO86" s="54">
        <v>198457141675.21976</v>
      </c>
    </row>
    <row r="87" spans="10:41" x14ac:dyDescent="0.25">
      <c r="AK87" s="53">
        <v>46022</v>
      </c>
      <c r="AL87" s="54">
        <v>146219782.20259881</v>
      </c>
      <c r="AN87" s="53">
        <v>46022</v>
      </c>
      <c r="AO87" s="54">
        <v>198457141675.21976</v>
      </c>
    </row>
    <row r="88" spans="10:41" x14ac:dyDescent="0.25">
      <c r="AK88" s="53">
        <v>46053</v>
      </c>
      <c r="AL88" s="54">
        <v>146219782.20259881</v>
      </c>
      <c r="AN88" s="53">
        <v>46053</v>
      </c>
      <c r="AO88" s="54">
        <v>198457141675.21976</v>
      </c>
    </row>
    <row r="89" spans="10:41" x14ac:dyDescent="0.25">
      <c r="AK89" s="53">
        <v>46081</v>
      </c>
      <c r="AL89" s="54">
        <v>146219782.20259881</v>
      </c>
      <c r="AN89" s="53">
        <v>46081</v>
      </c>
      <c r="AO89" s="54">
        <v>198457141675.21976</v>
      </c>
    </row>
    <row r="90" spans="10:41" x14ac:dyDescent="0.25">
      <c r="AK90" s="53">
        <v>46112</v>
      </c>
      <c r="AL90" s="54">
        <v>144903839.32385752</v>
      </c>
      <c r="AN90" s="53">
        <v>46112</v>
      </c>
      <c r="AO90" s="54">
        <v>197295971911.90268</v>
      </c>
    </row>
    <row r="91" spans="10:41" x14ac:dyDescent="0.25">
      <c r="AK91" s="53">
        <v>46142</v>
      </c>
      <c r="AL91" s="54">
        <v>144903839.32385752</v>
      </c>
      <c r="AN91" s="53">
        <v>46142</v>
      </c>
      <c r="AO91" s="54">
        <v>197295971911.90268</v>
      </c>
    </row>
    <row r="92" spans="10:41" x14ac:dyDescent="0.25">
      <c r="AK92" s="53">
        <v>46173</v>
      </c>
      <c r="AL92" s="54">
        <v>144903839.32385752</v>
      </c>
      <c r="AN92" s="53">
        <v>46173</v>
      </c>
      <c r="AO92" s="54">
        <v>197295971911.90268</v>
      </c>
    </row>
    <row r="93" spans="10:41" x14ac:dyDescent="0.25">
      <c r="AK93" s="53">
        <v>46203</v>
      </c>
      <c r="AL93" s="54">
        <v>144903839.32385752</v>
      </c>
      <c r="AN93" s="53">
        <v>46203</v>
      </c>
      <c r="AO93" s="54">
        <v>197295971911.90268</v>
      </c>
    </row>
    <row r="94" spans="10:41" x14ac:dyDescent="0.25">
      <c r="AK94" s="53">
        <v>46234</v>
      </c>
      <c r="AL94" s="54">
        <v>144903839.32385752</v>
      </c>
      <c r="AN94" s="53">
        <v>46234</v>
      </c>
      <c r="AO94" s="54">
        <v>197295971911.90268</v>
      </c>
    </row>
    <row r="95" spans="10:41" x14ac:dyDescent="0.25">
      <c r="AK95" s="53">
        <v>46265</v>
      </c>
      <c r="AL95" s="54">
        <v>144903839.32385752</v>
      </c>
      <c r="AN95" s="53">
        <v>46265</v>
      </c>
      <c r="AO95" s="54">
        <v>197295971911.90268</v>
      </c>
    </row>
    <row r="96" spans="10:41" x14ac:dyDescent="0.25">
      <c r="AK96" s="53">
        <v>46295</v>
      </c>
      <c r="AL96" s="54">
        <v>135494356.55691931</v>
      </c>
      <c r="AN96" s="53">
        <v>46295</v>
      </c>
      <c r="AO96" s="54">
        <v>186566236768.30536</v>
      </c>
    </row>
    <row r="97" spans="37:41" x14ac:dyDescent="0.25">
      <c r="AK97" s="53">
        <v>46326</v>
      </c>
      <c r="AL97" s="54">
        <v>135494356.55691931</v>
      </c>
      <c r="AN97" s="53">
        <v>46326</v>
      </c>
      <c r="AO97" s="54">
        <v>186566236768.30536</v>
      </c>
    </row>
    <row r="98" spans="37:41" x14ac:dyDescent="0.25">
      <c r="AK98" s="53">
        <v>46356</v>
      </c>
      <c r="AL98" s="54">
        <v>135494356.55691931</v>
      </c>
      <c r="AN98" s="53">
        <v>46356</v>
      </c>
      <c r="AO98" s="54">
        <v>186566236768.30536</v>
      </c>
    </row>
    <row r="99" spans="37:41" x14ac:dyDescent="0.25">
      <c r="AK99" s="53">
        <v>46387</v>
      </c>
      <c r="AL99" s="54">
        <v>135494356.55691931</v>
      </c>
      <c r="AN99" s="53">
        <v>46387</v>
      </c>
      <c r="AO99" s="54">
        <v>186566236768.30536</v>
      </c>
    </row>
    <row r="100" spans="37:41" x14ac:dyDescent="0.25">
      <c r="AK100" s="53">
        <v>46418</v>
      </c>
      <c r="AL100" s="54">
        <v>135494356.55691931</v>
      </c>
      <c r="AN100" s="53">
        <v>46418</v>
      </c>
      <c r="AO100" s="54">
        <v>186566236768.30536</v>
      </c>
    </row>
    <row r="101" spans="37:41" x14ac:dyDescent="0.25">
      <c r="AK101" s="53">
        <v>46446</v>
      </c>
      <c r="AL101" s="54">
        <v>135494356.55691931</v>
      </c>
      <c r="AN101" s="53">
        <v>46446</v>
      </c>
      <c r="AO101" s="54">
        <v>186566236768.30536</v>
      </c>
    </row>
    <row r="102" spans="37:41" x14ac:dyDescent="0.25">
      <c r="AK102" s="53">
        <v>46477</v>
      </c>
      <c r="AL102" s="54">
        <v>132554458.69471331</v>
      </c>
      <c r="AN102" s="53">
        <v>46477</v>
      </c>
      <c r="AO102" s="54">
        <v>186562424720.94238</v>
      </c>
    </row>
    <row r="103" spans="37:41" x14ac:dyDescent="0.25">
      <c r="AK103" s="53">
        <v>46507</v>
      </c>
      <c r="AL103" s="54">
        <v>132554458.69471331</v>
      </c>
      <c r="AN103" s="53">
        <v>46507</v>
      </c>
      <c r="AO103" s="54">
        <v>186562424720.94238</v>
      </c>
    </row>
    <row r="104" spans="37:41" x14ac:dyDescent="0.25">
      <c r="AK104" s="53">
        <v>46538</v>
      </c>
      <c r="AL104" s="54">
        <v>132554458.69471331</v>
      </c>
      <c r="AN104" s="53">
        <v>46538</v>
      </c>
      <c r="AO104" s="54">
        <v>186562424720.94238</v>
      </c>
    </row>
    <row r="105" spans="37:41" x14ac:dyDescent="0.25">
      <c r="AK105" s="53">
        <v>46568</v>
      </c>
      <c r="AL105" s="54">
        <v>132554458.69471331</v>
      </c>
      <c r="AN105" s="53">
        <v>46568</v>
      </c>
      <c r="AO105" s="54">
        <v>186562424720.94238</v>
      </c>
    </row>
    <row r="106" spans="37:41" x14ac:dyDescent="0.25">
      <c r="AK106" s="53">
        <v>46599</v>
      </c>
      <c r="AL106" s="54">
        <v>132554458.69471331</v>
      </c>
      <c r="AN106" s="53">
        <v>46599</v>
      </c>
      <c r="AO106" s="54">
        <v>186562424720.94238</v>
      </c>
    </row>
    <row r="107" spans="37:41" x14ac:dyDescent="0.25">
      <c r="AK107" s="53">
        <v>46630</v>
      </c>
      <c r="AL107" s="54">
        <v>132554458.69471331</v>
      </c>
      <c r="AN107" s="53">
        <v>46630</v>
      </c>
      <c r="AO107" s="54">
        <v>186562424720.94238</v>
      </c>
    </row>
    <row r="108" spans="37:41" x14ac:dyDescent="0.25">
      <c r="AK108" s="53">
        <v>46660</v>
      </c>
      <c r="AL108" s="54">
        <v>125470118.39516546</v>
      </c>
      <c r="AN108" s="53">
        <v>46660</v>
      </c>
      <c r="AO108" s="54">
        <v>180030745313.86859</v>
      </c>
    </row>
    <row r="109" spans="37:41" x14ac:dyDescent="0.25">
      <c r="AK109" s="53">
        <v>46691</v>
      </c>
      <c r="AL109" s="54">
        <v>125470118.39516546</v>
      </c>
      <c r="AN109" s="53">
        <v>46691</v>
      </c>
      <c r="AO109" s="54">
        <v>180030745313.86859</v>
      </c>
    </row>
    <row r="110" spans="37:41" x14ac:dyDescent="0.25">
      <c r="AK110" s="53">
        <v>46721</v>
      </c>
      <c r="AL110" s="54">
        <v>125470118.39516546</v>
      </c>
      <c r="AN110" s="53">
        <v>46721</v>
      </c>
      <c r="AO110" s="54">
        <v>180030745313.86859</v>
      </c>
    </row>
    <row r="111" spans="37:41" x14ac:dyDescent="0.25">
      <c r="AK111" s="53">
        <v>46752</v>
      </c>
      <c r="AL111" s="54">
        <v>125470118.39516546</v>
      </c>
      <c r="AN111" s="53">
        <v>46752</v>
      </c>
      <c r="AO111" s="54">
        <v>180030745313.86859</v>
      </c>
    </row>
    <row r="112" spans="37:41" x14ac:dyDescent="0.25">
      <c r="AK112" s="53">
        <v>46783</v>
      </c>
      <c r="AL112" s="54">
        <v>125470118.39516546</v>
      </c>
      <c r="AN112" s="53">
        <v>46783</v>
      </c>
      <c r="AO112" s="54">
        <v>180030745313.86859</v>
      </c>
    </row>
    <row r="113" spans="37:41" x14ac:dyDescent="0.25">
      <c r="AK113" s="53">
        <v>46812</v>
      </c>
      <c r="AL113" s="54">
        <v>125470118.39516546</v>
      </c>
      <c r="AN113" s="53">
        <v>46812</v>
      </c>
      <c r="AO113" s="54">
        <v>180030745313.86859</v>
      </c>
    </row>
    <row r="114" spans="37:41" x14ac:dyDescent="0.25">
      <c r="AK114" s="53">
        <v>46843</v>
      </c>
      <c r="AL114" s="54">
        <v>120786890.00690114</v>
      </c>
      <c r="AN114" s="53">
        <v>46843</v>
      </c>
      <c r="AO114" s="54">
        <v>176468956040.08752</v>
      </c>
    </row>
    <row r="115" spans="37:41" x14ac:dyDescent="0.25">
      <c r="AK115" s="53">
        <v>46873</v>
      </c>
      <c r="AL115" s="54">
        <v>120786890.00690114</v>
      </c>
      <c r="AN115" s="53">
        <v>46873</v>
      </c>
      <c r="AO115" s="54">
        <v>176468956040.08752</v>
      </c>
    </row>
    <row r="116" spans="37:41" x14ac:dyDescent="0.25">
      <c r="AK116" s="53">
        <v>46904</v>
      </c>
      <c r="AL116" s="54">
        <v>120786890.00690114</v>
      </c>
      <c r="AN116" s="53">
        <v>46904</v>
      </c>
      <c r="AO116" s="54">
        <v>176468956040.08752</v>
      </c>
    </row>
    <row r="117" spans="37:41" x14ac:dyDescent="0.25">
      <c r="AK117" s="53">
        <v>46934</v>
      </c>
      <c r="AL117" s="54">
        <v>120786890.00690114</v>
      </c>
      <c r="AN117" s="53">
        <v>46934</v>
      </c>
      <c r="AO117" s="54">
        <v>176468956040.08752</v>
      </c>
    </row>
    <row r="118" spans="37:41" x14ac:dyDescent="0.25">
      <c r="AK118" s="53">
        <v>46965</v>
      </c>
      <c r="AL118" s="54">
        <v>120786890.00690114</v>
      </c>
      <c r="AN118" s="53">
        <v>46965</v>
      </c>
      <c r="AO118" s="54">
        <v>176468956040.08752</v>
      </c>
    </row>
    <row r="119" spans="37:41" x14ac:dyDescent="0.25">
      <c r="AK119" s="53">
        <v>46996</v>
      </c>
      <c r="AL119" s="54">
        <v>120786890.00690114</v>
      </c>
      <c r="AN119" s="53">
        <v>46996</v>
      </c>
      <c r="AO119" s="54">
        <v>176468956040.08752</v>
      </c>
    </row>
    <row r="120" spans="37:41" x14ac:dyDescent="0.25">
      <c r="AK120" s="53">
        <v>47026</v>
      </c>
      <c r="AL120" s="54">
        <v>110785077.66198249</v>
      </c>
      <c r="AN120" s="53">
        <v>47026</v>
      </c>
      <c r="AO120" s="54">
        <v>166296147758.6792</v>
      </c>
    </row>
    <row r="121" spans="37:41" x14ac:dyDescent="0.25">
      <c r="AK121" s="53">
        <v>47057</v>
      </c>
      <c r="AL121" s="54">
        <v>110785077.66198249</v>
      </c>
      <c r="AN121" s="53">
        <v>47057</v>
      </c>
      <c r="AO121" s="54">
        <v>166296147758.6792</v>
      </c>
    </row>
    <row r="122" spans="37:41" x14ac:dyDescent="0.25">
      <c r="AK122" s="53">
        <v>47087</v>
      </c>
      <c r="AL122" s="54">
        <v>110785077.66198249</v>
      </c>
      <c r="AN122" s="53">
        <v>47087</v>
      </c>
      <c r="AO122" s="54">
        <v>166296147758.6792</v>
      </c>
    </row>
    <row r="123" spans="37:41" x14ac:dyDescent="0.25">
      <c r="AK123" s="53">
        <v>47118</v>
      </c>
      <c r="AL123" s="54">
        <v>110785077.66198249</v>
      </c>
      <c r="AN123" s="53">
        <v>47118</v>
      </c>
      <c r="AO123" s="54">
        <v>166296147758.6792</v>
      </c>
    </row>
    <row r="124" spans="37:41" x14ac:dyDescent="0.25">
      <c r="AK124" s="53">
        <v>47149</v>
      </c>
      <c r="AL124" s="54">
        <v>110785077.66198249</v>
      </c>
      <c r="AN124" s="53">
        <v>47149</v>
      </c>
      <c r="AO124" s="54">
        <v>166296147758.6792</v>
      </c>
    </row>
    <row r="125" spans="37:41" x14ac:dyDescent="0.25">
      <c r="AK125" s="53">
        <v>47177</v>
      </c>
      <c r="AL125" s="54">
        <v>110785077.66198249</v>
      </c>
      <c r="AN125" s="53">
        <v>47177</v>
      </c>
      <c r="AO125" s="54">
        <v>166296147758.6792</v>
      </c>
    </row>
    <row r="126" spans="37:41" x14ac:dyDescent="0.25">
      <c r="AK126" s="53">
        <v>47208</v>
      </c>
      <c r="AL126" s="54">
        <v>106618437.12709193</v>
      </c>
      <c r="AN126" s="53">
        <v>47208</v>
      </c>
      <c r="AO126" s="54">
        <v>165908274816.22711</v>
      </c>
    </row>
    <row r="127" spans="37:41" x14ac:dyDescent="0.25">
      <c r="AK127" s="53">
        <v>47238</v>
      </c>
      <c r="AL127" s="54">
        <v>106618437.12709193</v>
      </c>
      <c r="AN127" s="53">
        <v>47238</v>
      </c>
      <c r="AO127" s="54">
        <v>165908274816.22711</v>
      </c>
    </row>
    <row r="128" spans="37:41" x14ac:dyDescent="0.25">
      <c r="AK128" s="53">
        <v>47269</v>
      </c>
      <c r="AL128" s="54">
        <v>106618437.12709193</v>
      </c>
      <c r="AN128" s="53">
        <v>47269</v>
      </c>
      <c r="AO128" s="54">
        <v>165908274816.22711</v>
      </c>
    </row>
    <row r="129" spans="37:41" x14ac:dyDescent="0.25">
      <c r="AK129" s="53">
        <v>47299</v>
      </c>
      <c r="AL129" s="54">
        <v>106618437.12709193</v>
      </c>
      <c r="AN129" s="53">
        <v>47299</v>
      </c>
      <c r="AO129" s="54">
        <v>165908274816.22711</v>
      </c>
    </row>
    <row r="130" spans="37:41" x14ac:dyDescent="0.25">
      <c r="AK130" s="53">
        <v>47330</v>
      </c>
      <c r="AL130" s="54">
        <v>106618437.12709193</v>
      </c>
      <c r="AN130" s="53">
        <v>47330</v>
      </c>
      <c r="AO130" s="54">
        <v>165908274816.22711</v>
      </c>
    </row>
    <row r="131" spans="37:41" x14ac:dyDescent="0.25">
      <c r="AK131" s="53">
        <v>47361</v>
      </c>
      <c r="AL131" s="54">
        <v>106618437.12709193</v>
      </c>
      <c r="AN131" s="53">
        <v>47361</v>
      </c>
      <c r="AO131" s="54">
        <v>165908274816.22711</v>
      </c>
    </row>
    <row r="132" spans="37:41" x14ac:dyDescent="0.25">
      <c r="AK132" s="53">
        <v>47391</v>
      </c>
      <c r="AL132" s="54">
        <v>97226393.844513029</v>
      </c>
      <c r="AN132" s="53">
        <v>47391</v>
      </c>
      <c r="AO132" s="54">
        <v>155014509015.06961</v>
      </c>
    </row>
    <row r="133" spans="37:41" x14ac:dyDescent="0.25">
      <c r="AK133" s="53">
        <v>47422</v>
      </c>
      <c r="AL133" s="54">
        <v>97226393.844513029</v>
      </c>
      <c r="AN133" s="53">
        <v>47422</v>
      </c>
      <c r="AO133" s="54">
        <v>155014509015.06961</v>
      </c>
    </row>
    <row r="134" spans="37:41" x14ac:dyDescent="0.25">
      <c r="AK134" s="53">
        <v>47452</v>
      </c>
      <c r="AL134" s="54">
        <v>97226393.844513029</v>
      </c>
      <c r="AN134" s="53">
        <v>47452</v>
      </c>
      <c r="AO134" s="54">
        <v>155014509015.06961</v>
      </c>
    </row>
    <row r="135" spans="37:41" x14ac:dyDescent="0.25">
      <c r="AK135" s="53">
        <v>47483</v>
      </c>
      <c r="AL135" s="54">
        <v>97226393.844513029</v>
      </c>
      <c r="AN135" s="53">
        <v>47483</v>
      </c>
      <c r="AO135" s="54">
        <v>155014509015.06961</v>
      </c>
    </row>
    <row r="136" spans="37:41" x14ac:dyDescent="0.25">
      <c r="AK136" s="53">
        <v>47514</v>
      </c>
      <c r="AL136" s="54">
        <v>97226393.844513029</v>
      </c>
      <c r="AN136" s="53">
        <v>47514</v>
      </c>
      <c r="AO136" s="54">
        <v>155014509015.06961</v>
      </c>
    </row>
    <row r="137" spans="37:41" x14ac:dyDescent="0.25">
      <c r="AK137" s="53">
        <v>47542</v>
      </c>
      <c r="AL137" s="54">
        <v>97226393.844513029</v>
      </c>
      <c r="AN137" s="53">
        <v>47542</v>
      </c>
      <c r="AO137" s="54">
        <v>155014509015.06961</v>
      </c>
    </row>
    <row r="138" spans="37:41" x14ac:dyDescent="0.25">
      <c r="AK138" s="53">
        <v>47573</v>
      </c>
      <c r="AL138" s="54">
        <v>91843718.429022044</v>
      </c>
      <c r="AN138" s="53">
        <v>47573</v>
      </c>
      <c r="AO138" s="54">
        <v>148843414421.89218</v>
      </c>
    </row>
    <row r="139" spans="37:41" x14ac:dyDescent="0.25">
      <c r="AK139" s="53">
        <v>47603</v>
      </c>
      <c r="AL139" s="54">
        <v>91843718.429022044</v>
      </c>
      <c r="AN139" s="53">
        <v>47603</v>
      </c>
      <c r="AO139" s="54">
        <v>148843414421.89218</v>
      </c>
    </row>
    <row r="140" spans="37:41" x14ac:dyDescent="0.25">
      <c r="AK140" s="53">
        <v>47634</v>
      </c>
      <c r="AL140" s="54">
        <v>91843718.429022044</v>
      </c>
      <c r="AN140" s="53">
        <v>47634</v>
      </c>
      <c r="AO140" s="54">
        <v>148843414421.89218</v>
      </c>
    </row>
    <row r="141" spans="37:41" x14ac:dyDescent="0.25">
      <c r="AK141" s="53">
        <v>47664</v>
      </c>
      <c r="AL141" s="54">
        <v>91843718.429022044</v>
      </c>
      <c r="AN141" s="53">
        <v>47664</v>
      </c>
      <c r="AO141" s="54">
        <v>148843414421.89218</v>
      </c>
    </row>
    <row r="142" spans="37:41" x14ac:dyDescent="0.25">
      <c r="AK142" s="53">
        <v>47695</v>
      </c>
      <c r="AL142" s="54">
        <v>91843718.429022044</v>
      </c>
      <c r="AN142" s="53">
        <v>47695</v>
      </c>
      <c r="AO142" s="54">
        <v>148843414421.89218</v>
      </c>
    </row>
    <row r="143" spans="37:41" x14ac:dyDescent="0.25">
      <c r="AK143" s="53">
        <v>47726</v>
      </c>
      <c r="AL143" s="54">
        <v>91843718.429022044</v>
      </c>
      <c r="AN143" s="53">
        <v>47726</v>
      </c>
      <c r="AO143" s="54">
        <v>148843414421.89218</v>
      </c>
    </row>
    <row r="144" spans="37:41" x14ac:dyDescent="0.25">
      <c r="AK144" s="53">
        <v>47756</v>
      </c>
      <c r="AL144" s="54">
        <v>81387309.780474544</v>
      </c>
      <c r="AN144" s="53">
        <v>47756</v>
      </c>
      <c r="AO144" s="54">
        <v>132253571496.1752</v>
      </c>
    </row>
    <row r="145" spans="37:41" x14ac:dyDescent="0.25">
      <c r="AK145" s="53">
        <v>47787</v>
      </c>
      <c r="AL145" s="54">
        <v>81387309.780474544</v>
      </c>
      <c r="AN145" s="53">
        <v>47787</v>
      </c>
      <c r="AO145" s="54">
        <v>132253571496.1752</v>
      </c>
    </row>
    <row r="146" spans="37:41" x14ac:dyDescent="0.25">
      <c r="AK146" s="53">
        <v>47817</v>
      </c>
      <c r="AL146" s="54">
        <v>81387309.780474544</v>
      </c>
      <c r="AN146" s="53">
        <v>47817</v>
      </c>
      <c r="AO146" s="54">
        <v>132253571496.1752</v>
      </c>
    </row>
    <row r="147" spans="37:41" x14ac:dyDescent="0.25">
      <c r="AK147" s="53">
        <v>47848</v>
      </c>
      <c r="AL147" s="54">
        <v>81387309.780474544</v>
      </c>
      <c r="AN147" s="53">
        <v>47848</v>
      </c>
      <c r="AO147" s="54">
        <v>132253571496.1752</v>
      </c>
    </row>
    <row r="148" spans="37:41" x14ac:dyDescent="0.25">
      <c r="AK148" s="53">
        <v>47879</v>
      </c>
      <c r="AL148" s="54">
        <v>81387309.780474544</v>
      </c>
      <c r="AN148" s="53">
        <v>47879</v>
      </c>
      <c r="AO148" s="54">
        <v>132253571496.1752</v>
      </c>
    </row>
    <row r="149" spans="37:41" x14ac:dyDescent="0.25">
      <c r="AK149" s="53">
        <v>47907</v>
      </c>
      <c r="AL149" s="54">
        <v>81387309.780474544</v>
      </c>
      <c r="AN149" s="53">
        <v>47907</v>
      </c>
      <c r="AO149" s="54">
        <v>132253571496.1752</v>
      </c>
    </row>
    <row r="150" spans="37:41" x14ac:dyDescent="0.25">
      <c r="AK150" s="53">
        <v>47938</v>
      </c>
      <c r="AL150" s="54">
        <v>73604451.892322451</v>
      </c>
      <c r="AN150" s="53">
        <v>47938</v>
      </c>
      <c r="AO150" s="54">
        <v>120052297754.18709</v>
      </c>
    </row>
    <row r="151" spans="37:41" x14ac:dyDescent="0.25">
      <c r="AK151" s="53">
        <v>47968</v>
      </c>
      <c r="AL151" s="54">
        <v>73604451.892322451</v>
      </c>
      <c r="AN151" s="53">
        <v>47968</v>
      </c>
      <c r="AO151" s="54">
        <v>120052297754.18709</v>
      </c>
    </row>
    <row r="152" spans="37:41" x14ac:dyDescent="0.25">
      <c r="AK152" s="53">
        <v>47999</v>
      </c>
      <c r="AL152" s="54">
        <v>73604451.892322451</v>
      </c>
      <c r="AN152" s="53">
        <v>47999</v>
      </c>
      <c r="AO152" s="54">
        <v>120052297754.18709</v>
      </c>
    </row>
    <row r="153" spans="37:41" x14ac:dyDescent="0.25">
      <c r="AK153" s="53">
        <v>48029</v>
      </c>
      <c r="AL153" s="54">
        <v>73604451.892322451</v>
      </c>
      <c r="AN153" s="53">
        <v>48029</v>
      </c>
      <c r="AO153" s="54">
        <v>120052297754.18709</v>
      </c>
    </row>
    <row r="154" spans="37:41" x14ac:dyDescent="0.25">
      <c r="AK154" s="53">
        <v>48060</v>
      </c>
      <c r="AL154" s="54">
        <v>73604451.892322451</v>
      </c>
      <c r="AN154" s="53">
        <v>48060</v>
      </c>
      <c r="AO154" s="54">
        <v>120052297754.18709</v>
      </c>
    </row>
    <row r="155" spans="37:41" x14ac:dyDescent="0.25">
      <c r="AK155" s="53">
        <v>48091</v>
      </c>
      <c r="AL155" s="54">
        <v>73604451.892322451</v>
      </c>
      <c r="AN155" s="53">
        <v>48091</v>
      </c>
      <c r="AO155" s="54">
        <v>120052297754.18709</v>
      </c>
    </row>
    <row r="156" spans="37:41" x14ac:dyDescent="0.25">
      <c r="AK156" s="53">
        <v>48121</v>
      </c>
      <c r="AL156" s="54">
        <v>62527758.858285919</v>
      </c>
      <c r="AN156" s="53">
        <v>48121</v>
      </c>
      <c r="AO156" s="54">
        <v>99551797058.206345</v>
      </c>
    </row>
    <row r="157" spans="37:41" x14ac:dyDescent="0.25">
      <c r="AK157" s="53">
        <v>48152</v>
      </c>
      <c r="AL157" s="54">
        <v>62527758.858285919</v>
      </c>
      <c r="AN157" s="53">
        <v>48152</v>
      </c>
      <c r="AO157" s="54">
        <v>99551797058.206345</v>
      </c>
    </row>
    <row r="158" spans="37:41" x14ac:dyDescent="0.25">
      <c r="AK158" s="53">
        <v>48182</v>
      </c>
      <c r="AL158" s="54">
        <v>62527758.858285919</v>
      </c>
      <c r="AN158" s="53">
        <v>48182</v>
      </c>
      <c r="AO158" s="54">
        <v>99551797058.206345</v>
      </c>
    </row>
    <row r="159" spans="37:41" x14ac:dyDescent="0.25">
      <c r="AK159" s="53">
        <v>48213</v>
      </c>
      <c r="AL159" s="54">
        <v>62527758.858285919</v>
      </c>
      <c r="AN159" s="53">
        <v>48213</v>
      </c>
      <c r="AO159" s="54">
        <v>99551797058.206345</v>
      </c>
    </row>
    <row r="160" spans="37:41" x14ac:dyDescent="0.25">
      <c r="AK160" s="53">
        <v>48244</v>
      </c>
      <c r="AL160" s="54">
        <v>62527758.858285919</v>
      </c>
      <c r="AN160" s="53">
        <v>48244</v>
      </c>
      <c r="AO160" s="54">
        <v>99551797058.206345</v>
      </c>
    </row>
    <row r="161" spans="37:41" x14ac:dyDescent="0.25">
      <c r="AK161" s="53">
        <v>48273</v>
      </c>
      <c r="AL161" s="54">
        <v>62527758.858285919</v>
      </c>
      <c r="AN161" s="53">
        <v>48273</v>
      </c>
      <c r="AO161" s="54">
        <v>99551797058.206345</v>
      </c>
    </row>
    <row r="162" spans="37:41" x14ac:dyDescent="0.25">
      <c r="AK162" s="53">
        <v>48304</v>
      </c>
      <c r="AL162" s="54">
        <v>54814521.148332946</v>
      </c>
      <c r="AN162" s="53">
        <v>48304</v>
      </c>
      <c r="AO162" s="54">
        <v>87828462530.750778</v>
      </c>
    </row>
    <row r="163" spans="37:41" x14ac:dyDescent="0.25">
      <c r="AK163" s="53">
        <v>48334</v>
      </c>
      <c r="AL163" s="54">
        <v>54814521.148332946</v>
      </c>
      <c r="AN163" s="53">
        <v>48334</v>
      </c>
      <c r="AO163" s="54">
        <v>87828462530.750778</v>
      </c>
    </row>
    <row r="164" spans="37:41" x14ac:dyDescent="0.25">
      <c r="AK164" s="53">
        <v>48365</v>
      </c>
      <c r="AL164" s="54">
        <v>54814521.148332946</v>
      </c>
      <c r="AN164" s="53">
        <v>48365</v>
      </c>
      <c r="AO164" s="54">
        <v>87828462530.750778</v>
      </c>
    </row>
    <row r="165" spans="37:41" x14ac:dyDescent="0.25">
      <c r="AK165" s="53">
        <v>48395</v>
      </c>
      <c r="AL165" s="54">
        <v>54814521.148332946</v>
      </c>
      <c r="AN165" s="53">
        <v>48395</v>
      </c>
      <c r="AO165" s="54">
        <v>87828462530.750778</v>
      </c>
    </row>
    <row r="166" spans="37:41" x14ac:dyDescent="0.25">
      <c r="AK166" s="53">
        <v>48426</v>
      </c>
      <c r="AL166" s="54">
        <v>54814521.148332946</v>
      </c>
      <c r="AN166" s="53">
        <v>48426</v>
      </c>
      <c r="AO166" s="54">
        <v>87828462530.750778</v>
      </c>
    </row>
    <row r="167" spans="37:41" x14ac:dyDescent="0.25">
      <c r="AK167" s="53">
        <v>48457</v>
      </c>
      <c r="AL167" s="54">
        <v>54814521.148332946</v>
      </c>
      <c r="AN167" s="53">
        <v>48457</v>
      </c>
      <c r="AO167" s="54">
        <v>87828462530.750778</v>
      </c>
    </row>
    <row r="168" spans="37:41" x14ac:dyDescent="0.25">
      <c r="AK168" s="53">
        <v>48487</v>
      </c>
      <c r="AL168" s="54">
        <v>44330308.671568066</v>
      </c>
      <c r="AN168" s="53">
        <v>48487</v>
      </c>
      <c r="AO168" s="54">
        <v>73782411640.979752</v>
      </c>
    </row>
    <row r="169" spans="37:41" x14ac:dyDescent="0.25">
      <c r="AK169" s="53">
        <v>48518</v>
      </c>
      <c r="AL169" s="54">
        <v>44330308.671568066</v>
      </c>
      <c r="AN169" s="53">
        <v>48518</v>
      </c>
      <c r="AO169" s="54">
        <v>73782411640.979752</v>
      </c>
    </row>
    <row r="170" spans="37:41" x14ac:dyDescent="0.25">
      <c r="AK170" s="53">
        <v>48548</v>
      </c>
      <c r="AL170" s="54">
        <v>44330308.671568066</v>
      </c>
      <c r="AN170" s="53">
        <v>48548</v>
      </c>
      <c r="AO170" s="54">
        <v>73782411640.979752</v>
      </c>
    </row>
    <row r="171" spans="37:41" x14ac:dyDescent="0.25">
      <c r="AK171" s="53">
        <v>48579</v>
      </c>
      <c r="AL171" s="54">
        <v>44330308.671568066</v>
      </c>
      <c r="AN171" s="53">
        <v>48579</v>
      </c>
      <c r="AO171" s="54">
        <v>73782411640.979752</v>
      </c>
    </row>
    <row r="172" spans="37:41" x14ac:dyDescent="0.25">
      <c r="AK172" s="53">
        <v>48610</v>
      </c>
      <c r="AL172" s="54">
        <v>44330308.671568066</v>
      </c>
      <c r="AN172" s="53">
        <v>48610</v>
      </c>
      <c r="AO172" s="54">
        <v>73782411640.979752</v>
      </c>
    </row>
    <row r="173" spans="37:41" x14ac:dyDescent="0.25">
      <c r="AK173" s="53">
        <v>48638</v>
      </c>
      <c r="AL173" s="54">
        <v>44330308.671568066</v>
      </c>
      <c r="AN173" s="53">
        <v>48638</v>
      </c>
      <c r="AO173" s="54">
        <v>73782411640.979752</v>
      </c>
    </row>
    <row r="174" spans="37:41" x14ac:dyDescent="0.25">
      <c r="AK174" s="53">
        <v>48669</v>
      </c>
      <c r="AL174" s="54">
        <v>34643068.390100226</v>
      </c>
      <c r="AN174" s="53">
        <v>48669</v>
      </c>
      <c r="AO174" s="54">
        <v>56324876922.89222</v>
      </c>
    </row>
    <row r="175" spans="37:41" x14ac:dyDescent="0.25">
      <c r="AK175" s="53">
        <v>48699</v>
      </c>
      <c r="AL175" s="54">
        <v>34643068.390100226</v>
      </c>
      <c r="AN175" s="53">
        <v>48699</v>
      </c>
      <c r="AO175" s="54">
        <v>56324876922.89222</v>
      </c>
    </row>
    <row r="176" spans="37:41" x14ac:dyDescent="0.25">
      <c r="AK176" s="53">
        <v>48730</v>
      </c>
      <c r="AL176" s="54">
        <v>34643068.390100226</v>
      </c>
      <c r="AN176" s="53">
        <v>48730</v>
      </c>
      <c r="AO176" s="54">
        <v>56324876922.89222</v>
      </c>
    </row>
    <row r="177" spans="37:41" x14ac:dyDescent="0.25">
      <c r="AK177" s="53">
        <v>48760</v>
      </c>
      <c r="AL177" s="54">
        <v>34643068.390100226</v>
      </c>
      <c r="AN177" s="53">
        <v>48760</v>
      </c>
      <c r="AO177" s="54">
        <v>56324876922.89222</v>
      </c>
    </row>
    <row r="178" spans="37:41" x14ac:dyDescent="0.25">
      <c r="AK178" s="53">
        <v>48791</v>
      </c>
      <c r="AL178" s="54">
        <v>34643068.390100226</v>
      </c>
      <c r="AN178" s="53">
        <v>48791</v>
      </c>
      <c r="AO178" s="54">
        <v>56324876922.89222</v>
      </c>
    </row>
    <row r="179" spans="37:41" x14ac:dyDescent="0.25">
      <c r="AK179" s="53">
        <v>48822</v>
      </c>
      <c r="AL179" s="54">
        <v>34643068.390100226</v>
      </c>
      <c r="AN179" s="53">
        <v>48822</v>
      </c>
      <c r="AO179" s="54">
        <v>56324876922.89222</v>
      </c>
    </row>
    <row r="180" spans="37:41" x14ac:dyDescent="0.25">
      <c r="AK180" s="53">
        <v>48852</v>
      </c>
      <c r="AL180" s="54">
        <v>22704302.091434192</v>
      </c>
      <c r="AN180" s="53">
        <v>48852</v>
      </c>
      <c r="AO180" s="54">
        <v>37467095371.487724</v>
      </c>
    </row>
    <row r="181" spans="37:41" x14ac:dyDescent="0.25">
      <c r="AK181" s="53">
        <v>48883</v>
      </c>
      <c r="AL181" s="54">
        <v>22704302.091434192</v>
      </c>
      <c r="AN181" s="53">
        <v>48883</v>
      </c>
      <c r="AO181" s="54">
        <v>37467095371.487724</v>
      </c>
    </row>
    <row r="182" spans="37:41" x14ac:dyDescent="0.25">
      <c r="AK182" s="53">
        <v>48913</v>
      </c>
      <c r="AL182" s="54">
        <v>22704302.091434192</v>
      </c>
      <c r="AN182" s="53">
        <v>48913</v>
      </c>
      <c r="AO182" s="54">
        <v>37467095371.487724</v>
      </c>
    </row>
    <row r="183" spans="37:41" x14ac:dyDescent="0.25">
      <c r="AK183" s="53">
        <v>48944</v>
      </c>
      <c r="AL183" s="54">
        <v>22704302.091434192</v>
      </c>
      <c r="AN183" s="53">
        <v>48944</v>
      </c>
      <c r="AO183" s="54">
        <v>37467095371.487724</v>
      </c>
    </row>
    <row r="184" spans="37:41" x14ac:dyDescent="0.25">
      <c r="AK184" s="53">
        <v>48975</v>
      </c>
      <c r="AL184" s="54">
        <v>22704302.091434192</v>
      </c>
      <c r="AN184" s="53">
        <v>48975</v>
      </c>
      <c r="AO184" s="54">
        <v>37467095371.487724</v>
      </c>
    </row>
    <row r="185" spans="37:41" x14ac:dyDescent="0.25">
      <c r="AK185" s="53">
        <v>49003</v>
      </c>
      <c r="AL185" s="54">
        <v>22704302.091434192</v>
      </c>
      <c r="AN185" s="53">
        <v>49003</v>
      </c>
      <c r="AO185" s="54">
        <v>37467095371.487724</v>
      </c>
    </row>
    <row r="186" spans="37:41" x14ac:dyDescent="0.25">
      <c r="AK186" s="53">
        <v>49034</v>
      </c>
      <c r="AL186" s="54">
        <v>11926586.971630281</v>
      </c>
      <c r="AN186" s="53">
        <v>49034</v>
      </c>
      <c r="AO186" s="54">
        <v>17155628711.617952</v>
      </c>
    </row>
    <row r="187" spans="37:41" x14ac:dyDescent="0.25">
      <c r="AK187" s="53">
        <v>49064</v>
      </c>
      <c r="AL187" s="54">
        <v>11926586.971630281</v>
      </c>
      <c r="AN187" s="53">
        <v>49064</v>
      </c>
      <c r="AO187" s="54">
        <v>17155628711.617952</v>
      </c>
    </row>
    <row r="188" spans="37:41" x14ac:dyDescent="0.25">
      <c r="AK188" s="53">
        <v>49095</v>
      </c>
      <c r="AL188" s="54">
        <v>11926586.971630281</v>
      </c>
      <c r="AN188" s="53">
        <v>49095</v>
      </c>
      <c r="AO188" s="54">
        <v>17155628711.617952</v>
      </c>
    </row>
    <row r="189" spans="37:41" x14ac:dyDescent="0.25">
      <c r="AK189" s="53">
        <v>49125</v>
      </c>
      <c r="AL189" s="54">
        <v>11926586.971630281</v>
      </c>
      <c r="AN189" s="53">
        <v>49125</v>
      </c>
      <c r="AO189" s="54">
        <v>17155628711.617952</v>
      </c>
    </row>
    <row r="190" spans="37:41" x14ac:dyDescent="0.25">
      <c r="AK190" s="53">
        <v>49156</v>
      </c>
      <c r="AL190" s="54">
        <v>11926586.971630281</v>
      </c>
      <c r="AN190" s="53">
        <v>49156</v>
      </c>
      <c r="AO190" s="54">
        <v>17155628711.617952</v>
      </c>
    </row>
    <row r="191" spans="37:41" x14ac:dyDescent="0.25">
      <c r="AK191" s="53">
        <v>49187</v>
      </c>
      <c r="AL191" s="54">
        <v>11926586.971630281</v>
      </c>
      <c r="AN191" s="53">
        <v>49187</v>
      </c>
      <c r="AO191" s="54">
        <v>17155628711.617952</v>
      </c>
    </row>
    <row r="192" spans="37:41" x14ac:dyDescent="0.25">
      <c r="AK192" s="53">
        <v>49217</v>
      </c>
      <c r="AL192" s="54">
        <v>0</v>
      </c>
      <c r="AN192" s="53">
        <v>49217</v>
      </c>
      <c r="AO192" s="5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E506E-78DC-4CD4-A6C0-2353E7DABEC5}">
  <sheetPr codeName="Sheet37"/>
  <dimension ref="A1:E17"/>
  <sheetViews>
    <sheetView workbookViewId="0">
      <selection activeCell="E19" sqref="E19"/>
    </sheetView>
  </sheetViews>
  <sheetFormatPr defaultColWidth="6.85546875" defaultRowHeight="15" x14ac:dyDescent="0.25"/>
  <cols>
    <col min="1" max="2" width="6.85546875" style="16"/>
    <col min="3" max="3" width="11.7109375" style="16" customWidth="1"/>
    <col min="4" max="4" width="23.42578125" style="16" customWidth="1"/>
    <col min="5" max="5" width="11.7109375" style="16" customWidth="1"/>
    <col min="6" max="16384" width="6.85546875" style="16"/>
  </cols>
  <sheetData>
    <row r="1" spans="1:5" x14ac:dyDescent="0.25">
      <c r="A1" s="13" t="s">
        <v>7</v>
      </c>
      <c r="B1" s="13" t="s">
        <v>8</v>
      </c>
      <c r="C1" s="14" t="s">
        <v>9</v>
      </c>
      <c r="D1" s="14" t="s">
        <v>10</v>
      </c>
      <c r="E1" s="14" t="s">
        <v>11</v>
      </c>
    </row>
    <row r="2" spans="1:5" x14ac:dyDescent="0.25">
      <c r="A2" s="13" t="s">
        <v>12</v>
      </c>
      <c r="B2" s="13" t="s">
        <v>13</v>
      </c>
      <c r="C2" s="14" t="str">
        <f>""&amp;A2&amp;B2</f>
        <v>USDEUR</v>
      </c>
      <c r="D2" s="14" t="str">
        <f>""&amp;C2&amp;" Curncy"</f>
        <v>USDEUR Curncy</v>
      </c>
      <c r="E2" s="17">
        <f ca="1">_xll.BDP($D2, "PX_LAST")</f>
        <v>0.88260000000000005</v>
      </c>
    </row>
    <row r="3" spans="1:5" x14ac:dyDescent="0.25">
      <c r="A3" s="13" t="str">
        <f t="shared" ref="A3:A8" si="0">A2</f>
        <v>USD</v>
      </c>
      <c r="B3" s="13" t="s">
        <v>14</v>
      </c>
      <c r="C3" s="14" t="str">
        <f t="shared" ref="C3:C10" si="1">""&amp;A3&amp;B3</f>
        <v>USDGBP</v>
      </c>
      <c r="D3" s="14" t="str">
        <f t="shared" ref="D3:D10" si="2">""&amp;C3&amp;" Curncy"</f>
        <v>USDGBP Curncy</v>
      </c>
      <c r="E3" s="17">
        <f ca="1">_xll.BDP($D3, "PX_LAST")</f>
        <v>0.79390000000000005</v>
      </c>
    </row>
    <row r="4" spans="1:5" x14ac:dyDescent="0.25">
      <c r="A4" s="13" t="str">
        <f t="shared" si="0"/>
        <v>USD</v>
      </c>
      <c r="B4" s="13" t="s">
        <v>15</v>
      </c>
      <c r="C4" s="14" t="str">
        <f t="shared" si="1"/>
        <v>USDKRW</v>
      </c>
      <c r="D4" s="14" t="str">
        <f>""&amp;C4&amp;" CMPN Curncy"</f>
        <v>USDKRW CMPN Curncy</v>
      </c>
      <c r="E4" s="17">
        <f ca="1">_xll.BDP($D4, "PX_LAST")</f>
        <v>1119.58</v>
      </c>
    </row>
    <row r="5" spans="1:5" x14ac:dyDescent="0.25">
      <c r="A5" s="13" t="str">
        <f t="shared" si="0"/>
        <v>USD</v>
      </c>
      <c r="B5" s="13" t="s">
        <v>16</v>
      </c>
      <c r="C5" s="14" t="str">
        <f t="shared" si="1"/>
        <v>USDNOK</v>
      </c>
      <c r="D5" s="14" t="str">
        <f t="shared" si="2"/>
        <v>USDNOK Curncy</v>
      </c>
      <c r="E5" s="17">
        <f ca="1">_xll.BDP($D5, "PX_LAST")</f>
        <v>8.7102000000000004</v>
      </c>
    </row>
    <row r="6" spans="1:5" x14ac:dyDescent="0.25">
      <c r="A6" s="13" t="str">
        <f t="shared" si="0"/>
        <v>USD</v>
      </c>
      <c r="B6" s="13" t="s">
        <v>17</v>
      </c>
      <c r="C6" s="14" t="str">
        <f t="shared" si="1"/>
        <v>USDSEK</v>
      </c>
      <c r="D6" s="14" t="str">
        <f t="shared" si="2"/>
        <v>USDSEK Curncy</v>
      </c>
      <c r="E6" s="17">
        <f ca="1">_xll.BDP($D6, "PX_LAST")</f>
        <v>9.0139999999999993</v>
      </c>
    </row>
    <row r="7" spans="1:5" x14ac:dyDescent="0.25">
      <c r="A7" s="13" t="str">
        <f t="shared" si="0"/>
        <v>USD</v>
      </c>
      <c r="B7" s="13" t="s">
        <v>18</v>
      </c>
      <c r="C7" s="14" t="str">
        <f t="shared" si="1"/>
        <v>USDTWD</v>
      </c>
      <c r="D7" s="14" t="str">
        <f>""&amp;C7&amp;" CMPN Curncy"</f>
        <v>USDTWD CMPN Curncy</v>
      </c>
      <c r="E7" s="17">
        <f ca="1">_xll.BDP($D7, "PX_LAST")</f>
        <v>30.771999999999998</v>
      </c>
    </row>
    <row r="8" spans="1:5" x14ac:dyDescent="0.25">
      <c r="A8" s="13" t="str">
        <f t="shared" si="0"/>
        <v>USD</v>
      </c>
      <c r="B8" s="13" t="s">
        <v>12</v>
      </c>
      <c r="C8" s="14" t="str">
        <f t="shared" si="1"/>
        <v>USDUSD</v>
      </c>
      <c r="D8" s="14" t="str">
        <f t="shared" si="2"/>
        <v>USDUSD Curncy</v>
      </c>
      <c r="E8" s="17">
        <v>1</v>
      </c>
    </row>
    <row r="9" spans="1:5" x14ac:dyDescent="0.25">
      <c r="A9" s="13" t="s">
        <v>12</v>
      </c>
      <c r="B9" s="13" t="s">
        <v>19</v>
      </c>
      <c r="C9" s="14" t="str">
        <f t="shared" si="1"/>
        <v>USDJPY</v>
      </c>
      <c r="D9" s="14" t="str">
        <f t="shared" si="2"/>
        <v>USDJPY Curncy</v>
      </c>
      <c r="E9" s="17">
        <f ca="1">_xll.BDP($D9, "PX_LAST")</f>
        <v>109.42</v>
      </c>
    </row>
    <row r="10" spans="1:5" x14ac:dyDescent="0.25">
      <c r="A10" s="13" t="s">
        <v>12</v>
      </c>
      <c r="B10" s="13" t="s">
        <v>20</v>
      </c>
      <c r="C10" s="14" t="str">
        <f t="shared" si="1"/>
        <v>USDNZD</v>
      </c>
      <c r="D10" s="14" t="str">
        <f t="shared" si="2"/>
        <v>USDNZD Curncy</v>
      </c>
      <c r="E10" s="17">
        <f ca="1">_xll.BDP($D10, "PX_LAST")</f>
        <v>1.5014000000000001</v>
      </c>
    </row>
    <row r="11" spans="1:5" x14ac:dyDescent="0.25">
      <c r="A11" s="13" t="s">
        <v>12</v>
      </c>
      <c r="B11" s="13" t="s">
        <v>21</v>
      </c>
      <c r="C11" s="14" t="str">
        <f t="shared" ref="C11:C16" si="3">""&amp;A11&amp;B11</f>
        <v>USDCAD</v>
      </c>
      <c r="D11" s="14" t="str">
        <f t="shared" ref="D11:D16" si="4">""&amp;C11&amp;" Curncy"</f>
        <v>USDCAD Curncy</v>
      </c>
      <c r="E11" s="17">
        <f ca="1">_xll.BDP($D11, "PX_LAST")</f>
        <v>1.3586</v>
      </c>
    </row>
    <row r="12" spans="1:5" x14ac:dyDescent="0.25">
      <c r="A12" s="13" t="s">
        <v>12</v>
      </c>
      <c r="B12" s="13" t="s">
        <v>22</v>
      </c>
      <c r="C12" s="14" t="str">
        <f t="shared" si="3"/>
        <v>USDAUD</v>
      </c>
      <c r="D12" s="14" t="str">
        <f t="shared" si="4"/>
        <v>USDAUD Curncy</v>
      </c>
      <c r="E12" s="17">
        <f ca="1">_xll.BDP($D12, "PX_LAST")</f>
        <v>1.4298</v>
      </c>
    </row>
    <row r="13" spans="1:5" x14ac:dyDescent="0.25">
      <c r="A13" s="13" t="s">
        <v>12</v>
      </c>
      <c r="B13" s="13" t="s">
        <v>23</v>
      </c>
      <c r="C13" s="14" t="str">
        <f t="shared" si="3"/>
        <v>USDSAR</v>
      </c>
      <c r="D13" s="14" t="str">
        <f t="shared" si="4"/>
        <v>USDSAR Curncy</v>
      </c>
      <c r="E13" s="17">
        <f ca="1">_xll.BDP($D13, "PX_LAST")</f>
        <v>3.7513000000000001</v>
      </c>
    </row>
    <row r="14" spans="1:5" x14ac:dyDescent="0.25">
      <c r="A14" s="13" t="s">
        <v>12</v>
      </c>
      <c r="B14" s="15" t="s">
        <v>247</v>
      </c>
      <c r="C14" s="14" t="str">
        <f t="shared" si="3"/>
        <v>USDCHF</v>
      </c>
      <c r="D14" s="14" t="str">
        <f t="shared" si="4"/>
        <v>USDCHF Curncy</v>
      </c>
      <c r="E14" s="17">
        <f ca="1">_xll.BDP($D14, "PX_LAST")</f>
        <v>0.99060000000000004</v>
      </c>
    </row>
    <row r="15" spans="1:5" x14ac:dyDescent="0.25">
      <c r="A15" s="15" t="s">
        <v>12</v>
      </c>
      <c r="B15" s="15" t="s">
        <v>230</v>
      </c>
      <c r="C15" s="14" t="str">
        <f t="shared" si="3"/>
        <v>USDBRL</v>
      </c>
      <c r="D15" s="14" t="str">
        <f t="shared" si="4"/>
        <v>USDBRL Curncy</v>
      </c>
      <c r="E15" s="17">
        <f ca="1">_xll.BDP($D15, "PX_LAST")</f>
        <v>3.8144999999999998</v>
      </c>
    </row>
    <row r="16" spans="1:5" x14ac:dyDescent="0.25">
      <c r="A16" s="15" t="s">
        <v>12</v>
      </c>
      <c r="B16" s="15" t="s">
        <v>510</v>
      </c>
      <c r="C16" s="13" t="str">
        <f t="shared" si="3"/>
        <v>USDCOP</v>
      </c>
      <c r="D16" s="13" t="str">
        <f t="shared" si="4"/>
        <v>USDCOP Curncy</v>
      </c>
      <c r="E16" s="17">
        <f ca="1">_xll.BDP($D16, "PX_LAST")</f>
        <v>3238.35</v>
      </c>
    </row>
    <row r="17" spans="1:5" x14ac:dyDescent="0.25">
      <c r="A17" s="13"/>
      <c r="B17" s="13"/>
      <c r="C17" s="13"/>
      <c r="D17" s="13"/>
      <c r="E17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42AB6-2B76-40A4-9C06-C0C737F1B139}">
  <sheetPr codeName="Sheet32"/>
  <dimension ref="A1:Q202"/>
  <sheetViews>
    <sheetView zoomScale="70" zoomScaleNormal="70" workbookViewId="0">
      <selection activeCell="M6" sqref="M6"/>
    </sheetView>
  </sheetViews>
  <sheetFormatPr defaultRowHeight="15" x14ac:dyDescent="0.25"/>
  <cols>
    <col min="1" max="1" width="9.7109375" customWidth="1"/>
    <col min="3" max="3" width="12.7109375" customWidth="1"/>
    <col min="4" max="4" width="10.28515625" customWidth="1"/>
    <col min="5" max="5" width="9.5703125" bestFit="1" customWidth="1"/>
    <col min="6" max="6" width="10.85546875" customWidth="1"/>
    <col min="9" max="9" width="11.7109375" customWidth="1"/>
    <col min="11" max="11" width="14.28515625" customWidth="1"/>
  </cols>
  <sheetData>
    <row r="1" spans="1:10" s="3" customFormat="1" x14ac:dyDescent="0.25">
      <c r="A1" s="64" t="s">
        <v>69</v>
      </c>
      <c r="B1" s="64"/>
      <c r="C1" s="10"/>
    </row>
    <row r="2" spans="1:10" s="3" customFormat="1" x14ac:dyDescent="0.25">
      <c r="A2" s="64" t="s">
        <v>70</v>
      </c>
      <c r="B2" s="64"/>
      <c r="C2" s="10"/>
    </row>
    <row r="3" spans="1:10" s="3" customFormat="1" x14ac:dyDescent="0.25">
      <c r="A3" s="64" t="s">
        <v>71</v>
      </c>
      <c r="B3" s="64"/>
      <c r="C3" s="4"/>
      <c r="E3" s="2"/>
      <c r="F3" s="4"/>
      <c r="I3" s="4"/>
    </row>
    <row r="4" spans="1:10" x14ac:dyDescent="0.25">
      <c r="A4" t="s">
        <v>12</v>
      </c>
      <c r="B4">
        <v>6</v>
      </c>
      <c r="D4" s="3">
        <v>7</v>
      </c>
      <c r="E4" s="3"/>
      <c r="F4" s="3">
        <v>100</v>
      </c>
      <c r="H4" t="s">
        <v>35</v>
      </c>
    </row>
    <row r="5" spans="1:10" x14ac:dyDescent="0.25">
      <c r="A5" t="s">
        <v>29</v>
      </c>
      <c r="B5" t="s">
        <v>30</v>
      </c>
      <c r="C5" t="s">
        <v>31</v>
      </c>
      <c r="D5" t="s">
        <v>32</v>
      </c>
      <c r="E5" t="s">
        <v>33</v>
      </c>
      <c r="F5" t="s">
        <v>34</v>
      </c>
    </row>
    <row r="6" spans="1:10" x14ac:dyDescent="0.25">
      <c r="A6" s="1">
        <f ca="1">WORKDAY(Swap_Date,1)</f>
        <v>43466</v>
      </c>
      <c r="B6" s="3">
        <f ca="1">_xll.BDP(H6,"PX_LAST")</f>
        <v>2.37825</v>
      </c>
      <c r="C6" s="1">
        <f ca="1">nextimm(Swap_Date)</f>
        <v>43544</v>
      </c>
      <c r="D6">
        <f ca="1">100-IF(ISNUMBER(_xll.BDP(I6,"PX_LAST")),_xll.BDP(I6,"PX_LAST"),100-B9)</f>
        <v>3.2249999999999943</v>
      </c>
      <c r="E6" s="1">
        <f ca="1">EDATE(Swap_Date,24)</f>
        <v>44196</v>
      </c>
      <c r="F6">
        <f ca="1">_xll.BDP(J6,"PX_LAST")</f>
        <v>2.6781000000000001</v>
      </c>
      <c r="H6" t="s">
        <v>36</v>
      </c>
      <c r="I6" t="s">
        <v>42</v>
      </c>
      <c r="J6" t="s">
        <v>50</v>
      </c>
    </row>
    <row r="7" spans="1:10" x14ac:dyDescent="0.25">
      <c r="A7" s="1">
        <f ca="1">EDATE(Swap_Date,1)</f>
        <v>43496</v>
      </c>
      <c r="B7" s="3">
        <f ca="1">_xll.BDP(H7,"PX_LAST")</f>
        <v>2.5026899999999999</v>
      </c>
      <c r="C7" s="1">
        <f ca="1">nextimm(C6+1)</f>
        <v>43635</v>
      </c>
      <c r="D7" s="3">
        <f ca="1">100-_xll.BDP(I7,"PX_LAST")</f>
        <v>3.230000000000004</v>
      </c>
      <c r="E7" s="1">
        <f ca="1">EDATE(E6,12)</f>
        <v>44561</v>
      </c>
      <c r="F7" s="3">
        <f ca="1">_xll.BDP(J7,"PX_LAST")</f>
        <v>2.6091000000000002</v>
      </c>
      <c r="H7" t="s">
        <v>37</v>
      </c>
      <c r="I7" t="s">
        <v>43</v>
      </c>
      <c r="J7" t="s">
        <v>51</v>
      </c>
    </row>
    <row r="8" spans="1:10" x14ac:dyDescent="0.25">
      <c r="A8" s="1">
        <f ca="1">EDATE(Swap_Date,2)</f>
        <v>43524</v>
      </c>
      <c r="B8" s="3">
        <f ca="1">_xll.BDP(H8,"PX_LAST")</f>
        <v>2.61375</v>
      </c>
      <c r="C8" s="1">
        <f t="shared" ref="C8:C13" ca="1" si="0">nextimm(C7+1)</f>
        <v>43726</v>
      </c>
      <c r="D8" s="3">
        <f ca="1">100-_xll.BDP(I8,"PX_LAST")</f>
        <v>2.7150000000000034</v>
      </c>
      <c r="E8" s="1">
        <f t="shared" ref="E8:E21" ca="1" si="1">EDATE(E7,12)</f>
        <v>44926</v>
      </c>
      <c r="F8" s="3">
        <f ca="1">_xll.BDP(J8,"PX_LAST")</f>
        <v>2.5830000000000002</v>
      </c>
      <c r="H8" t="s">
        <v>38</v>
      </c>
      <c r="I8" t="s">
        <v>44</v>
      </c>
      <c r="J8" s="3" t="s">
        <v>52</v>
      </c>
    </row>
    <row r="9" spans="1:10" x14ac:dyDescent="0.25">
      <c r="A9" s="1">
        <f ca="1">EDATE(Swap_Date,3)</f>
        <v>43555</v>
      </c>
      <c r="B9" s="3">
        <f ca="1">_xll.BDP(H9,"PX_LAST")</f>
        <v>2.8076300000000001</v>
      </c>
      <c r="C9" s="1">
        <f t="shared" ca="1" si="0"/>
        <v>43817</v>
      </c>
      <c r="D9" s="3">
        <f ca="1">100-_xll.BDP(I9,"PX_LAST")</f>
        <v>2.7049999999999983</v>
      </c>
      <c r="E9" s="1">
        <f t="shared" ca="1" si="1"/>
        <v>45291</v>
      </c>
      <c r="F9" s="3">
        <f ca="1">_xll.BDP(J9,"PX_LAST")</f>
        <v>2.5800999999999998</v>
      </c>
      <c r="H9" t="s">
        <v>39</v>
      </c>
      <c r="I9" t="s">
        <v>45</v>
      </c>
      <c r="J9" s="3" t="s">
        <v>53</v>
      </c>
    </row>
    <row r="10" spans="1:10" x14ac:dyDescent="0.25">
      <c r="A10" s="1">
        <f ca="1">EDATE(Swap_Date,6)</f>
        <v>43646</v>
      </c>
      <c r="B10" s="3">
        <f ca="1">_xll.BDP(H10,"PX_LAST")</f>
        <v>2.8756300000000001</v>
      </c>
      <c r="C10" s="1">
        <f t="shared" ca="1" si="0"/>
        <v>43908</v>
      </c>
      <c r="D10" s="3">
        <f ca="1">100-_xll.BDP(I10,"PX_LAST")</f>
        <v>2.6850000000000023</v>
      </c>
      <c r="E10" s="1">
        <f t="shared" ca="1" si="1"/>
        <v>45657</v>
      </c>
      <c r="F10" s="3">
        <f ca="1">_xll.BDP(J10,"PX_LAST")</f>
        <v>2.5954999999999999</v>
      </c>
      <c r="H10" t="s">
        <v>40</v>
      </c>
      <c r="I10" t="s">
        <v>46</v>
      </c>
      <c r="J10" s="3" t="s">
        <v>54</v>
      </c>
    </row>
    <row r="11" spans="1:10" x14ac:dyDescent="0.25">
      <c r="A11" s="1">
        <f ca="1">EDATE(Swap_Date,12)</f>
        <v>43830</v>
      </c>
      <c r="B11" s="3">
        <f ca="1">_xll.BDP(H11,"PX_LAST")</f>
        <v>3.0054400000000001</v>
      </c>
      <c r="C11" s="1">
        <f t="shared" ca="1" si="0"/>
        <v>43999</v>
      </c>
      <c r="D11" s="3">
        <f ca="1">100-_xll.BDP(I11,"PX_LAST")</f>
        <v>2.6749999999999972</v>
      </c>
      <c r="E11" s="1">
        <f t="shared" ca="1" si="1"/>
        <v>46022</v>
      </c>
      <c r="F11" s="3">
        <f ca="1">_xll.BDP(J11,"PX_LAST")</f>
        <v>2.6179999999999999</v>
      </c>
      <c r="H11" t="s">
        <v>41</v>
      </c>
      <c r="I11" t="s">
        <v>47</v>
      </c>
      <c r="J11" s="3" t="s">
        <v>55</v>
      </c>
    </row>
    <row r="12" spans="1:10" x14ac:dyDescent="0.25">
      <c r="C12" s="1">
        <f t="shared" ca="1" si="0"/>
        <v>44090</v>
      </c>
      <c r="D12" s="3">
        <f ca="1">100-_xll.BDP(I12,"PX_LAST")</f>
        <v>2.5750000000000028</v>
      </c>
      <c r="E12" s="1">
        <f t="shared" ca="1" si="1"/>
        <v>46387</v>
      </c>
      <c r="F12" s="3">
        <f ca="1">_xll.BDP(J12,"PX_LAST")</f>
        <v>2.6440999999999999</v>
      </c>
      <c r="I12" t="s">
        <v>48</v>
      </c>
      <c r="J12" s="3" t="s">
        <v>56</v>
      </c>
    </row>
    <row r="13" spans="1:10" x14ac:dyDescent="0.25">
      <c r="C13" s="1">
        <f t="shared" ca="1" si="0"/>
        <v>44181</v>
      </c>
      <c r="D13" s="3">
        <f ca="1">100-_xll.BDP(I13,"PX_LAST")</f>
        <v>2.5099999999999909</v>
      </c>
      <c r="E13" s="1">
        <f t="shared" ca="1" si="1"/>
        <v>46752</v>
      </c>
      <c r="F13" s="3">
        <f ca="1">_xll.BDP(J13,"PX_LAST")</f>
        <v>2.6718999999999999</v>
      </c>
      <c r="I13" t="s">
        <v>49</v>
      </c>
      <c r="J13" s="3" t="s">
        <v>57</v>
      </c>
    </row>
    <row r="14" spans="1:10" x14ac:dyDescent="0.25">
      <c r="E14" s="1">
        <f t="shared" ca="1" si="1"/>
        <v>47118</v>
      </c>
      <c r="F14" s="3">
        <f ca="1">_xll.BDP(J14,"PX_LAST")</f>
        <v>2.7008000000000001</v>
      </c>
      <c r="J14" s="3" t="s">
        <v>26</v>
      </c>
    </row>
    <row r="15" spans="1:10" x14ac:dyDescent="0.25">
      <c r="E15" s="1">
        <f t="shared" ca="1" si="1"/>
        <v>47483</v>
      </c>
      <c r="F15" s="3">
        <f ca="1">_xll.BDP(J15,"PX_LAST")</f>
        <v>2.7250999999999999</v>
      </c>
      <c r="J15" s="3" t="s">
        <v>58</v>
      </c>
    </row>
    <row r="16" spans="1:10" x14ac:dyDescent="0.25">
      <c r="E16" s="1">
        <f t="shared" ca="1" si="1"/>
        <v>47848</v>
      </c>
      <c r="F16" s="3">
        <f ca="1">_xll.BDP(J16,"PX_LAST")</f>
        <v>2.7492000000000001</v>
      </c>
      <c r="J16" s="3" t="s">
        <v>59</v>
      </c>
    </row>
    <row r="17" spans="1:10" x14ac:dyDescent="0.25">
      <c r="E17" s="1">
        <f t="shared" ca="1" si="1"/>
        <v>48213</v>
      </c>
      <c r="F17" s="3">
        <f ca="1">_xll.BDP(J17,"PX_LAST")</f>
        <v>2.7645</v>
      </c>
      <c r="J17" s="3" t="s">
        <v>60</v>
      </c>
    </row>
    <row r="18" spans="1:10" x14ac:dyDescent="0.25">
      <c r="E18" s="1">
        <f t="shared" ca="1" si="1"/>
        <v>48579</v>
      </c>
      <c r="F18" s="3">
        <f ca="1">_xll.BDP(J18,"PX_LAST")</f>
        <v>2.7805</v>
      </c>
      <c r="J18" s="3" t="s">
        <v>61</v>
      </c>
    </row>
    <row r="19" spans="1:10" x14ac:dyDescent="0.25">
      <c r="E19" s="1">
        <f t="shared" ca="1" si="1"/>
        <v>48944</v>
      </c>
      <c r="F19" s="3">
        <f ca="1">_xll.BDP(J19,"PX_LAST")</f>
        <v>2.7917000000000001</v>
      </c>
      <c r="J19" s="3" t="s">
        <v>62</v>
      </c>
    </row>
    <row r="20" spans="1:10" x14ac:dyDescent="0.25">
      <c r="E20" s="1">
        <f t="shared" ca="1" si="1"/>
        <v>49309</v>
      </c>
      <c r="F20" s="3">
        <f ca="1">_xll.BDP(J20,"PX_LAST")</f>
        <v>2.8039999999999998</v>
      </c>
      <c r="J20" s="3" t="s">
        <v>63</v>
      </c>
    </row>
    <row r="21" spans="1:10" x14ac:dyDescent="0.25">
      <c r="E21" s="1">
        <f t="shared" ca="1" si="1"/>
        <v>49674</v>
      </c>
      <c r="F21" s="3">
        <f ca="1">_xll.BDP(J21,"PX_LAST")</f>
        <v>2.8094999999999999</v>
      </c>
      <c r="J21" s="3" t="s">
        <v>64</v>
      </c>
    </row>
    <row r="22" spans="1:10" x14ac:dyDescent="0.25">
      <c r="E22" s="1">
        <f ca="1">EDATE(E21,36)</f>
        <v>50770</v>
      </c>
      <c r="F22" s="3">
        <f ca="1">_xll.BDP(J22,"PX_LAST")</f>
        <v>2.8214000000000001</v>
      </c>
      <c r="J22" s="3" t="s">
        <v>65</v>
      </c>
    </row>
    <row r="23" spans="1:10" x14ac:dyDescent="0.25">
      <c r="E23" s="1">
        <f ca="1">EDATE(E22,60)</f>
        <v>52596</v>
      </c>
      <c r="F23" s="3">
        <f ca="1">_xll.BDP(J23,"PX_LAST")</f>
        <v>2.8252000000000002</v>
      </c>
      <c r="J23" s="3" t="s">
        <v>66</v>
      </c>
    </row>
    <row r="24" spans="1:10" x14ac:dyDescent="0.25">
      <c r="E24" s="1">
        <f ca="1">EDATE(E23,60)</f>
        <v>54423</v>
      </c>
      <c r="F24" s="3">
        <f ca="1">_xll.BDP(J24,"PX_LAST")</f>
        <v>2.8228</v>
      </c>
      <c r="J24" s="3" t="s">
        <v>67</v>
      </c>
    </row>
    <row r="25" spans="1:10" x14ac:dyDescent="0.25">
      <c r="E25" s="1">
        <f ca="1">EDATE(E24,120)</f>
        <v>58075</v>
      </c>
      <c r="F25" s="3">
        <f ca="1">_xll.BDP(J25,"PX_LAST")</f>
        <v>2.7902</v>
      </c>
      <c r="J25" s="3" t="s">
        <v>68</v>
      </c>
    </row>
    <row r="26" spans="1:10" x14ac:dyDescent="0.25">
      <c r="E26" s="1">
        <f ca="1">EDATE(E25,12)</f>
        <v>58440</v>
      </c>
      <c r="F26" s="3">
        <f ca="1">F25</f>
        <v>2.7902</v>
      </c>
    </row>
    <row r="29" spans="1:10" x14ac:dyDescent="0.25">
      <c r="A29" t="s">
        <v>13</v>
      </c>
      <c r="B29">
        <v>6</v>
      </c>
      <c r="D29" s="3">
        <v>7</v>
      </c>
      <c r="E29" s="3"/>
      <c r="F29" s="3">
        <v>100</v>
      </c>
    </row>
    <row r="30" spans="1:10" x14ac:dyDescent="0.25">
      <c r="A30" t="s">
        <v>29</v>
      </c>
      <c r="B30" t="s">
        <v>30</v>
      </c>
      <c r="C30" t="s">
        <v>31</v>
      </c>
      <c r="D30" t="s">
        <v>32</v>
      </c>
      <c r="E30" t="s">
        <v>33</v>
      </c>
      <c r="F30" t="s">
        <v>34</v>
      </c>
    </row>
    <row r="31" spans="1:10" x14ac:dyDescent="0.25">
      <c r="A31" s="1">
        <f ca="1">WORKDAY(Swap_Date,1)</f>
        <v>43466</v>
      </c>
      <c r="B31" s="3">
        <f ca="1">_xll.BDP(H31,"PX_LAST")</f>
        <v>-0.35699999999999998</v>
      </c>
      <c r="C31" s="1">
        <f ca="1">nextimm(Swap_Date)</f>
        <v>43544</v>
      </c>
      <c r="D31" s="3">
        <f ca="1">100-IF(ISNUMBER(_xll.BDP(I31,"PX_LAST")),_xll.BDP(I31,"PX_LAST"),100-B34)</f>
        <v>-0.3089999999999975</v>
      </c>
      <c r="E31" s="1">
        <f ca="1">EDATE(Swap_Date,24)</f>
        <v>44196</v>
      </c>
      <c r="F31" s="3">
        <f ca="1">_xll.BDP(J31,"PX_LAST")</f>
        <v>-0.18779999999999999</v>
      </c>
      <c r="H31" t="s">
        <v>6</v>
      </c>
      <c r="I31" t="s">
        <v>77</v>
      </c>
      <c r="J31" t="s">
        <v>85</v>
      </c>
    </row>
    <row r="32" spans="1:10" x14ac:dyDescent="0.25">
      <c r="A32" s="1">
        <f ca="1">EDATE(Swap_Date,1)</f>
        <v>43496</v>
      </c>
      <c r="B32" s="3">
        <f ca="1">_xll.BDP(H32,"PX_LAST")</f>
        <v>-0.36299999999999999</v>
      </c>
      <c r="C32" s="1">
        <f ca="1">nextimm(C31+1)</f>
        <v>43635</v>
      </c>
      <c r="D32" s="3">
        <f ca="1">IFERROR(100-_xll.BDP(I32,"PX_LAST"),0.5*(D31+D33))</f>
        <v>-0.30449999999999733</v>
      </c>
      <c r="E32" s="1">
        <f ca="1">EDATE(E31,12)</f>
        <v>44561</v>
      </c>
      <c r="F32" s="3">
        <f ca="1">_xll.BDP(J32,"PX_LAST")</f>
        <v>-0.10199999999999999</v>
      </c>
      <c r="H32" t="s">
        <v>72</v>
      </c>
      <c r="I32" t="s">
        <v>78</v>
      </c>
      <c r="J32" s="3" t="s">
        <v>86</v>
      </c>
    </row>
    <row r="33" spans="1:10" x14ac:dyDescent="0.25">
      <c r="A33" s="1">
        <f ca="1">EDATE(Swap_Date,2)</f>
        <v>43524</v>
      </c>
      <c r="B33" s="3">
        <f ca="1">IF(_xll.BDP(H33,"PX_LAST")="#N/A N/A",0.5*(B32+B34),_xll.BDP(H33,"PX_LAST"))</f>
        <v>-0.33600000000000002</v>
      </c>
      <c r="C33" s="1">
        <f t="shared" ref="C33:C38" ca="1" si="2">nextimm(C32+1)</f>
        <v>43726</v>
      </c>
      <c r="D33" s="3">
        <f ca="1">100-_xll.BDP(I33,"PX_LAST")</f>
        <v>-0.29999999999999716</v>
      </c>
      <c r="E33" s="1">
        <f t="shared" ref="E33:E46" ca="1" si="3">EDATE(E32,12)</f>
        <v>44926</v>
      </c>
      <c r="F33" s="3">
        <f ca="1">_xll.BDP(J33,"PX_LAST")</f>
        <v>1.3899999999999999E-2</v>
      </c>
      <c r="H33" t="s">
        <v>73</v>
      </c>
      <c r="I33" t="s">
        <v>79</v>
      </c>
      <c r="J33" s="3" t="s">
        <v>89</v>
      </c>
    </row>
    <row r="34" spans="1:10" x14ac:dyDescent="0.25">
      <c r="A34" s="1">
        <f ca="1">EDATE(Swap_Date,3)</f>
        <v>43555</v>
      </c>
      <c r="B34" s="3">
        <f ca="1">_xll.BDP(H34,"PX_LAST")</f>
        <v>-0.309</v>
      </c>
      <c r="C34" s="1">
        <f t="shared" ca="1" si="2"/>
        <v>43817</v>
      </c>
      <c r="D34" s="3">
        <f ca="1">100-_xll.BDP(I34,"PX_LAST")</f>
        <v>-0.29500000000000171</v>
      </c>
      <c r="E34" s="1">
        <f t="shared" ca="1" si="3"/>
        <v>45291</v>
      </c>
      <c r="F34" s="3">
        <f ca="1">_xll.BDP(J34,"PX_LAST")</f>
        <v>0.14499999999999999</v>
      </c>
      <c r="H34" t="s">
        <v>74</v>
      </c>
      <c r="I34" t="s">
        <v>80</v>
      </c>
      <c r="J34" s="3" t="s">
        <v>87</v>
      </c>
    </row>
    <row r="35" spans="1:10" x14ac:dyDescent="0.25">
      <c r="A35" s="1">
        <f ca="1">EDATE(Swap_Date,6)</f>
        <v>43646</v>
      </c>
      <c r="B35" s="3">
        <f ca="1">_xll.BDP(H35,"PX_LAST")</f>
        <v>-0.23699999999999999</v>
      </c>
      <c r="C35" s="1">
        <f t="shared" ca="1" si="2"/>
        <v>43908</v>
      </c>
      <c r="D35" s="3">
        <f ca="1">100-_xll.BDP(I35,"PX_LAST")</f>
        <v>-0.28000000000000114</v>
      </c>
      <c r="E35" s="1">
        <f t="shared" ca="1" si="3"/>
        <v>45657</v>
      </c>
      <c r="F35" s="3">
        <f ca="1">_xll.BDP(J35,"PX_LAST")</f>
        <v>0.27900000000000003</v>
      </c>
      <c r="H35" t="s">
        <v>75</v>
      </c>
      <c r="I35" t="s">
        <v>81</v>
      </c>
      <c r="J35" s="3" t="s">
        <v>90</v>
      </c>
    </row>
    <row r="36" spans="1:10" x14ac:dyDescent="0.25">
      <c r="A36" s="1">
        <f ca="1">EDATE(Swap_Date,12)</f>
        <v>43830</v>
      </c>
      <c r="B36" s="3">
        <f ca="1">_xll.BDP(H36,"PX_LAST")</f>
        <v>-0.11700000000000001</v>
      </c>
      <c r="C36" s="1">
        <f t="shared" ca="1" si="2"/>
        <v>43999</v>
      </c>
      <c r="D36" s="3">
        <f ca="1">100-_xll.BDP(I36,"PX_LAST")</f>
        <v>-0.26000000000000512</v>
      </c>
      <c r="E36" s="1">
        <f t="shared" ca="1" si="3"/>
        <v>46022</v>
      </c>
      <c r="F36" s="3">
        <f ca="1">_xll.BDP(J36,"PX_LAST")</f>
        <v>0.40799999999999997</v>
      </c>
      <c r="H36" t="s">
        <v>76</v>
      </c>
      <c r="I36" t="s">
        <v>82</v>
      </c>
      <c r="J36" s="3" t="s">
        <v>88</v>
      </c>
    </row>
    <row r="37" spans="1:10" x14ac:dyDescent="0.25">
      <c r="C37" s="1">
        <f t="shared" ca="1" si="2"/>
        <v>44090</v>
      </c>
      <c r="D37" s="3">
        <f ca="1">100-_xll.BDP(I37,"PX_LAST")</f>
        <v>-0.23499999999999943</v>
      </c>
      <c r="E37" s="1">
        <f t="shared" ca="1" si="3"/>
        <v>46387</v>
      </c>
      <c r="F37" s="3">
        <f ca="1">_xll.BDP(J37,"PX_LAST")</f>
        <v>0.53</v>
      </c>
      <c r="I37" t="s">
        <v>83</v>
      </c>
      <c r="J37" s="3" t="s">
        <v>91</v>
      </c>
    </row>
    <row r="38" spans="1:10" x14ac:dyDescent="0.25">
      <c r="C38" s="1">
        <f t="shared" ca="1" si="2"/>
        <v>44181</v>
      </c>
      <c r="D38" s="3">
        <f ca="1">100-_xll.BDP(I38,"PX_LAST")</f>
        <v>-0.19500000000000739</v>
      </c>
      <c r="E38" s="1">
        <f t="shared" ca="1" si="3"/>
        <v>46752</v>
      </c>
      <c r="F38" s="3">
        <f ca="1">_xll.BDP(J38,"PX_LAST")</f>
        <v>0.63980000000000004</v>
      </c>
      <c r="I38" t="s">
        <v>84</v>
      </c>
      <c r="J38" s="3" t="s">
        <v>92</v>
      </c>
    </row>
    <row r="39" spans="1:10" x14ac:dyDescent="0.25">
      <c r="E39" s="1">
        <f t="shared" ca="1" si="3"/>
        <v>47118</v>
      </c>
      <c r="F39" s="3">
        <f ca="1">_xll.BDP(J39,"PX_LAST")</f>
        <v>0.749</v>
      </c>
      <c r="J39" s="3" t="s">
        <v>27</v>
      </c>
    </row>
    <row r="40" spans="1:10" x14ac:dyDescent="0.25">
      <c r="E40" s="1">
        <f t="shared" ca="1" si="3"/>
        <v>47483</v>
      </c>
      <c r="F40" s="3">
        <f ca="1">_xll.BDP(J40,"PX_LAST")</f>
        <v>0.83950000000000002</v>
      </c>
      <c r="J40" s="3" t="s">
        <v>93</v>
      </c>
    </row>
    <row r="41" spans="1:10" x14ac:dyDescent="0.25">
      <c r="E41" s="1">
        <f t="shared" ca="1" si="3"/>
        <v>47848</v>
      </c>
      <c r="F41" s="3">
        <f ca="1">_xll.BDP(J41,"PX_LAST")</f>
        <v>0.92100000000000004</v>
      </c>
      <c r="J41" s="3" t="s">
        <v>94</v>
      </c>
    </row>
    <row r="42" spans="1:10" x14ac:dyDescent="0.25">
      <c r="E42" s="1">
        <f t="shared" ca="1" si="3"/>
        <v>48213</v>
      </c>
      <c r="F42" s="3">
        <f ca="1">_xll.BDP(J42,"PX_LAST")</f>
        <v>0.99150000000000005</v>
      </c>
      <c r="J42" s="3" t="s">
        <v>95</v>
      </c>
    </row>
    <row r="43" spans="1:10" x14ac:dyDescent="0.25">
      <c r="E43" s="1">
        <f t="shared" ca="1" si="3"/>
        <v>48579</v>
      </c>
      <c r="F43" s="3">
        <f ca="1">_xll.BDP(J43,"PX_LAST")</f>
        <v>1.0543</v>
      </c>
      <c r="J43" s="3" t="s">
        <v>96</v>
      </c>
    </row>
    <row r="44" spans="1:10" x14ac:dyDescent="0.25">
      <c r="E44" s="1">
        <f t="shared" ca="1" si="3"/>
        <v>48944</v>
      </c>
      <c r="F44" s="3">
        <f ca="1">_xll.BDP(J44,"PX_LAST")</f>
        <v>1.1054999999999999</v>
      </c>
      <c r="J44" s="3" t="s">
        <v>97</v>
      </c>
    </row>
    <row r="45" spans="1:10" x14ac:dyDescent="0.25">
      <c r="E45" s="1">
        <f t="shared" ca="1" si="3"/>
        <v>49309</v>
      </c>
      <c r="F45" s="3">
        <f ca="1">_xll.BDP(J45,"PX_LAST")</f>
        <v>1.1495</v>
      </c>
      <c r="J45" s="3" t="s">
        <v>98</v>
      </c>
    </row>
    <row r="46" spans="1:10" x14ac:dyDescent="0.25">
      <c r="E46" s="1">
        <f t="shared" ca="1" si="3"/>
        <v>49674</v>
      </c>
      <c r="F46" s="3">
        <f ca="1">_xll.BDP(J46,"PX_LAST")</f>
        <v>1.1859999999999999</v>
      </c>
      <c r="J46" s="3" t="s">
        <v>99</v>
      </c>
    </row>
    <row r="47" spans="1:10" x14ac:dyDescent="0.25">
      <c r="E47" s="1">
        <f ca="1">EDATE(E46,36)</f>
        <v>50770</v>
      </c>
      <c r="F47" s="3">
        <f ca="1">_xll.BDP(J47,"PX_LAST")</f>
        <v>1.2635000000000001</v>
      </c>
      <c r="J47" s="3" t="s">
        <v>100</v>
      </c>
    </row>
    <row r="48" spans="1:10" x14ac:dyDescent="0.25">
      <c r="E48" s="1">
        <f ca="1">EDATE(E47,60)</f>
        <v>52596</v>
      </c>
      <c r="F48" s="3">
        <f ca="1">_xll.BDP(J48,"PX_LAST")</f>
        <v>1.31</v>
      </c>
      <c r="J48" s="3" t="s">
        <v>101</v>
      </c>
    </row>
    <row r="49" spans="1:16" x14ac:dyDescent="0.25">
      <c r="E49" s="1">
        <f ca="1">EDATE(E48,60)</f>
        <v>54423</v>
      </c>
      <c r="F49" s="3">
        <f ca="1">_xll.BDP(J49,"PX_LAST")</f>
        <v>1.3203</v>
      </c>
      <c r="J49" s="3" t="s">
        <v>102</v>
      </c>
    </row>
    <row r="50" spans="1:16" x14ac:dyDescent="0.25">
      <c r="E50" s="1">
        <f ca="1">EDATE(E49,120)</f>
        <v>58075</v>
      </c>
      <c r="F50" s="3">
        <f ca="1">_xll.BDP(J50,"PX_LAST")</f>
        <v>1.3165</v>
      </c>
      <c r="J50" s="3" t="s">
        <v>103</v>
      </c>
    </row>
    <row r="51" spans="1:16" x14ac:dyDescent="0.25">
      <c r="E51" s="1">
        <f ca="1">EDATE(E50,12)</f>
        <v>58440</v>
      </c>
      <c r="F51">
        <f ca="1">F50</f>
        <v>1.3165</v>
      </c>
      <c r="J51" s="3"/>
    </row>
    <row r="54" spans="1:16" x14ac:dyDescent="0.25">
      <c r="A54" t="s">
        <v>19</v>
      </c>
      <c r="B54">
        <v>6</v>
      </c>
      <c r="D54" s="3">
        <v>7</v>
      </c>
      <c r="E54" s="3"/>
      <c r="F54" s="3">
        <v>100</v>
      </c>
    </row>
    <row r="55" spans="1:16" x14ac:dyDescent="0.25">
      <c r="A55" t="s">
        <v>29</v>
      </c>
      <c r="B55" t="s">
        <v>30</v>
      </c>
      <c r="C55" t="s">
        <v>31</v>
      </c>
      <c r="D55" t="s">
        <v>32</v>
      </c>
      <c r="E55" t="s">
        <v>33</v>
      </c>
      <c r="F55" t="s">
        <v>34</v>
      </c>
    </row>
    <row r="56" spans="1:16" ht="15.6" customHeight="1" x14ac:dyDescent="0.25">
      <c r="A56" s="1">
        <f ca="1">WORKDAY(Swap_Date,1)</f>
        <v>43466</v>
      </c>
      <c r="B56" s="3">
        <f ca="1">_xll.BDP(H56,"PX_LAST")</f>
        <v>-9.7670000000000007E-2</v>
      </c>
      <c r="C56" s="1">
        <f ca="1">nextimm(Swap_Date)</f>
        <v>43544</v>
      </c>
      <c r="D56" s="3">
        <f ca="1">100-IF(ISNUMBER(_xll.BDP(I56,"PX_LAST")),_xll.BDP(I56,"PX_LAST"),100-B59)</f>
        <v>-7.2670000000002233E-2</v>
      </c>
      <c r="E56" s="1">
        <f ca="1">EDATE(Swap_Date,24)</f>
        <v>44196</v>
      </c>
      <c r="F56" s="3">
        <f ca="1">_xll.BDP(J56,"PX_LAST")</f>
        <v>7.4999999999999997E-3</v>
      </c>
      <c r="H56" t="s">
        <v>0</v>
      </c>
      <c r="I56" s="3" t="s">
        <v>104</v>
      </c>
      <c r="J56" t="s">
        <v>112</v>
      </c>
      <c r="L56" s="3"/>
      <c r="M56" s="63" t="s">
        <v>132</v>
      </c>
      <c r="N56" s="63"/>
      <c r="P56">
        <v>-8.5330000000000003E-2</v>
      </c>
    </row>
    <row r="57" spans="1:16" ht="15.6" customHeight="1" x14ac:dyDescent="0.25">
      <c r="A57" s="1">
        <f ca="1">EDATE(Swap_Date,1)</f>
        <v>43496</v>
      </c>
      <c r="B57" s="3">
        <f ca="1">_xll.BDP(H57,"PX_LAST")</f>
        <v>-0.10767</v>
      </c>
      <c r="C57" s="1">
        <f ca="1">nextimm(C56+1)</f>
        <v>43635</v>
      </c>
      <c r="D57" s="3">
        <f ca="1">IFERROR(100-_xll.BDP(I57,"PX_LAST"),0.5*(D56+D58))</f>
        <v>-3.8350000000022533E-3</v>
      </c>
      <c r="E57" s="1">
        <f ca="1">EDATE(E56,12)</f>
        <v>44561</v>
      </c>
      <c r="F57" s="3">
        <f ca="1">_xll.BDP(J57,"PX_LAST")</f>
        <v>6.2500000000000003E-3</v>
      </c>
      <c r="H57" t="s">
        <v>1</v>
      </c>
      <c r="I57" s="3" t="s">
        <v>105</v>
      </c>
      <c r="J57" s="3" t="s">
        <v>113</v>
      </c>
      <c r="M57" s="5" t="s">
        <v>133</v>
      </c>
      <c r="N57" s="6">
        <f ca="1">_xll.BDP("JYSSTL1 index","PX_LAST")</f>
        <v>9.25</v>
      </c>
      <c r="P57">
        <v>-0.107</v>
      </c>
    </row>
    <row r="58" spans="1:16" ht="15.6" customHeight="1" x14ac:dyDescent="0.25">
      <c r="A58" s="1">
        <f ca="1">EDATE(Swap_Date,2)</f>
        <v>43524</v>
      </c>
      <c r="B58" s="3">
        <f ca="1">_xll.BDP(H58,"PX_LAST")</f>
        <v>-7.8329999999999997E-2</v>
      </c>
      <c r="C58" s="1">
        <f t="shared" ref="C58:C63" ca="1" si="4">nextimm(C57+1)</f>
        <v>43726</v>
      </c>
      <c r="D58" s="3">
        <f ca="1">100-_xll.BDP(I58,"PX_LAST")</f>
        <v>6.4999999999997726E-2</v>
      </c>
      <c r="E58" s="1">
        <f t="shared" ref="E58:E71" ca="1" si="5">EDATE(E57,12)</f>
        <v>44926</v>
      </c>
      <c r="F58" s="3">
        <f ca="1">_xll.BDP(J58,"PX_LAST")</f>
        <v>1.2500000000000001E-2</v>
      </c>
      <c r="H58" s="3" t="s">
        <v>2</v>
      </c>
      <c r="I58" s="3" t="s">
        <v>106</v>
      </c>
      <c r="J58" s="3" t="s">
        <v>114</v>
      </c>
      <c r="M58" s="5" t="s">
        <v>134</v>
      </c>
      <c r="N58" s="7">
        <f ca="1">_xll.BDP("JYSSTL2 index","PX_LAST")</f>
        <v>9.5</v>
      </c>
      <c r="P58">
        <v>-0.13500000000000001</v>
      </c>
    </row>
    <row r="59" spans="1:16" x14ac:dyDescent="0.25">
      <c r="A59" s="1">
        <f ca="1">EDATE(Swap_Date,3)</f>
        <v>43555</v>
      </c>
      <c r="B59" s="3">
        <f ca="1">_xll.BDP(H59,"PX_LAST")</f>
        <v>-7.2669999999999998E-2</v>
      </c>
      <c r="C59" s="1">
        <f t="shared" ca="1" si="4"/>
        <v>43817</v>
      </c>
      <c r="D59" s="3">
        <f ca="1">100-_xll.BDP(I59,"PX_LAST")</f>
        <v>6.9999999999993179E-2</v>
      </c>
      <c r="E59" s="1">
        <f t="shared" ca="1" si="5"/>
        <v>45291</v>
      </c>
      <c r="F59" s="3">
        <f ca="1">_xll.BDP(J59,"PX_LAST")</f>
        <v>2.375E-2</v>
      </c>
      <c r="H59" s="3" t="s">
        <v>3</v>
      </c>
      <c r="I59" s="3" t="s">
        <v>107</v>
      </c>
      <c r="J59" s="3" t="s">
        <v>115</v>
      </c>
      <c r="P59">
        <v>-0.11466999999999999</v>
      </c>
    </row>
    <row r="60" spans="1:16" x14ac:dyDescent="0.25">
      <c r="A60" s="1">
        <f ca="1">EDATE(Swap_Date,6)</f>
        <v>43646</v>
      </c>
      <c r="B60" s="3">
        <f ca="1">_xll.BDP(H60,"PX_LAST")</f>
        <v>9.8300000000000002E-3</v>
      </c>
      <c r="C60" s="1">
        <f t="shared" ca="1" si="4"/>
        <v>43908</v>
      </c>
      <c r="D60" s="3">
        <f ca="1">100-_xll.BDP(I60,"PX_LAST")</f>
        <v>7.5000000000002842E-2</v>
      </c>
      <c r="E60" s="1">
        <f t="shared" ca="1" si="5"/>
        <v>45657</v>
      </c>
      <c r="F60" s="3">
        <f ca="1">_xll.BDP(J60,"PX_LAST")</f>
        <v>4.2500000000000003E-2</v>
      </c>
      <c r="H60" s="3" t="s">
        <v>4</v>
      </c>
      <c r="I60" s="3" t="s">
        <v>108</v>
      </c>
      <c r="J60" s="3" t="s">
        <v>116</v>
      </c>
      <c r="P60">
        <v>-2.5000000000000001E-3</v>
      </c>
    </row>
    <row r="61" spans="1:16" x14ac:dyDescent="0.25">
      <c r="A61" s="1">
        <f ca="1">EDATE(Swap_Date,12)</f>
        <v>43830</v>
      </c>
      <c r="B61" s="3">
        <f ca="1">_xll.BDP(H61,"PX_LAST")</f>
        <v>0.10632999999999999</v>
      </c>
      <c r="C61" s="1">
        <f t="shared" ca="1" si="4"/>
        <v>43999</v>
      </c>
      <c r="D61" s="3">
        <f ca="1">100-_xll.BDP(I61,"PX_LAST")</f>
        <v>7.9999999999998295E-2</v>
      </c>
      <c r="E61" s="1">
        <f t="shared" ca="1" si="5"/>
        <v>46022</v>
      </c>
      <c r="F61" s="3">
        <f ca="1">_xll.BDP(J61,"PX_LAST")</f>
        <v>6.8750000000000006E-2</v>
      </c>
      <c r="H61" s="3" t="s">
        <v>5</v>
      </c>
      <c r="I61" s="3" t="s">
        <v>109</v>
      </c>
      <c r="J61" s="3" t="s">
        <v>117</v>
      </c>
      <c r="P61">
        <v>0.11167000000000001</v>
      </c>
    </row>
    <row r="62" spans="1:16" x14ac:dyDescent="0.25">
      <c r="C62" s="1">
        <f t="shared" ca="1" si="4"/>
        <v>44090</v>
      </c>
      <c r="D62" s="3">
        <f ca="1">100-_xll.BDP(I62,"PX_LAST")</f>
        <v>8.4999999999993747E-2</v>
      </c>
      <c r="E62" s="1">
        <f t="shared" ca="1" si="5"/>
        <v>46387</v>
      </c>
      <c r="F62" s="3">
        <f ca="1">_xll.BDP(J62,"PX_LAST")</f>
        <v>0.1</v>
      </c>
      <c r="I62" s="3" t="s">
        <v>110</v>
      </c>
      <c r="J62" s="3" t="s">
        <v>118</v>
      </c>
    </row>
    <row r="63" spans="1:16" x14ac:dyDescent="0.25">
      <c r="C63" s="1">
        <f t="shared" ca="1" si="4"/>
        <v>44181</v>
      </c>
      <c r="D63" s="3">
        <f ca="1">100-_xll.BDP(I63,"PX_LAST")</f>
        <v>8.4999999999993747E-2</v>
      </c>
      <c r="E63" s="1">
        <f t="shared" ca="1" si="5"/>
        <v>46752</v>
      </c>
      <c r="F63" s="3">
        <f ca="1">_xll.BDP(J63,"PX_LAST")</f>
        <v>0.13625000000000001</v>
      </c>
      <c r="I63" s="3" t="s">
        <v>111</v>
      </c>
      <c r="J63" s="3" t="s">
        <v>119</v>
      </c>
    </row>
    <row r="64" spans="1:16" x14ac:dyDescent="0.25">
      <c r="E64" s="1">
        <f t="shared" ca="1" si="5"/>
        <v>47118</v>
      </c>
      <c r="F64" s="3">
        <f ca="1">_xll.BDP(J64,"PX_LAST")</f>
        <v>0.17624999999999999</v>
      </c>
      <c r="J64" s="3" t="s">
        <v>120</v>
      </c>
    </row>
    <row r="65" spans="1:10" x14ac:dyDescent="0.25">
      <c r="E65" s="1">
        <f t="shared" ca="1" si="5"/>
        <v>47483</v>
      </c>
      <c r="F65" s="3">
        <f ca="1">_xll.BDP(J65,"PX_LAST")</f>
        <v>0.21875</v>
      </c>
      <c r="J65" s="3" t="s">
        <v>121</v>
      </c>
    </row>
    <row r="66" spans="1:10" x14ac:dyDescent="0.25">
      <c r="E66" s="1">
        <f t="shared" ca="1" si="5"/>
        <v>47848</v>
      </c>
      <c r="F66" s="3">
        <f ca="1">_xll.BDP(J66,"PX_LAST")</f>
        <v>0.25750000000000001</v>
      </c>
      <c r="J66" s="3" t="s">
        <v>122</v>
      </c>
    </row>
    <row r="67" spans="1:10" x14ac:dyDescent="0.25">
      <c r="E67" s="1">
        <f t="shared" ca="1" si="5"/>
        <v>48213</v>
      </c>
      <c r="F67" s="3">
        <f ca="1">_xll.BDP(J67,"PX_LAST")</f>
        <v>0.3</v>
      </c>
      <c r="J67" s="3" t="s">
        <v>123</v>
      </c>
    </row>
    <row r="68" spans="1:10" x14ac:dyDescent="0.25">
      <c r="E68" s="1">
        <f t="shared" ca="1" si="5"/>
        <v>48579</v>
      </c>
      <c r="F68" s="3">
        <f ca="1">_xll.BDP(J68,"PX_LAST")</f>
        <v>0.34</v>
      </c>
      <c r="J68" s="3" t="s">
        <v>124</v>
      </c>
    </row>
    <row r="69" spans="1:10" x14ac:dyDescent="0.25">
      <c r="E69" s="1">
        <f t="shared" ca="1" si="5"/>
        <v>48944</v>
      </c>
      <c r="F69" s="3">
        <f ca="1">_xll.BDP(J69,"PX_LAST")</f>
        <v>0.37874999999999998</v>
      </c>
      <c r="J69" s="3" t="s">
        <v>125</v>
      </c>
    </row>
    <row r="70" spans="1:10" x14ac:dyDescent="0.25">
      <c r="E70" s="1">
        <f t="shared" ca="1" si="5"/>
        <v>49309</v>
      </c>
      <c r="F70" s="3">
        <f ca="1">_xll.BDP(J70,"PX_LAST")</f>
        <v>0.41625000000000001</v>
      </c>
      <c r="J70" s="3" t="s">
        <v>126</v>
      </c>
    </row>
    <row r="71" spans="1:10" x14ac:dyDescent="0.25">
      <c r="E71" s="1">
        <f t="shared" ca="1" si="5"/>
        <v>49674</v>
      </c>
      <c r="F71" s="3">
        <f ca="1">_xll.BDP(J71,"PX_LAST")</f>
        <v>0.45424999999999999</v>
      </c>
      <c r="J71" s="3" t="s">
        <v>127</v>
      </c>
    </row>
    <row r="72" spans="1:10" x14ac:dyDescent="0.25">
      <c r="E72" s="1">
        <f ca="1">EDATE(E71,36)</f>
        <v>50770</v>
      </c>
      <c r="F72" s="3">
        <f ca="1">_xll.BDP(J72,"PX_LAST")</f>
        <v>0.54874999999999996</v>
      </c>
      <c r="J72" s="3" t="s">
        <v>128</v>
      </c>
    </row>
    <row r="73" spans="1:10" x14ac:dyDescent="0.25">
      <c r="E73" s="1">
        <f ca="1">EDATE(E72,60)</f>
        <v>52596</v>
      </c>
      <c r="F73" s="3">
        <f ca="1">_xll.BDP(J73,"PX_LAST")</f>
        <v>0.65625</v>
      </c>
      <c r="J73" s="3" t="s">
        <v>129</v>
      </c>
    </row>
    <row r="74" spans="1:10" x14ac:dyDescent="0.25">
      <c r="E74" s="1">
        <f ca="1">EDATE(E73,60)</f>
        <v>54423</v>
      </c>
      <c r="F74" s="3">
        <f ca="1">_xll.BDP(J74,"PX_LAST")</f>
        <v>0.72375</v>
      </c>
      <c r="J74" s="3" t="s">
        <v>130</v>
      </c>
    </row>
    <row r="75" spans="1:10" x14ac:dyDescent="0.25">
      <c r="E75" s="1">
        <f ca="1">EDATE(E74,120)</f>
        <v>58075</v>
      </c>
      <c r="F75" s="3">
        <f ca="1">_xll.BDP(J75,"PX_LAST")</f>
        <v>0.79374999999999996</v>
      </c>
      <c r="J75" s="3" t="s">
        <v>131</v>
      </c>
    </row>
    <row r="76" spans="1:10" x14ac:dyDescent="0.25">
      <c r="E76" s="1">
        <f ca="1">EDATE(E75,12)</f>
        <v>58440</v>
      </c>
      <c r="F76">
        <f ca="1">F75</f>
        <v>0.79374999999999996</v>
      </c>
      <c r="J76" s="3"/>
    </row>
    <row r="77" spans="1:10" x14ac:dyDescent="0.25">
      <c r="J77" s="3"/>
    </row>
    <row r="79" spans="1:10" x14ac:dyDescent="0.25">
      <c r="A79" t="s">
        <v>14</v>
      </c>
      <c r="B79">
        <v>6</v>
      </c>
      <c r="D79" s="3">
        <v>7</v>
      </c>
      <c r="E79" s="3"/>
      <c r="F79" s="3">
        <v>100</v>
      </c>
    </row>
    <row r="80" spans="1:10" x14ac:dyDescent="0.25">
      <c r="A80" t="s">
        <v>29</v>
      </c>
      <c r="B80" t="s">
        <v>30</v>
      </c>
      <c r="C80" t="s">
        <v>31</v>
      </c>
      <c r="D80" t="s">
        <v>32</v>
      </c>
      <c r="E80" t="s">
        <v>33</v>
      </c>
      <c r="F80" t="s">
        <v>34</v>
      </c>
    </row>
    <row r="81" spans="1:14" x14ac:dyDescent="0.25">
      <c r="A81" s="1">
        <f ca="1">WORKDAY(Swap_Date,1)</f>
        <v>43466</v>
      </c>
      <c r="B81" s="3">
        <f ca="1">_xll.BDP(H81,"PX_LAST")</f>
        <v>0.67025000000000001</v>
      </c>
      <c r="C81" s="1">
        <f ca="1">nextimm(Swap_Date)</f>
        <v>43544</v>
      </c>
      <c r="D81" s="3">
        <f ca="1">100-IF(ISNUMBER(_xll.BDP(I81,"PX_LAST")),_xll.BDP(I81,"PX_LAST"),100-B84)</f>
        <v>0.91244000000000369</v>
      </c>
      <c r="E81" s="1">
        <f ca="1">EDATE(Swap_Date,24)</f>
        <v>44196</v>
      </c>
      <c r="F81" s="3">
        <f ca="1">_xll.BDP(J81,"PX_LAST")</f>
        <v>1.1116999999999999</v>
      </c>
      <c r="H81" t="s">
        <v>135</v>
      </c>
      <c r="I81" t="s">
        <v>141</v>
      </c>
      <c r="J81" t="s">
        <v>149</v>
      </c>
    </row>
    <row r="82" spans="1:14" x14ac:dyDescent="0.25">
      <c r="A82" s="1">
        <f ca="1">EDATE(Swap_Date,1)</f>
        <v>43496</v>
      </c>
      <c r="B82" s="3">
        <f ca="1">_xll.BDP(H82,"PX_LAST")</f>
        <v>0.73024999999999995</v>
      </c>
      <c r="C82" s="1">
        <f ca="1">nextimm(C81+1)</f>
        <v>43635</v>
      </c>
      <c r="D82" s="3">
        <f ca="1">IFERROR(100-_xll.BDP(I82,"PX_LAST"),0.5*(D81+D83))</f>
        <v>0.91872000000000043</v>
      </c>
      <c r="E82" s="1">
        <f ca="1">EDATE(E81,12)</f>
        <v>44561</v>
      </c>
      <c r="F82" s="3">
        <f ca="1">_xll.BDP(J82,"PX_LAST")</f>
        <v>1.16225</v>
      </c>
      <c r="H82" t="s">
        <v>136</v>
      </c>
      <c r="I82" t="s">
        <v>142</v>
      </c>
      <c r="J82" s="3" t="s">
        <v>150</v>
      </c>
      <c r="K82" s="3"/>
      <c r="M82" s="3"/>
      <c r="N82" s="3"/>
    </row>
    <row r="83" spans="1:14" x14ac:dyDescent="0.25">
      <c r="A83" s="1">
        <f ca="1">EDATE(Swap_Date,2)</f>
        <v>43524</v>
      </c>
      <c r="B83" s="3">
        <f ca="1">_xll.BDP(H83,"PX_LAST")</f>
        <v>0.79337999999999997</v>
      </c>
      <c r="C83" s="1">
        <f t="shared" ref="C83:C88" ca="1" si="6">nextimm(C82+1)</f>
        <v>43726</v>
      </c>
      <c r="D83" s="3">
        <f ca="1">100-_xll.BDP(I83,"PX_LAST")</f>
        <v>0.92499999999999716</v>
      </c>
      <c r="E83" s="1">
        <f t="shared" ref="E83:E96" ca="1" si="7">EDATE(E82,12)</f>
        <v>44926</v>
      </c>
      <c r="F83" s="3">
        <f ca="1">_xll.BDP(J83,"PX_LAST")</f>
        <v>1.2090000000000001</v>
      </c>
      <c r="H83" t="s">
        <v>137</v>
      </c>
      <c r="I83" t="s">
        <v>143</v>
      </c>
      <c r="J83" t="s">
        <v>151</v>
      </c>
      <c r="K83" s="3"/>
      <c r="L83" s="3"/>
      <c r="M83" s="3"/>
      <c r="N83" s="3"/>
    </row>
    <row r="84" spans="1:14" x14ac:dyDescent="0.25">
      <c r="A84" s="1">
        <f ca="1">EDATE(Swap_Date,3)</f>
        <v>43555</v>
      </c>
      <c r="B84" s="3">
        <f ca="1">_xll.BDP(H84,"PX_LAST")</f>
        <v>0.91244000000000003</v>
      </c>
      <c r="C84" s="1">
        <f t="shared" ca="1" si="6"/>
        <v>43817</v>
      </c>
      <c r="D84" s="3">
        <f ca="1">100-_xll.BDP(I84,"PX_LAST")</f>
        <v>0.98000000000000398</v>
      </c>
      <c r="E84" s="1">
        <f t="shared" ca="1" si="7"/>
        <v>45291</v>
      </c>
      <c r="F84" s="3">
        <f ca="1">_xll.BDP(J84,"PX_LAST")</f>
        <v>1.2430000000000001</v>
      </c>
      <c r="H84" t="s">
        <v>138</v>
      </c>
      <c r="I84" t="s">
        <v>144</v>
      </c>
      <c r="J84" t="s">
        <v>152</v>
      </c>
      <c r="K84" s="3"/>
      <c r="L84" s="3"/>
      <c r="M84" s="3"/>
      <c r="N84" s="3"/>
    </row>
    <row r="85" spans="1:14" x14ac:dyDescent="0.25">
      <c r="A85" s="1">
        <f ca="1">EDATE(Swap_Date,6)</f>
        <v>43646</v>
      </c>
      <c r="B85" s="3">
        <f ca="1">_xll.BDP(H85,"PX_LAST")</f>
        <v>1.0346899999999999</v>
      </c>
      <c r="C85" s="1">
        <f t="shared" ca="1" si="6"/>
        <v>43908</v>
      </c>
      <c r="D85" s="3">
        <f ca="1">100-_xll.BDP(I85,"PX_LAST")</f>
        <v>1.0099900000000019</v>
      </c>
      <c r="E85" s="1">
        <f t="shared" ca="1" si="7"/>
        <v>45657</v>
      </c>
      <c r="F85" s="3">
        <f ca="1">_xll.BDP(J85,"PX_LAST")</f>
        <v>1.274</v>
      </c>
      <c r="H85" t="s">
        <v>139</v>
      </c>
      <c r="I85" t="s">
        <v>145</v>
      </c>
      <c r="J85" t="s">
        <v>153</v>
      </c>
      <c r="K85" s="3"/>
      <c r="L85" s="3"/>
      <c r="M85" s="3"/>
      <c r="N85" s="3"/>
    </row>
    <row r="86" spans="1:14" x14ac:dyDescent="0.25">
      <c r="A86" s="1">
        <f ca="1">EDATE(Swap_Date,12)</f>
        <v>43830</v>
      </c>
      <c r="B86" s="3">
        <f ca="1">_xll.BDP(H86,"PX_LAST")</f>
        <v>1.17031</v>
      </c>
      <c r="C86" s="1">
        <f t="shared" ca="1" si="6"/>
        <v>43999</v>
      </c>
      <c r="D86" s="3">
        <f ca="1">100-_xll.BDP(I86,"PX_LAST")</f>
        <v>1.0600000000000023</v>
      </c>
      <c r="E86" s="1">
        <f t="shared" ca="1" si="7"/>
        <v>46022</v>
      </c>
      <c r="F86" s="3">
        <f ca="1">_xll.BDP(J86,"PX_LAST")</f>
        <v>1.3029999999999999</v>
      </c>
      <c r="H86" t="s">
        <v>140</v>
      </c>
      <c r="I86" t="s">
        <v>146</v>
      </c>
      <c r="J86" t="s">
        <v>154</v>
      </c>
      <c r="K86" s="3"/>
      <c r="L86" s="3"/>
      <c r="M86" s="3"/>
      <c r="N86" s="3"/>
    </row>
    <row r="87" spans="1:14" x14ac:dyDescent="0.25">
      <c r="C87" s="1">
        <f t="shared" ca="1" si="6"/>
        <v>44090</v>
      </c>
      <c r="D87" s="3">
        <f ca="1">100-_xll.BDP(I87,"PX_LAST")</f>
        <v>1.0799899999999951</v>
      </c>
      <c r="E87" s="1">
        <f t="shared" ca="1" si="7"/>
        <v>46387</v>
      </c>
      <c r="F87" s="3">
        <f ca="1">_xll.BDP(J87,"PX_LAST")</f>
        <v>1.33</v>
      </c>
      <c r="I87" t="s">
        <v>147</v>
      </c>
      <c r="J87" t="s">
        <v>155</v>
      </c>
      <c r="K87" s="3"/>
      <c r="L87" s="3"/>
      <c r="M87" s="3"/>
      <c r="N87" s="3"/>
    </row>
    <row r="88" spans="1:14" x14ac:dyDescent="0.25">
      <c r="C88" s="1">
        <f t="shared" ca="1" si="6"/>
        <v>44181</v>
      </c>
      <c r="D88" s="3">
        <f ca="1">100-_xll.BDP(I88,"PX_LAST")</f>
        <v>1.1099899999999963</v>
      </c>
      <c r="E88" s="1">
        <f t="shared" ca="1" si="7"/>
        <v>46752</v>
      </c>
      <c r="F88" s="3">
        <f ca="1">_xll.BDP(J88,"PX_LAST")</f>
        <v>1.3580000000000001</v>
      </c>
      <c r="I88" t="s">
        <v>148</v>
      </c>
      <c r="J88" t="s">
        <v>156</v>
      </c>
      <c r="K88" s="3"/>
      <c r="L88" s="3"/>
      <c r="M88" s="3"/>
      <c r="N88" s="3"/>
    </row>
    <row r="89" spans="1:14" x14ac:dyDescent="0.25">
      <c r="E89" s="1">
        <f t="shared" ca="1" si="7"/>
        <v>47118</v>
      </c>
      <c r="F89" s="3">
        <f ca="1">_xll.BDP(J89,"PX_LAST")</f>
        <v>1.3859999999999999</v>
      </c>
      <c r="J89" t="s">
        <v>28</v>
      </c>
      <c r="K89" s="3"/>
      <c r="L89" s="3"/>
      <c r="M89" s="3"/>
      <c r="N89" s="3"/>
    </row>
    <row r="90" spans="1:14" x14ac:dyDescent="0.25">
      <c r="E90" s="1">
        <f t="shared" ca="1" si="7"/>
        <v>47483</v>
      </c>
      <c r="F90" s="3">
        <f ca="1">_xll.BDP(J90,"PX_LAST")</f>
        <v>1.41</v>
      </c>
      <c r="J90" t="s">
        <v>157</v>
      </c>
      <c r="K90" s="3"/>
      <c r="L90" s="3"/>
      <c r="M90" s="3"/>
      <c r="N90" s="3"/>
    </row>
    <row r="91" spans="1:14" x14ac:dyDescent="0.25">
      <c r="E91" s="1">
        <f t="shared" ca="1" si="7"/>
        <v>47848</v>
      </c>
      <c r="F91" s="3">
        <f ca="1">_xll.BDP(J91,"PX_LAST")</f>
        <v>1.43</v>
      </c>
      <c r="J91" t="s">
        <v>158</v>
      </c>
      <c r="K91" s="3"/>
      <c r="L91" s="3"/>
      <c r="M91" s="3"/>
      <c r="N91" s="3"/>
    </row>
    <row r="92" spans="1:14" x14ac:dyDescent="0.25">
      <c r="E92" s="1">
        <f t="shared" ca="1" si="7"/>
        <v>48213</v>
      </c>
      <c r="F92" s="3">
        <f ca="1">_xll.BDP(J92,"PX_LAST")</f>
        <v>1.4464999999999999</v>
      </c>
      <c r="J92" t="s">
        <v>159</v>
      </c>
      <c r="K92" s="3"/>
      <c r="L92" s="3"/>
      <c r="M92" s="3"/>
      <c r="N92" s="3"/>
    </row>
    <row r="93" spans="1:14" x14ac:dyDescent="0.25">
      <c r="E93" s="1">
        <f t="shared" ca="1" si="7"/>
        <v>48579</v>
      </c>
      <c r="F93" s="3">
        <f ca="1">_xll.BDP(J93,"PX_LAST")</f>
        <v>1.4610000000000001</v>
      </c>
      <c r="J93" t="s">
        <v>160</v>
      </c>
      <c r="K93" s="3"/>
      <c r="L93" s="3"/>
      <c r="M93" s="3"/>
      <c r="N93" s="3"/>
    </row>
    <row r="94" spans="1:14" x14ac:dyDescent="0.25">
      <c r="E94" s="1">
        <f t="shared" ca="1" si="7"/>
        <v>48944</v>
      </c>
      <c r="F94" s="3">
        <f ca="1">_xll.BDP(J94,"PX_LAST")</f>
        <v>1.4730000000000001</v>
      </c>
      <c r="J94" t="s">
        <v>161</v>
      </c>
      <c r="K94" s="3"/>
      <c r="L94" s="3"/>
      <c r="M94" s="3"/>
      <c r="N94" s="3"/>
    </row>
    <row r="95" spans="1:14" x14ac:dyDescent="0.25">
      <c r="E95" s="1">
        <f t="shared" ca="1" si="7"/>
        <v>49309</v>
      </c>
      <c r="F95" s="3">
        <f ca="1">_xll.BDP(J95,"PX_LAST")</f>
        <v>1.4835</v>
      </c>
      <c r="J95" t="s">
        <v>162</v>
      </c>
      <c r="K95" s="3"/>
      <c r="L95" s="3"/>
      <c r="M95" s="3"/>
      <c r="N95" s="3"/>
    </row>
    <row r="96" spans="1:14" x14ac:dyDescent="0.25">
      <c r="E96" s="1">
        <f t="shared" ca="1" si="7"/>
        <v>49674</v>
      </c>
      <c r="F96" s="3">
        <f ca="1">_xll.BDP(J96,"PX_LAST")</f>
        <v>1.4924999999999999</v>
      </c>
      <c r="J96" t="s">
        <v>163</v>
      </c>
      <c r="K96" s="3"/>
      <c r="L96" s="3"/>
      <c r="M96" s="3"/>
      <c r="N96" s="3"/>
    </row>
    <row r="97" spans="1:14" x14ac:dyDescent="0.25">
      <c r="E97" s="1">
        <f ca="1">EDATE(E96,36)</f>
        <v>50770</v>
      </c>
      <c r="F97" s="3">
        <f ca="1">_xll.BDP(J97,"PX_LAST")</f>
        <v>1.5109999999999999</v>
      </c>
      <c r="J97" t="s">
        <v>164</v>
      </c>
      <c r="K97" s="3"/>
      <c r="M97" s="3"/>
      <c r="N97" s="3"/>
    </row>
    <row r="98" spans="1:14" x14ac:dyDescent="0.25">
      <c r="E98" s="1">
        <f ca="1">EDATE(E97,60)</f>
        <v>52596</v>
      </c>
      <c r="F98" s="3">
        <f ca="1">_xll.BDP(J98,"PX_LAST")</f>
        <v>1.518</v>
      </c>
      <c r="J98" t="s">
        <v>165</v>
      </c>
      <c r="K98" s="3"/>
      <c r="M98" s="3"/>
      <c r="N98" s="3"/>
    </row>
    <row r="99" spans="1:14" x14ac:dyDescent="0.25">
      <c r="E99" s="1">
        <f ca="1">EDATE(E98,60)</f>
        <v>54423</v>
      </c>
      <c r="F99" s="3">
        <f ca="1">_xll.BDP(J99,"PX_LAST")</f>
        <v>1.514</v>
      </c>
      <c r="J99" t="s">
        <v>166</v>
      </c>
      <c r="K99" s="3"/>
      <c r="M99" s="3"/>
      <c r="N99" s="3"/>
    </row>
    <row r="100" spans="1:14" x14ac:dyDescent="0.25">
      <c r="E100" s="1">
        <f ca="1">EDATE(E99,120)</f>
        <v>58075</v>
      </c>
      <c r="F100" s="3">
        <f ca="1">_xll.BDP(J100,"PX_LAST")</f>
        <v>1.49</v>
      </c>
      <c r="J100" t="s">
        <v>167</v>
      </c>
      <c r="K100" s="3"/>
      <c r="M100" s="3"/>
      <c r="N100" s="3"/>
    </row>
    <row r="101" spans="1:14" x14ac:dyDescent="0.25">
      <c r="E101" s="1">
        <f ca="1">EDATE(E100,12)</f>
        <v>58440</v>
      </c>
      <c r="F101">
        <f ca="1">F100</f>
        <v>1.49</v>
      </c>
    </row>
    <row r="104" spans="1:14" x14ac:dyDescent="0.25">
      <c r="A104" t="s">
        <v>247</v>
      </c>
      <c r="B104">
        <v>6</v>
      </c>
      <c r="D104">
        <v>7</v>
      </c>
      <c r="F104">
        <v>100</v>
      </c>
    </row>
    <row r="105" spans="1:14" x14ac:dyDescent="0.25">
      <c r="A105" t="s">
        <v>29</v>
      </c>
      <c r="B105" t="s">
        <v>30</v>
      </c>
      <c r="C105" t="s">
        <v>31</v>
      </c>
      <c r="D105" t="s">
        <v>32</v>
      </c>
      <c r="E105" t="s">
        <v>33</v>
      </c>
      <c r="F105" t="s">
        <v>34</v>
      </c>
    </row>
    <row r="106" spans="1:14" x14ac:dyDescent="0.25">
      <c r="A106" s="1">
        <f ca="1">WORKDAY(Swap_Date,1)</f>
        <v>43466</v>
      </c>
      <c r="B106" s="3">
        <f ca="1">_xll.BDP(H106,"PX_LAST")</f>
        <v>-0.79820000000000002</v>
      </c>
      <c r="C106" s="1">
        <f ca="1">nextimm(Swap_Date)</f>
        <v>43544</v>
      </c>
      <c r="D106" s="3">
        <f ca="1">100-IF(ISNUMBER(_xll.BDP(I106,"PX_LAST")),_xll.BDP(I106,"PX_LAST"),100-B109)</f>
        <v>-0.71340000000000714</v>
      </c>
      <c r="E106" s="1">
        <f ca="1">EDATE(Swap_Date,24)</f>
        <v>44196</v>
      </c>
      <c r="F106" s="3">
        <f ca="1">_xll.BDP(J106,"PX_LAST")</f>
        <v>-0.57469999999999999</v>
      </c>
      <c r="H106" t="s">
        <v>168</v>
      </c>
      <c r="I106" t="s">
        <v>174</v>
      </c>
      <c r="J106" t="s">
        <v>182</v>
      </c>
    </row>
    <row r="107" spans="1:14" x14ac:dyDescent="0.25">
      <c r="A107" s="1">
        <f ca="1">EDATE(Swap_Date,1)</f>
        <v>43496</v>
      </c>
      <c r="B107" s="3">
        <f ca="1">_xll.BDP(H107,"PX_LAST")</f>
        <v>-0.79679999999999995</v>
      </c>
      <c r="C107" s="1">
        <f ca="1">nextimm(C106+1)</f>
        <v>43635</v>
      </c>
      <c r="D107" s="3">
        <f ca="1">IFERROR(100-_xll.BDP(I107,"PX_LAST"),0.5*(D106+D108))</f>
        <v>-0.716700000000003</v>
      </c>
      <c r="E107" s="1">
        <f ca="1">EDATE(E106,12)</f>
        <v>44561</v>
      </c>
      <c r="F107" s="3">
        <f ca="1">_xll.BDP(J107,"PX_LAST")</f>
        <v>-0.49249999999999999</v>
      </c>
      <c r="H107" t="s">
        <v>169</v>
      </c>
      <c r="I107" t="s">
        <v>175</v>
      </c>
      <c r="J107" t="s">
        <v>183</v>
      </c>
      <c r="K107" s="3"/>
      <c r="M107" s="3"/>
      <c r="N107" s="3"/>
    </row>
    <row r="108" spans="1:14" x14ac:dyDescent="0.25">
      <c r="A108" s="1">
        <f ca="1">EDATE(Swap_Date,2)</f>
        <v>43524</v>
      </c>
      <c r="B108" s="3">
        <f ca="1">_xll.BDP(H108,"PX_LAST")</f>
        <v>-0.73080000000000001</v>
      </c>
      <c r="C108" s="1">
        <f t="shared" ref="C108:C113" ca="1" si="8">nextimm(C107+1)</f>
        <v>43726</v>
      </c>
      <c r="D108" s="3">
        <f ca="1">100-_xll.BDP(I108,"PX_LAST")</f>
        <v>-0.71999999999999886</v>
      </c>
      <c r="E108" s="1">
        <f t="shared" ref="E108:E119" ca="1" si="9">EDATE(E107,12)</f>
        <v>44926</v>
      </c>
      <c r="F108" s="3">
        <f ca="1">_xll.BDP(J108,"PX_LAST")</f>
        <v>-0.40139999999999998</v>
      </c>
      <c r="H108" t="s">
        <v>170</v>
      </c>
      <c r="I108" t="s">
        <v>176</v>
      </c>
      <c r="J108" t="s">
        <v>184</v>
      </c>
      <c r="K108" s="3"/>
      <c r="L108" s="3"/>
      <c r="M108" s="3"/>
      <c r="N108" s="3"/>
    </row>
    <row r="109" spans="1:14" x14ac:dyDescent="0.25">
      <c r="A109" s="1">
        <f ca="1">EDATE(Swap_Date,3)</f>
        <v>43555</v>
      </c>
      <c r="B109" s="3">
        <f ca="1">_xll.BDP(H109,"PX_LAST")</f>
        <v>-0.71340000000000003</v>
      </c>
      <c r="C109" s="1">
        <f t="shared" ca="1" si="8"/>
        <v>43817</v>
      </c>
      <c r="D109" s="3">
        <f ca="1">100-_xll.BDP(I109,"PX_LAST")</f>
        <v>-0.71999999999999886</v>
      </c>
      <c r="E109" s="1">
        <f t="shared" ca="1" si="9"/>
        <v>45291</v>
      </c>
      <c r="F109" s="3">
        <f ca="1">_xll.BDP(J109,"PX_LAST")</f>
        <v>-0.29749999999999999</v>
      </c>
      <c r="H109" t="s">
        <v>171</v>
      </c>
      <c r="I109" t="s">
        <v>177</v>
      </c>
      <c r="J109" t="s">
        <v>185</v>
      </c>
      <c r="K109" s="3"/>
      <c r="L109" s="3"/>
      <c r="M109" s="3"/>
      <c r="N109" s="3"/>
    </row>
    <row r="110" spans="1:14" x14ac:dyDescent="0.25">
      <c r="A110" s="1">
        <f ca="1">EDATE(Swap_Date,6)</f>
        <v>43646</v>
      </c>
      <c r="B110" s="3">
        <f ca="1">_xll.BDP(H110,"PX_LAST")</f>
        <v>-0.63219999999999998</v>
      </c>
      <c r="C110" s="1">
        <f t="shared" ca="1" si="8"/>
        <v>43908</v>
      </c>
      <c r="D110" s="3">
        <f ca="1">100-_xll.BDP(I110,"PX_LAST")</f>
        <v>-0.71999999999999886</v>
      </c>
      <c r="E110" s="1">
        <f t="shared" ca="1" si="9"/>
        <v>45657</v>
      </c>
      <c r="F110" s="3">
        <f ca="1">_xll.BDP(J110,"PX_LAST")</f>
        <v>-0.18</v>
      </c>
      <c r="H110" t="s">
        <v>172</v>
      </c>
      <c r="I110" t="s">
        <v>178</v>
      </c>
      <c r="J110" t="s">
        <v>186</v>
      </c>
      <c r="K110" s="3"/>
      <c r="L110" s="3"/>
      <c r="M110" s="3"/>
      <c r="N110" s="3"/>
    </row>
    <row r="111" spans="1:14" x14ac:dyDescent="0.25">
      <c r="A111" s="1">
        <f ca="1">EDATE(Swap_Date,12)</f>
        <v>43830</v>
      </c>
      <c r="B111" s="3">
        <f ca="1">_xll.BDP(H111,"PX_LAST")</f>
        <v>-0.50260000000000005</v>
      </c>
      <c r="C111" s="1">
        <f t="shared" ca="1" si="8"/>
        <v>43999</v>
      </c>
      <c r="D111" s="3">
        <f ca="1">100-_xll.BDP(I111,"PX_LAST")</f>
        <v>-0.65999999999999659</v>
      </c>
      <c r="E111" s="1">
        <f t="shared" ca="1" si="9"/>
        <v>46022</v>
      </c>
      <c r="F111" s="3">
        <f ca="1">_xll.BDP(J111,"PX_LAST")</f>
        <v>-5.3600000000000002E-2</v>
      </c>
      <c r="H111" t="s">
        <v>173</v>
      </c>
      <c r="I111" t="s">
        <v>179</v>
      </c>
      <c r="J111" t="s">
        <v>187</v>
      </c>
      <c r="K111" s="3"/>
      <c r="L111" s="3"/>
      <c r="M111" s="3"/>
      <c r="N111" s="3"/>
    </row>
    <row r="112" spans="1:14" x14ac:dyDescent="0.25">
      <c r="C112" s="1">
        <f t="shared" ca="1" si="8"/>
        <v>44090</v>
      </c>
      <c r="D112" s="3">
        <f ca="1">100-_xll.BDP(I112,"PX_LAST")</f>
        <v>-0.62000000000000455</v>
      </c>
      <c r="E112" s="1">
        <f t="shared" ca="1" si="9"/>
        <v>46387</v>
      </c>
      <c r="F112" s="3">
        <f ca="1">_xll.BDP(J112,"PX_LAST")</f>
        <v>6.0199999999999997E-2</v>
      </c>
      <c r="I112" t="s">
        <v>180</v>
      </c>
      <c r="J112" t="s">
        <v>188</v>
      </c>
      <c r="K112" s="3"/>
      <c r="L112" s="3"/>
      <c r="M112" s="3"/>
      <c r="N112" s="3"/>
    </row>
    <row r="113" spans="3:14" x14ac:dyDescent="0.25">
      <c r="C113" s="1">
        <f t="shared" ca="1" si="8"/>
        <v>44181</v>
      </c>
      <c r="D113" s="3">
        <f ca="1">100-_xll.BDP(I113,"PX_LAST")</f>
        <v>-0.57999999999999829</v>
      </c>
      <c r="E113" s="1">
        <f t="shared" ca="1" si="9"/>
        <v>46752</v>
      </c>
      <c r="F113" s="3">
        <f ca="1">_xll.BDP(J113,"PX_LAST")</f>
        <v>0.16420000000000001</v>
      </c>
      <c r="I113" t="s">
        <v>181</v>
      </c>
      <c r="J113" t="s">
        <v>189</v>
      </c>
      <c r="K113" s="3"/>
      <c r="L113" s="3"/>
      <c r="M113" s="3"/>
      <c r="N113" s="3"/>
    </row>
    <row r="114" spans="3:14" x14ac:dyDescent="0.25">
      <c r="E114" s="1">
        <f t="shared" ca="1" si="9"/>
        <v>47118</v>
      </c>
      <c r="F114" s="3">
        <f ca="1">_xll.BDP(J114,"PX_LAST")</f>
        <v>0.2581</v>
      </c>
      <c r="J114" t="s">
        <v>190</v>
      </c>
      <c r="K114" s="3"/>
      <c r="L114" s="3"/>
      <c r="M114" s="3"/>
      <c r="N114" s="3"/>
    </row>
    <row r="115" spans="3:14" x14ac:dyDescent="0.25">
      <c r="E115" s="1">
        <f t="shared" ca="1" si="9"/>
        <v>47483</v>
      </c>
      <c r="F115" s="3">
        <f ca="1">_xll.BDP(J115,"PX_LAST")</f>
        <v>0.34250000000000003</v>
      </c>
      <c r="J115" t="s">
        <v>191</v>
      </c>
      <c r="K115" s="3"/>
      <c r="L115" s="3"/>
      <c r="M115" s="3"/>
      <c r="N115" s="3"/>
    </row>
    <row r="116" spans="3:14" x14ac:dyDescent="0.25">
      <c r="E116" s="1">
        <f t="shared" ca="1" si="9"/>
        <v>47848</v>
      </c>
      <c r="F116" s="3">
        <f ca="1">_xll.BDP(J116,"PX_LAST")</f>
        <v>0.40250000000000002</v>
      </c>
      <c r="J116" t="s">
        <v>192</v>
      </c>
      <c r="K116" s="3"/>
      <c r="L116" s="3"/>
      <c r="M116" s="3"/>
      <c r="N116" s="3"/>
    </row>
    <row r="117" spans="3:14" x14ac:dyDescent="0.25">
      <c r="E117" s="1">
        <f t="shared" ca="1" si="9"/>
        <v>48213</v>
      </c>
      <c r="F117" s="3">
        <f ca="1">_xll.BDP(J117,"PX_LAST")</f>
        <v>0.48249999999999998</v>
      </c>
      <c r="J117" t="s">
        <v>193</v>
      </c>
      <c r="K117" s="3"/>
      <c r="L117" s="3"/>
      <c r="M117" s="3"/>
      <c r="N117" s="3"/>
    </row>
    <row r="118" spans="3:14" x14ac:dyDescent="0.25">
      <c r="E118" s="1">
        <f t="shared" ca="1" si="9"/>
        <v>48579</v>
      </c>
      <c r="F118" s="3">
        <f ca="1">_xll.BDP(J118,"PX_LAST")</f>
        <v>0.53749999999999998</v>
      </c>
      <c r="J118" t="s">
        <v>194</v>
      </c>
      <c r="K118" s="3"/>
      <c r="L118" s="3"/>
      <c r="M118" s="3"/>
      <c r="N118" s="3"/>
    </row>
    <row r="119" spans="3:14" x14ac:dyDescent="0.25">
      <c r="E119" s="1">
        <f t="shared" ca="1" si="9"/>
        <v>48944</v>
      </c>
      <c r="F119" s="3">
        <f ca="1">_xll.BDP(J119,"PX_LAST")</f>
        <v>0.56999999999999995</v>
      </c>
      <c r="J119" t="s">
        <v>195</v>
      </c>
      <c r="K119" s="3"/>
      <c r="L119" s="3"/>
      <c r="M119" s="3"/>
      <c r="N119" s="3"/>
    </row>
    <row r="120" spans="3:14" x14ac:dyDescent="0.25">
      <c r="E120" s="1">
        <f ca="1">EDATE(E119,60)</f>
        <v>50770</v>
      </c>
      <c r="F120" s="3">
        <f ca="1">_xll.BDP(J120,"PX_LAST")</f>
        <v>0.70499999999999996</v>
      </c>
      <c r="J120" t="s">
        <v>196</v>
      </c>
      <c r="K120" s="3"/>
      <c r="L120" s="3"/>
      <c r="M120" s="3"/>
      <c r="N120" s="3"/>
    </row>
    <row r="121" spans="3:14" x14ac:dyDescent="0.25">
      <c r="E121" s="1">
        <f ca="1">EDATE(E120,60)</f>
        <v>52596</v>
      </c>
      <c r="F121" s="3">
        <f ca="1">_xll.BDP(J121,"PX_LAST")</f>
        <v>0.77500000000000002</v>
      </c>
      <c r="J121" t="s">
        <v>197</v>
      </c>
      <c r="K121" s="3"/>
      <c r="L121" s="3"/>
      <c r="M121" s="3"/>
      <c r="N121" s="3"/>
    </row>
    <row r="122" spans="3:14" x14ac:dyDescent="0.25">
      <c r="E122" s="1">
        <f ca="1">EDATE(E121,60)</f>
        <v>54423</v>
      </c>
      <c r="F122" s="3">
        <f ca="1">_xll.BDP(J122,"PX_LAST")</f>
        <v>0.77749999999999997</v>
      </c>
      <c r="J122" t="s">
        <v>198</v>
      </c>
      <c r="K122" s="3"/>
      <c r="M122" s="3"/>
      <c r="N122" s="3"/>
    </row>
    <row r="123" spans="3:14" x14ac:dyDescent="0.25">
      <c r="E123" s="1">
        <f ca="1">EDATE(E122,120)</f>
        <v>58075</v>
      </c>
      <c r="F123" s="3">
        <f ca="1">_xll.BDP(J123,"PX_LAST")</f>
        <v>0.82750000000000001</v>
      </c>
      <c r="J123" t="s">
        <v>199</v>
      </c>
      <c r="K123" s="3"/>
      <c r="M123" s="3"/>
      <c r="N123" s="3"/>
    </row>
    <row r="124" spans="3:14" x14ac:dyDescent="0.25">
      <c r="E124" s="1">
        <f ca="1">EDATE(E123,12)</f>
        <v>58440</v>
      </c>
      <c r="F124" s="3">
        <f ca="1">F123</f>
        <v>0.82750000000000001</v>
      </c>
      <c r="G124" s="3"/>
      <c r="H124" s="3"/>
      <c r="I124" s="3"/>
      <c r="J124" s="3"/>
      <c r="K124" s="3"/>
      <c r="M124" s="3"/>
      <c r="N124" s="3"/>
    </row>
    <row r="125" spans="3:14" x14ac:dyDescent="0.25">
      <c r="E125" s="1"/>
      <c r="F125" s="3"/>
      <c r="G125" s="3"/>
      <c r="H125" s="3"/>
      <c r="I125" s="3"/>
      <c r="J125" s="3"/>
      <c r="K125" s="3"/>
      <c r="M125" s="3"/>
      <c r="N125" s="3"/>
    </row>
    <row r="129" spans="1:16" x14ac:dyDescent="0.25">
      <c r="A129" s="8" t="s">
        <v>21</v>
      </c>
      <c r="B129" s="9">
        <v>6</v>
      </c>
      <c r="C129" s="9"/>
      <c r="D129" s="9">
        <v>7</v>
      </c>
      <c r="E129" s="9"/>
      <c r="F129" s="9">
        <v>100</v>
      </c>
    </row>
    <row r="130" spans="1:16" x14ac:dyDescent="0.25">
      <c r="A130" t="s">
        <v>29</v>
      </c>
      <c r="B130" t="s">
        <v>30</v>
      </c>
      <c r="C130" t="s">
        <v>31</v>
      </c>
      <c r="D130" t="s">
        <v>32</v>
      </c>
      <c r="E130" t="s">
        <v>33</v>
      </c>
      <c r="F130" t="s">
        <v>34</v>
      </c>
    </row>
    <row r="131" spans="1:16" x14ac:dyDescent="0.25">
      <c r="A131" s="1">
        <f ca="1">WORKDAY(Swap_Date,1)</f>
        <v>43466</v>
      </c>
      <c r="B131" s="3">
        <f ca="1">_xll.BDP(H131,"PX_LAST")</f>
        <v>1.75</v>
      </c>
      <c r="C131" s="1">
        <f ca="1">nextimm(Swap_Date)</f>
        <v>43544</v>
      </c>
      <c r="D131" s="3">
        <f ca="1">100-IF(ISNUMBER(_xll.BDP(I131,"PX_LAST")),_xll.BDP(I131,"PX_LAST"),100-B134)</f>
        <v>2.3100000000000023</v>
      </c>
      <c r="E131" s="1">
        <f ca="1">EDATE(Swap_Date,24)</f>
        <v>44196</v>
      </c>
      <c r="F131" s="3">
        <f ca="1">_xll.BDP(J131,"PX_LAST")</f>
        <v>2.2585999999999999</v>
      </c>
      <c r="H131" t="s">
        <v>200</v>
      </c>
      <c r="I131" t="s">
        <v>206</v>
      </c>
      <c r="J131" t="s">
        <v>214</v>
      </c>
      <c r="L131" s="3"/>
    </row>
    <row r="132" spans="1:16" x14ac:dyDescent="0.25">
      <c r="A132" s="1">
        <f ca="1">EDATE(Swap_Date,1)</f>
        <v>43496</v>
      </c>
      <c r="B132" s="3">
        <f ca="1">_xll.BDP(H132,"PX_LAST")</f>
        <v>2.2974999999999999</v>
      </c>
      <c r="C132" s="1">
        <f ca="1">nextimm(C131+1)</f>
        <v>43635</v>
      </c>
      <c r="D132" s="3">
        <f ca="1">IFERROR(100-_xll.BDP(I132,"PX_LAST"),0.5*(D131+D133))</f>
        <v>2.2850000000000037</v>
      </c>
      <c r="E132" s="1">
        <f ca="1">EDATE(E131,12)</f>
        <v>44561</v>
      </c>
      <c r="F132" s="3">
        <f ca="1">_xll.BDP(J132,"PX_LAST")</f>
        <v>2.2456</v>
      </c>
      <c r="H132" t="s">
        <v>201</v>
      </c>
      <c r="I132" t="s">
        <v>207</v>
      </c>
      <c r="J132" t="s">
        <v>215</v>
      </c>
      <c r="P132" s="3"/>
    </row>
    <row r="133" spans="1:16" x14ac:dyDescent="0.25">
      <c r="A133" s="1">
        <f ca="1">EDATE(Swap_Date,2)</f>
        <v>43524</v>
      </c>
      <c r="B133" s="3">
        <f ca="1">_xll.BDP(H133,"PX_LAST")</f>
        <v>2.2949999999999999</v>
      </c>
      <c r="C133" s="1">
        <f t="shared" ref="C133:C138" ca="1" si="10">nextimm(C132+1)</f>
        <v>43726</v>
      </c>
      <c r="D133" s="3">
        <f ca="1">100-_xll.BDP(I133,"PX_LAST")</f>
        <v>2.2600000000000051</v>
      </c>
      <c r="E133" s="1">
        <f t="shared" ref="E133:E139" ca="1" si="11">EDATE(E132,12)</f>
        <v>44926</v>
      </c>
      <c r="F133" s="3">
        <f ca="1">_xll.BDP(J133,"PX_LAST")</f>
        <v>2.2526999999999999</v>
      </c>
      <c r="H133" t="s">
        <v>202</v>
      </c>
      <c r="I133" t="s">
        <v>208</v>
      </c>
      <c r="J133" t="s">
        <v>216</v>
      </c>
      <c r="N133" s="3"/>
      <c r="P133" s="3"/>
    </row>
    <row r="134" spans="1:16" x14ac:dyDescent="0.25">
      <c r="A134" s="1">
        <f ca="1">EDATE(Swap_Date,3)</f>
        <v>43555</v>
      </c>
      <c r="B134" s="3">
        <f ca="1">_xll.BDP(H134,"PX_LAST")</f>
        <v>2.31</v>
      </c>
      <c r="C134" s="1">
        <f t="shared" ca="1" si="10"/>
        <v>43817</v>
      </c>
      <c r="D134" s="3">
        <f ca="1">100-_xll.BDP(I134,"PX_LAST")</f>
        <v>2.25</v>
      </c>
      <c r="E134" s="1">
        <f t="shared" ca="1" si="11"/>
        <v>45291</v>
      </c>
      <c r="F134" s="3">
        <f ca="1">_xll.BDP(J134,"PX_LAST")</f>
        <v>2.2757999999999998</v>
      </c>
      <c r="H134" t="s">
        <v>203</v>
      </c>
      <c r="I134" t="s">
        <v>209</v>
      </c>
      <c r="J134" t="s">
        <v>217</v>
      </c>
      <c r="N134" s="3"/>
      <c r="P134" s="3"/>
    </row>
    <row r="135" spans="1:16" x14ac:dyDescent="0.25">
      <c r="A135" s="1">
        <f ca="1">EDATE(Swap_Date,6)</f>
        <v>43646</v>
      </c>
      <c r="B135" s="3">
        <f ca="1">_xll.BDP(H135,"PX_LAST")</f>
        <v>2.34</v>
      </c>
      <c r="C135" s="1">
        <f t="shared" ca="1" si="10"/>
        <v>43908</v>
      </c>
      <c r="D135" s="3">
        <f ca="1">100-_xll.BDP(I135,"PX_LAST")</f>
        <v>2.2600000000000051</v>
      </c>
      <c r="E135" s="1">
        <f t="shared" ca="1" si="11"/>
        <v>45657</v>
      </c>
      <c r="F135" s="3">
        <f ca="1">_xll.BDP(J135,"PX_LAST")</f>
        <v>2.3031999999999999</v>
      </c>
      <c r="H135" t="s">
        <v>204</v>
      </c>
      <c r="I135" t="s">
        <v>210</v>
      </c>
      <c r="J135" t="s">
        <v>218</v>
      </c>
      <c r="N135" s="3"/>
      <c r="P135" s="3"/>
    </row>
    <row r="136" spans="1:16" x14ac:dyDescent="0.25">
      <c r="A136" s="1">
        <f ca="1">EDATE(Swap_Date,12)</f>
        <v>43830</v>
      </c>
      <c r="B136" s="3">
        <f ca="1">_xll.BDP(H136,"PX_LAST")</f>
        <v>2.5412499999999998</v>
      </c>
      <c r="C136" s="1">
        <f t="shared" ca="1" si="10"/>
        <v>43999</v>
      </c>
      <c r="D136" s="3">
        <f ca="1">100-_xll.BDP(I136,"PX_LAST")</f>
        <v>2.269999999999996</v>
      </c>
      <c r="E136" s="1">
        <f t="shared" ca="1" si="11"/>
        <v>46022</v>
      </c>
      <c r="F136" s="3">
        <f ca="1">_xll.BDP(J136,"PX_LAST")</f>
        <v>2.3380000000000001</v>
      </c>
      <c r="H136" t="s">
        <v>205</v>
      </c>
      <c r="I136" t="s">
        <v>211</v>
      </c>
      <c r="J136" t="s">
        <v>219</v>
      </c>
      <c r="N136" s="3"/>
      <c r="P136" s="3"/>
    </row>
    <row r="137" spans="1:16" x14ac:dyDescent="0.25">
      <c r="C137" s="1">
        <f t="shared" ca="1" si="10"/>
        <v>44090</v>
      </c>
      <c r="D137" s="3">
        <f ca="1">100-_xll.BDP(I137,"PX_LAST")</f>
        <v>2.2549999999999955</v>
      </c>
      <c r="E137" s="1">
        <f t="shared" ca="1" si="11"/>
        <v>46387</v>
      </c>
      <c r="F137" s="3">
        <f ca="1">_xll.BDP(J137,"PX_LAST")</f>
        <v>2.3761000000000001</v>
      </c>
      <c r="I137" t="s">
        <v>212</v>
      </c>
      <c r="J137" t="s">
        <v>220</v>
      </c>
      <c r="N137" s="3"/>
      <c r="P137" s="3"/>
    </row>
    <row r="138" spans="1:16" x14ac:dyDescent="0.25">
      <c r="C138" s="1">
        <f t="shared" ca="1" si="10"/>
        <v>44181</v>
      </c>
      <c r="D138" s="3">
        <f ca="1">100-_xll.BDP(I138,"PX_LAST")</f>
        <v>2.2349999999999994</v>
      </c>
      <c r="E138" s="1">
        <f t="shared" ca="1" si="11"/>
        <v>46752</v>
      </c>
      <c r="F138" s="3">
        <f ca="1">_xll.BDP(J138,"PX_LAST")</f>
        <v>2.4129999999999998</v>
      </c>
      <c r="I138" t="s">
        <v>213</v>
      </c>
      <c r="J138" t="s">
        <v>221</v>
      </c>
      <c r="N138" s="3"/>
      <c r="P138" s="3"/>
    </row>
    <row r="139" spans="1:16" x14ac:dyDescent="0.25">
      <c r="E139" s="1">
        <f t="shared" ca="1" si="11"/>
        <v>47118</v>
      </c>
      <c r="F139" s="3">
        <f ca="1">_xll.BDP(J139,"PX_LAST")</f>
        <v>2.4455</v>
      </c>
      <c r="J139" t="s">
        <v>222</v>
      </c>
      <c r="N139" s="3"/>
      <c r="P139" s="3"/>
    </row>
    <row r="140" spans="1:16" x14ac:dyDescent="0.25">
      <c r="E140" s="1">
        <f ca="1">EDATE(E139,24)</f>
        <v>47848</v>
      </c>
      <c r="F140" s="3">
        <f ca="1">_xll.BDP(J140,"PX_LAST")</f>
        <v>2.5167999999999999</v>
      </c>
      <c r="J140" t="s">
        <v>223</v>
      </c>
      <c r="N140" s="3"/>
      <c r="P140" s="3"/>
    </row>
    <row r="141" spans="1:16" x14ac:dyDescent="0.25">
      <c r="E141" s="1">
        <f ca="1">EDATE(E140,36)</f>
        <v>48944</v>
      </c>
      <c r="F141" s="3">
        <f ca="1">_xll.BDP(J141,"PX_LAST")</f>
        <v>2.5888</v>
      </c>
      <c r="J141" t="s">
        <v>224</v>
      </c>
      <c r="N141" s="3"/>
      <c r="P141" s="3"/>
    </row>
    <row r="142" spans="1:16" x14ac:dyDescent="0.25">
      <c r="E142" s="1">
        <f ca="1">EDATE(E141,60)</f>
        <v>50770</v>
      </c>
      <c r="F142" s="3">
        <f ca="1">_xll.BDP(J142,"PX_LAST")</f>
        <v>2.6472000000000002</v>
      </c>
      <c r="J142" t="s">
        <v>225</v>
      </c>
      <c r="P142" s="3"/>
    </row>
    <row r="143" spans="1:16" x14ac:dyDescent="0.25">
      <c r="E143" s="1">
        <f ca="1">EDATE(E142,60)</f>
        <v>52596</v>
      </c>
      <c r="F143" s="3">
        <f ca="1">_xll.BDP(J143,"PX_LAST")</f>
        <v>2.6530999999999998</v>
      </c>
      <c r="J143" t="s">
        <v>226</v>
      </c>
      <c r="P143" s="3"/>
    </row>
    <row r="144" spans="1:16" x14ac:dyDescent="0.25">
      <c r="E144" s="1">
        <f ca="1">EDATE(E143,60)</f>
        <v>54423</v>
      </c>
      <c r="F144" s="3">
        <f ca="1">_xll.BDP(J144,"PX_LAST")</f>
        <v>2.6514000000000002</v>
      </c>
      <c r="J144" t="s">
        <v>227</v>
      </c>
      <c r="P144" s="3"/>
    </row>
    <row r="145" spans="1:16" x14ac:dyDescent="0.25">
      <c r="E145" s="1">
        <f ca="1">EDATE(E144,120)</f>
        <v>58075</v>
      </c>
      <c r="F145" s="3">
        <f ca="1">_xll.BDP(J145,"PX_LAST")</f>
        <v>2.6463999999999999</v>
      </c>
      <c r="J145" t="s">
        <v>228</v>
      </c>
      <c r="P145" s="3"/>
    </row>
    <row r="146" spans="1:16" x14ac:dyDescent="0.25">
      <c r="E146" s="1">
        <f ca="1">EDATE(E145,12)</f>
        <v>58440</v>
      </c>
      <c r="F146">
        <f ca="1">F145</f>
        <v>2.6463999999999999</v>
      </c>
    </row>
    <row r="147" spans="1:16" x14ac:dyDescent="0.25">
      <c r="E147" s="3"/>
    </row>
    <row r="154" spans="1:16" x14ac:dyDescent="0.25">
      <c r="A154" s="8" t="s">
        <v>230</v>
      </c>
      <c r="B154" s="9">
        <v>6</v>
      </c>
      <c r="C154" s="9"/>
      <c r="D154" s="9">
        <v>0</v>
      </c>
      <c r="E154" s="9"/>
      <c r="F154" s="9">
        <v>100</v>
      </c>
      <c r="G154" s="3"/>
      <c r="H154" s="3" t="s">
        <v>368</v>
      </c>
      <c r="I154" s="3"/>
      <c r="J154" s="3"/>
      <c r="K154" t="s">
        <v>369</v>
      </c>
      <c r="L154">
        <f ca="1">F165-F160</f>
        <v>0.71000000000000085</v>
      </c>
    </row>
    <row r="155" spans="1:16" x14ac:dyDescent="0.25">
      <c r="A155" s="3" t="s">
        <v>29</v>
      </c>
      <c r="B155" s="3" t="s">
        <v>30</v>
      </c>
      <c r="C155" s="3" t="s">
        <v>31</v>
      </c>
      <c r="D155" s="3" t="s">
        <v>32</v>
      </c>
      <c r="E155" s="3" t="s">
        <v>33</v>
      </c>
      <c r="F155" s="3" t="s">
        <v>34</v>
      </c>
      <c r="G155" s="3"/>
      <c r="H155" s="3"/>
      <c r="I155" s="3"/>
      <c r="J155" s="3"/>
    </row>
    <row r="156" spans="1:16" x14ac:dyDescent="0.25">
      <c r="A156" s="1">
        <f ca="1">WORKDAY(Swap_Date,1)</f>
        <v>43466</v>
      </c>
      <c r="B156" s="3">
        <f ca="1">B157</f>
        <v>6.4046000000000003</v>
      </c>
      <c r="C156" s="1">
        <f ca="1">nextimm(Swap_Date)</f>
        <v>43544</v>
      </c>
      <c r="D156" s="3" t="s">
        <v>246</v>
      </c>
      <c r="E156" s="1">
        <f ca="1">EDATE(Swap_Date,12)</f>
        <v>43830</v>
      </c>
      <c r="F156" s="3">
        <f ca="1">_xll.BDP(J156,"PX_LAST")</f>
        <v>6.5488</v>
      </c>
      <c r="G156" s="3"/>
      <c r="H156" s="3"/>
      <c r="I156" s="3"/>
      <c r="J156" s="3" t="s">
        <v>236</v>
      </c>
      <c r="L156" s="20"/>
      <c r="N156">
        <v>5.7073999999999998</v>
      </c>
      <c r="O156">
        <f ca="1">F156-N156</f>
        <v>0.84140000000000015</v>
      </c>
      <c r="P156">
        <f ca="1">F156-O156</f>
        <v>5.7073999999999998</v>
      </c>
    </row>
    <row r="157" spans="1:16" x14ac:dyDescent="0.25">
      <c r="A157" s="1">
        <f ca="1">EDATE(Swap_Date,1)</f>
        <v>43496</v>
      </c>
      <c r="B157" s="3">
        <f ca="1">_xll.BDP(H157,"PX_LAST")</f>
        <v>6.4046000000000003</v>
      </c>
      <c r="C157" s="1">
        <f ca="1">nextimm(C156+1)</f>
        <v>43635</v>
      </c>
      <c r="D157" s="3" t="s">
        <v>246</v>
      </c>
      <c r="E157" s="1">
        <f ca="1">EDATE(E156,12)</f>
        <v>44196</v>
      </c>
      <c r="F157" s="3">
        <f ca="1">_xll.BDP(J157,"PX_LAST")</f>
        <v>7.3567999999999998</v>
      </c>
      <c r="G157" s="3">
        <f t="shared" ref="G157:G164" ca="1" si="12">100*(F157-F156)</f>
        <v>80.799999999999983</v>
      </c>
      <c r="H157" t="s">
        <v>231</v>
      </c>
      <c r="I157" s="3"/>
      <c r="J157" s="3" t="s">
        <v>237</v>
      </c>
      <c r="N157">
        <v>6.5526</v>
      </c>
      <c r="O157" s="3">
        <f t="shared" ref="O157:O164" ca="1" si="13">F157-N157</f>
        <v>0.8041999999999998</v>
      </c>
      <c r="P157" s="3">
        <f t="shared" ref="P157:P172" ca="1" si="14">F157-O157</f>
        <v>6.5526</v>
      </c>
    </row>
    <row r="158" spans="1:16" x14ac:dyDescent="0.25">
      <c r="A158" s="1">
        <f ca="1">EDATE(A157,1)</f>
        <v>43524</v>
      </c>
      <c r="B158" s="3">
        <f ca="1">$B$157</f>
        <v>6.4046000000000003</v>
      </c>
      <c r="C158" s="1">
        <f t="shared" ref="C158:C163" ca="1" si="15">nextimm(C157+1)</f>
        <v>43726</v>
      </c>
      <c r="D158" s="3" t="s">
        <v>246</v>
      </c>
      <c r="E158" s="1">
        <f ca="1">EDATE(E157,12)</f>
        <v>44561</v>
      </c>
      <c r="F158" s="3">
        <f ca="1">_xll.BDP(J158,"PX_LAST")</f>
        <v>8.0782000000000007</v>
      </c>
      <c r="G158" s="3">
        <f t="shared" ca="1" si="12"/>
        <v>72.1400000000001</v>
      </c>
      <c r="H158" s="3" t="s">
        <v>232</v>
      </c>
      <c r="I158" s="3"/>
      <c r="J158" s="3" t="s">
        <v>238</v>
      </c>
      <c r="N158">
        <v>7.1788999999999996</v>
      </c>
      <c r="O158" s="3">
        <f t="shared" ca="1" si="13"/>
        <v>0.8993000000000011</v>
      </c>
      <c r="P158" s="3">
        <f t="shared" ca="1" si="14"/>
        <v>7.1788999999999996</v>
      </c>
    </row>
    <row r="159" spans="1:16" x14ac:dyDescent="0.25">
      <c r="A159" s="1">
        <f ca="1">EDATE(A158,1)</f>
        <v>43552</v>
      </c>
      <c r="B159" s="3">
        <f ca="1">_xll.BDP(H159,"PX_LAST")</f>
        <v>6.43</v>
      </c>
      <c r="C159" s="1">
        <f t="shared" ca="1" si="15"/>
        <v>43817</v>
      </c>
      <c r="D159" s="3" t="s">
        <v>246</v>
      </c>
      <c r="E159" s="1">
        <f t="shared" ref="E159:E165" ca="1" si="16">EDATE(E158,12)</f>
        <v>44926</v>
      </c>
      <c r="F159" s="3">
        <f ca="1">_xll.BDP(J159,"PX_LAST")</f>
        <v>8.5319000000000003</v>
      </c>
      <c r="G159" s="3">
        <f t="shared" ca="1" si="12"/>
        <v>45.369999999999955</v>
      </c>
      <c r="H159" s="3" t="s">
        <v>233</v>
      </c>
      <c r="I159" s="3"/>
      <c r="J159" s="3" t="s">
        <v>239</v>
      </c>
      <c r="N159">
        <v>7.5522999999999998</v>
      </c>
      <c r="O159" s="3">
        <f t="shared" ca="1" si="13"/>
        <v>0.97960000000000047</v>
      </c>
      <c r="P159" s="3">
        <f t="shared" ca="1" si="14"/>
        <v>7.5522999999999998</v>
      </c>
    </row>
    <row r="160" spans="1:16" x14ac:dyDescent="0.25">
      <c r="A160" s="1">
        <f ca="1">EDATE(A159,3)</f>
        <v>43644</v>
      </c>
      <c r="B160" s="3">
        <f ca="1">_xll.BDP(H160,"PX_LAST")</f>
        <v>6.4550000000000001</v>
      </c>
      <c r="C160" s="1">
        <f t="shared" ca="1" si="15"/>
        <v>43908</v>
      </c>
      <c r="D160" s="3" t="s">
        <v>246</v>
      </c>
      <c r="E160" s="1">
        <f t="shared" ca="1" si="16"/>
        <v>45291</v>
      </c>
      <c r="F160" s="3">
        <f ca="1">_xll.BDP(J160,"PX_LAST")</f>
        <v>8.86</v>
      </c>
      <c r="G160" s="3">
        <f t="shared" ca="1" si="12"/>
        <v>32.809999999999917</v>
      </c>
      <c r="H160" s="3" t="s">
        <v>234</v>
      </c>
      <c r="I160" s="3"/>
      <c r="J160" s="3" t="s">
        <v>240</v>
      </c>
      <c r="N160">
        <v>7.8151999999999999</v>
      </c>
      <c r="O160" s="3">
        <f t="shared" ca="1" si="13"/>
        <v>1.0447999999999995</v>
      </c>
      <c r="P160" s="3">
        <f t="shared" ca="1" si="14"/>
        <v>7.8151999999999999</v>
      </c>
    </row>
    <row r="161" spans="1:16" x14ac:dyDescent="0.25">
      <c r="A161" s="1">
        <f ca="1">EDATE(A160,3)</f>
        <v>43736</v>
      </c>
      <c r="B161" s="3">
        <f ca="1">_xll.BDP(H161,"PX_LAST")</f>
        <v>6.4882999999999997</v>
      </c>
      <c r="C161" s="1">
        <f t="shared" ca="1" si="15"/>
        <v>43999</v>
      </c>
      <c r="D161" s="3" t="s">
        <v>246</v>
      </c>
      <c r="E161" s="1">
        <f t="shared" ca="1" si="16"/>
        <v>45657</v>
      </c>
      <c r="F161" s="3">
        <f ca="1">_xll.BDP(J161,"PX_LAST")</f>
        <v>9.0991</v>
      </c>
      <c r="G161" s="3">
        <f t="shared" ca="1" si="12"/>
        <v>23.910000000000053</v>
      </c>
      <c r="H161" s="3" t="s">
        <v>235</v>
      </c>
      <c r="I161" s="3"/>
      <c r="J161" s="3" t="s">
        <v>241</v>
      </c>
      <c r="N161">
        <v>8.0724999999999998</v>
      </c>
      <c r="O161" s="3">
        <f t="shared" ca="1" si="13"/>
        <v>1.0266000000000002</v>
      </c>
      <c r="P161" s="3">
        <f t="shared" ca="1" si="14"/>
        <v>8.0724999999999998</v>
      </c>
    </row>
    <row r="162" spans="1:16" x14ac:dyDescent="0.25">
      <c r="A162" s="3"/>
      <c r="B162" s="3"/>
      <c r="C162" s="1">
        <f t="shared" ca="1" si="15"/>
        <v>44090</v>
      </c>
      <c r="D162" s="3" t="s">
        <v>246</v>
      </c>
      <c r="E162" s="1">
        <f t="shared" ca="1" si="16"/>
        <v>46022</v>
      </c>
      <c r="F162" s="3">
        <f ca="1">_xll.BDP(J162,"PX_LAST")</f>
        <v>9.2792999999999992</v>
      </c>
      <c r="G162" s="3">
        <f t="shared" ca="1" si="12"/>
        <v>18.019999999999925</v>
      </c>
      <c r="H162" s="3"/>
      <c r="I162" s="3"/>
      <c r="J162" s="3" t="s">
        <v>242</v>
      </c>
      <c r="N162">
        <v>8.2072000000000003</v>
      </c>
      <c r="O162" s="3">
        <f t="shared" ca="1" si="13"/>
        <v>1.0720999999999989</v>
      </c>
      <c r="P162" s="3">
        <f t="shared" ca="1" si="14"/>
        <v>8.2072000000000003</v>
      </c>
    </row>
    <row r="163" spans="1:16" x14ac:dyDescent="0.25">
      <c r="A163" s="3"/>
      <c r="B163" s="3"/>
      <c r="C163" s="1">
        <f t="shared" ca="1" si="15"/>
        <v>44181</v>
      </c>
      <c r="D163" s="3" t="s">
        <v>246</v>
      </c>
      <c r="E163" s="1">
        <f t="shared" ca="1" si="16"/>
        <v>46387</v>
      </c>
      <c r="F163" s="3">
        <f ca="1">_xll.BDP(J163,"PX_LAST")</f>
        <v>9.4097000000000008</v>
      </c>
      <c r="G163" s="3">
        <f t="shared" ca="1" si="12"/>
        <v>13.040000000000163</v>
      </c>
      <c r="H163" s="3"/>
      <c r="I163" s="3"/>
      <c r="J163" s="3" t="s">
        <v>243</v>
      </c>
      <c r="N163">
        <v>8.3289000000000009</v>
      </c>
      <c r="O163" s="3">
        <f t="shared" ca="1" si="13"/>
        <v>1.0808</v>
      </c>
      <c r="P163" s="3">
        <f t="shared" ca="1" si="14"/>
        <v>8.3289000000000009</v>
      </c>
    </row>
    <row r="164" spans="1:16" x14ac:dyDescent="0.25">
      <c r="A164" s="3"/>
      <c r="B164" s="3"/>
      <c r="C164" s="3"/>
      <c r="D164" s="3"/>
      <c r="E164" s="1">
        <f t="shared" ca="1" si="16"/>
        <v>46752</v>
      </c>
      <c r="F164" s="3">
        <f ca="1">_xll.BDP(J164,"PX_LAST")</f>
        <v>9.4747000000000003</v>
      </c>
      <c r="G164" s="3">
        <f t="shared" ca="1" si="12"/>
        <v>6.4999999999999503</v>
      </c>
      <c r="H164" s="3"/>
      <c r="I164" s="3"/>
      <c r="J164" s="3" t="s">
        <v>244</v>
      </c>
      <c r="N164">
        <v>8.3926999999999996</v>
      </c>
      <c r="O164" s="3">
        <f t="shared" ca="1" si="13"/>
        <v>1.0820000000000007</v>
      </c>
      <c r="P164" s="3">
        <f t="shared" ca="1" si="14"/>
        <v>8.3926999999999996</v>
      </c>
    </row>
    <row r="165" spans="1:16" x14ac:dyDescent="0.25">
      <c r="A165" s="3"/>
      <c r="B165" s="3"/>
      <c r="C165" s="3"/>
      <c r="D165" s="3"/>
      <c r="E165" s="1">
        <f t="shared" ca="1" si="16"/>
        <v>47118</v>
      </c>
      <c r="F165" s="3">
        <f ca="1">_xll.BDP(J165,"PX_LAST")</f>
        <v>9.57</v>
      </c>
      <c r="G165" s="3">
        <f ca="1">100*(F165-F164)</f>
        <v>9.529999999999994</v>
      </c>
      <c r="H165" s="3"/>
      <c r="I165" s="3"/>
      <c r="J165" s="3" t="s">
        <v>245</v>
      </c>
      <c r="O165" s="3">
        <f ca="1">O164</f>
        <v>1.0820000000000007</v>
      </c>
      <c r="P165" s="3">
        <f t="shared" ca="1" si="14"/>
        <v>8.4879999999999995</v>
      </c>
    </row>
    <row r="166" spans="1:16" x14ac:dyDescent="0.25">
      <c r="A166" s="3"/>
      <c r="B166" s="3"/>
      <c r="C166" s="3"/>
      <c r="D166" s="3"/>
      <c r="E166" s="1">
        <f ca="1">EDATE(E165,24)</f>
        <v>47848</v>
      </c>
      <c r="F166" s="3">
        <f ca="1">F165+(E166-E165)/(E167-E165)*(F167-F165)</f>
        <v>9.7119222343921141</v>
      </c>
      <c r="G166" s="3"/>
      <c r="H166" s="3"/>
      <c r="I166" s="3"/>
      <c r="J166" s="3" t="s">
        <v>245</v>
      </c>
      <c r="O166" s="3">
        <f t="shared" ref="O166:O172" ca="1" si="17">O165</f>
        <v>1.0820000000000007</v>
      </c>
      <c r="P166" s="3">
        <f t="shared" ca="1" si="14"/>
        <v>8.6299222343921134</v>
      </c>
    </row>
    <row r="167" spans="1:16" x14ac:dyDescent="0.25">
      <c r="A167" s="3"/>
      <c r="B167" s="3"/>
      <c r="C167" s="3"/>
      <c r="D167" s="3"/>
      <c r="E167" s="1">
        <f ca="1">EDATE(E166,36)</f>
        <v>48944</v>
      </c>
      <c r="F167" s="3">
        <f ca="1">F165+(F165-F160)/2</f>
        <v>9.9250000000000007</v>
      </c>
      <c r="G167" s="3"/>
      <c r="H167" s="3"/>
      <c r="I167" s="3"/>
      <c r="J167" s="3" t="s">
        <v>245</v>
      </c>
      <c r="O167" s="3">
        <f t="shared" ca="1" si="17"/>
        <v>1.0820000000000007</v>
      </c>
      <c r="P167" s="3">
        <f t="shared" ca="1" si="14"/>
        <v>8.843</v>
      </c>
    </row>
    <row r="168" spans="1:16" x14ac:dyDescent="0.25">
      <c r="A168" s="3"/>
      <c r="B168" s="3"/>
      <c r="C168" s="3"/>
      <c r="D168" s="3"/>
      <c r="E168" s="1">
        <f ca="1">EDATE(E167,60)</f>
        <v>50770</v>
      </c>
      <c r="F168" s="3">
        <f ca="1">F167+(F165-F160)/4</f>
        <v>10.102500000000001</v>
      </c>
      <c r="G168" s="3"/>
      <c r="H168" s="3"/>
      <c r="I168" s="3"/>
      <c r="J168" s="3" t="s">
        <v>245</v>
      </c>
      <c r="O168" s="3">
        <f t="shared" ca="1" si="17"/>
        <v>1.0820000000000007</v>
      </c>
      <c r="P168" s="3">
        <f t="shared" ca="1" si="14"/>
        <v>9.0205000000000002</v>
      </c>
    </row>
    <row r="169" spans="1:16" x14ac:dyDescent="0.25">
      <c r="A169" s="3"/>
      <c r="B169" s="3"/>
      <c r="C169" s="3"/>
      <c r="D169" s="3"/>
      <c r="E169" s="1">
        <f ca="1">EDATE(E168,60)</f>
        <v>52596</v>
      </c>
      <c r="F169" s="3">
        <f ca="1">F168+(F165-F160)/8</f>
        <v>10.19125</v>
      </c>
      <c r="G169" s="3"/>
      <c r="H169" s="3"/>
      <c r="I169" s="3"/>
      <c r="J169" s="3" t="s">
        <v>245</v>
      </c>
      <c r="O169" s="3">
        <f t="shared" ca="1" si="17"/>
        <v>1.0820000000000007</v>
      </c>
      <c r="P169" s="3">
        <f t="shared" ca="1" si="14"/>
        <v>9.1092499999999994</v>
      </c>
    </row>
    <row r="170" spans="1:16" x14ac:dyDescent="0.25">
      <c r="A170" s="3"/>
      <c r="B170" s="3"/>
      <c r="C170" s="3"/>
      <c r="D170" s="3"/>
      <c r="E170" s="1">
        <f ca="1">EDATE(E169,60)</f>
        <v>54423</v>
      </c>
      <c r="F170" s="3">
        <f ca="1">F169+(F165-F160)/16</f>
        <v>10.235625000000001</v>
      </c>
      <c r="G170" s="3"/>
      <c r="H170" s="3"/>
      <c r="I170" s="3"/>
      <c r="J170" s="3" t="s">
        <v>245</v>
      </c>
      <c r="O170" s="3">
        <f t="shared" ca="1" si="17"/>
        <v>1.0820000000000007</v>
      </c>
      <c r="P170" s="3">
        <f t="shared" ca="1" si="14"/>
        <v>9.1536249999999999</v>
      </c>
    </row>
    <row r="171" spans="1:16" x14ac:dyDescent="0.25">
      <c r="A171" s="3"/>
      <c r="B171" s="3"/>
      <c r="C171" s="3"/>
      <c r="D171" s="3"/>
      <c r="E171" s="1">
        <f ca="1">EDATE(E170,120)</f>
        <v>58075</v>
      </c>
      <c r="F171" s="3">
        <f ca="1">F170+(F165-F160)/64</f>
        <v>10.246718750000001</v>
      </c>
      <c r="G171" s="3"/>
      <c r="H171" s="3"/>
      <c r="I171" s="3"/>
      <c r="J171" s="3" t="s">
        <v>245</v>
      </c>
      <c r="O171" s="3">
        <f t="shared" ca="1" si="17"/>
        <v>1.0820000000000007</v>
      </c>
      <c r="P171" s="3">
        <f t="shared" ca="1" si="14"/>
        <v>9.1647187500000005</v>
      </c>
    </row>
    <row r="172" spans="1:16" x14ac:dyDescent="0.25">
      <c r="E172" s="1">
        <f ca="1">EDATE(E171,12)</f>
        <v>58440</v>
      </c>
      <c r="F172" s="3">
        <f ca="1">F171</f>
        <v>10.246718750000001</v>
      </c>
      <c r="J172" s="3" t="s">
        <v>245</v>
      </c>
      <c r="O172" s="3">
        <f t="shared" ca="1" si="17"/>
        <v>1.0820000000000007</v>
      </c>
      <c r="P172" s="3">
        <f t="shared" ca="1" si="14"/>
        <v>9.1647187500000005</v>
      </c>
    </row>
    <row r="173" spans="1:16" x14ac:dyDescent="0.25">
      <c r="E173" s="3"/>
    </row>
    <row r="179" spans="1:17" x14ac:dyDescent="0.25">
      <c r="A179" s="3" t="s">
        <v>510</v>
      </c>
      <c r="B179" s="3">
        <v>8</v>
      </c>
      <c r="C179" s="3"/>
      <c r="D179" s="3">
        <v>0</v>
      </c>
      <c r="E179" s="3"/>
      <c r="F179" s="3">
        <v>100</v>
      </c>
      <c r="G179" s="3"/>
      <c r="H179" s="3"/>
      <c r="I179" s="3"/>
      <c r="J179" s="3"/>
    </row>
    <row r="180" spans="1:17" x14ac:dyDescent="0.25">
      <c r="A180" s="3" t="s">
        <v>29</v>
      </c>
      <c r="B180" s="3" t="s">
        <v>30</v>
      </c>
      <c r="C180" s="3" t="s">
        <v>31</v>
      </c>
      <c r="D180" s="3" t="s">
        <v>32</v>
      </c>
      <c r="E180" s="3" t="s">
        <v>33</v>
      </c>
      <c r="F180" s="3" t="s">
        <v>34</v>
      </c>
      <c r="G180" s="3"/>
      <c r="H180" s="3"/>
      <c r="I180" s="3"/>
      <c r="J180" s="3"/>
    </row>
    <row r="181" spans="1:17" x14ac:dyDescent="0.25">
      <c r="A181" s="1">
        <f ca="1">WORKDAY(Swap_Date,1)</f>
        <v>43466</v>
      </c>
      <c r="B181" s="3">
        <f ca="1">_xll.BDP(H181,"PX_LAST")</f>
        <v>4.25</v>
      </c>
      <c r="C181" s="1">
        <f ca="1">nextimm(Swap_Date)</f>
        <v>43544</v>
      </c>
      <c r="D181" s="3" t="s">
        <v>246</v>
      </c>
      <c r="E181" s="1">
        <f ca="1">EDATE(Swap_Date,24)</f>
        <v>44196</v>
      </c>
      <c r="F181" s="3">
        <f ca="1">_xll.BDP(J181,"PX_LAST")</f>
        <v>4.62</v>
      </c>
      <c r="G181" s="3"/>
      <c r="H181" s="3" t="s">
        <v>511</v>
      </c>
      <c r="I181" s="3" t="s">
        <v>141</v>
      </c>
      <c r="J181" s="3" t="s">
        <v>512</v>
      </c>
    </row>
    <row r="182" spans="1:17" x14ac:dyDescent="0.25">
      <c r="A182" s="1">
        <f ca="1">EDATE(Swap_Date,1)</f>
        <v>43496</v>
      </c>
      <c r="B182" s="3">
        <f ca="1">_xll.BDP(H182,"PX_LAST")</f>
        <v>4.125</v>
      </c>
      <c r="C182" s="1">
        <f ca="1">nextimm(C181+1)</f>
        <v>43635</v>
      </c>
      <c r="D182" s="3" t="s">
        <v>246</v>
      </c>
      <c r="E182" s="1">
        <f ca="1">EDATE(E181,12)</f>
        <v>44561</v>
      </c>
      <c r="F182" s="3">
        <f ca="1">_xll.BDP(J182,"PX_LAST")</f>
        <v>4.9000000000000004</v>
      </c>
      <c r="G182" s="3"/>
      <c r="H182" s="3" t="s">
        <v>531</v>
      </c>
      <c r="I182" s="3" t="s">
        <v>142</v>
      </c>
      <c r="J182" s="3" t="s">
        <v>513</v>
      </c>
      <c r="Q182" s="3"/>
    </row>
    <row r="183" spans="1:17" x14ac:dyDescent="0.25">
      <c r="A183" s="1">
        <f ca="1">EDATE(Swap_Date,2)</f>
        <v>43524</v>
      </c>
      <c r="B183" s="3">
        <f ca="1">0.5*(B182+B184)</f>
        <v>4.1349999999999998</v>
      </c>
      <c r="C183" s="1">
        <f t="shared" ref="C183:C188" ca="1" si="18">nextimm(C182+1)</f>
        <v>43726</v>
      </c>
      <c r="D183" s="3" t="s">
        <v>246</v>
      </c>
      <c r="E183" s="1">
        <f t="shared" ref="E183:E196" ca="1" si="19">EDATE(E182,12)</f>
        <v>44926</v>
      </c>
      <c r="F183" s="3">
        <f ca="1">_xll.BDP(J183,"PX_LAST")</f>
        <v>5.14</v>
      </c>
      <c r="G183" s="3"/>
      <c r="H183" s="3"/>
      <c r="I183" s="3" t="s">
        <v>143</v>
      </c>
      <c r="J183" s="3" t="s">
        <v>514</v>
      </c>
      <c r="Q183" s="3"/>
    </row>
    <row r="184" spans="1:17" x14ac:dyDescent="0.25">
      <c r="A184" s="1">
        <f ca="1">EDATE(Swap_Date,3)</f>
        <v>43555</v>
      </c>
      <c r="B184" s="3">
        <f ca="1">_xll.BDP(H184,"PX_LAST")</f>
        <v>4.1449999999999996</v>
      </c>
      <c r="C184" s="1">
        <f t="shared" ca="1" si="18"/>
        <v>43817</v>
      </c>
      <c r="D184" s="3" t="s">
        <v>246</v>
      </c>
      <c r="E184" s="1">
        <f t="shared" ca="1" si="19"/>
        <v>45291</v>
      </c>
      <c r="F184" s="3">
        <f ca="1">_xll.BDP(J184,"PX_LAST")</f>
        <v>5.36</v>
      </c>
      <c r="G184" s="3"/>
      <c r="H184" s="3" t="s">
        <v>532</v>
      </c>
      <c r="I184" s="3" t="s">
        <v>144</v>
      </c>
      <c r="J184" s="3" t="s">
        <v>515</v>
      </c>
      <c r="Q184" s="3"/>
    </row>
    <row r="185" spans="1:17" x14ac:dyDescent="0.25">
      <c r="A185" s="1">
        <f ca="1">EDATE(Swap_Date,9)</f>
        <v>43738</v>
      </c>
      <c r="B185" s="3">
        <f ca="1">_xll.BDP(H185,"PX_LAST")</f>
        <v>4.29</v>
      </c>
      <c r="C185" s="1">
        <f t="shared" ca="1" si="18"/>
        <v>43908</v>
      </c>
      <c r="D185" s="3" t="s">
        <v>246</v>
      </c>
      <c r="E185" s="1">
        <f t="shared" ca="1" si="19"/>
        <v>45657</v>
      </c>
      <c r="F185" s="3">
        <f ca="1">_xll.BDP(J185,"PX_LAST")</f>
        <v>5.54</v>
      </c>
      <c r="G185" s="3"/>
      <c r="H185" s="3" t="s">
        <v>533</v>
      </c>
      <c r="I185" s="3" t="s">
        <v>145</v>
      </c>
      <c r="J185" s="3" t="s">
        <v>516</v>
      </c>
      <c r="Q185" s="3"/>
    </row>
    <row r="186" spans="1:17" x14ac:dyDescent="0.25">
      <c r="A186" s="1">
        <f ca="1">EDATE(Swap_Date,12)</f>
        <v>43830</v>
      </c>
      <c r="B186" s="3">
        <f ca="1">_xll.BDP(H186,"PX_LAST")</f>
        <v>4.4000000000000004</v>
      </c>
      <c r="C186" s="1">
        <f t="shared" ca="1" si="18"/>
        <v>43999</v>
      </c>
      <c r="D186" s="3" t="s">
        <v>246</v>
      </c>
      <c r="E186" s="1">
        <f t="shared" ca="1" si="19"/>
        <v>46022</v>
      </c>
      <c r="F186" s="3">
        <f ca="1">_xll.BDP(J186,"PX_LAST")</f>
        <v>5.71</v>
      </c>
      <c r="G186" s="3"/>
      <c r="H186" s="3" t="s">
        <v>534</v>
      </c>
      <c r="I186" s="3" t="s">
        <v>146</v>
      </c>
      <c r="J186" s="3" t="s">
        <v>517</v>
      </c>
      <c r="Q186" s="3"/>
    </row>
    <row r="187" spans="1:17" x14ac:dyDescent="0.25">
      <c r="A187" s="11">
        <f ca="1">EDATE(Swap_Date,18)</f>
        <v>44012</v>
      </c>
      <c r="B187" s="3">
        <f ca="1">_xll.BDP(H187,"PX_LAST")</f>
        <v>4.58</v>
      </c>
      <c r="C187" s="1">
        <f t="shared" ca="1" si="18"/>
        <v>44090</v>
      </c>
      <c r="D187" s="3" t="s">
        <v>246</v>
      </c>
      <c r="E187" s="1">
        <f t="shared" ca="1" si="19"/>
        <v>46387</v>
      </c>
      <c r="F187" s="3">
        <f ca="1">_xll.BDP(J187,"PX_LAST")</f>
        <v>5.9</v>
      </c>
      <c r="G187" s="3"/>
      <c r="H187" s="3" t="s">
        <v>535</v>
      </c>
      <c r="I187" s="3" t="s">
        <v>147</v>
      </c>
      <c r="J187" s="3" t="s">
        <v>518</v>
      </c>
      <c r="Q187" s="3"/>
    </row>
    <row r="188" spans="1:17" x14ac:dyDescent="0.25">
      <c r="A188" s="11">
        <f ca="1">EDATE(Swap_Date,24)</f>
        <v>44196</v>
      </c>
      <c r="B188" s="12">
        <f ca="1">B187+(B187-B186)</f>
        <v>4.76</v>
      </c>
      <c r="C188" s="1">
        <f t="shared" ca="1" si="18"/>
        <v>44181</v>
      </c>
      <c r="D188" s="3" t="s">
        <v>246</v>
      </c>
      <c r="E188" s="1">
        <f t="shared" ca="1" si="19"/>
        <v>46752</v>
      </c>
      <c r="F188" s="3">
        <f ca="1">_xll.BDP(J188,"PX_LAST")</f>
        <v>6.02</v>
      </c>
      <c r="G188" s="3"/>
      <c r="H188" s="3"/>
      <c r="I188" s="3" t="s">
        <v>148</v>
      </c>
      <c r="J188" s="3" t="s">
        <v>519</v>
      </c>
      <c r="Q188" s="3"/>
    </row>
    <row r="189" spans="1:17" x14ac:dyDescent="0.25">
      <c r="A189" s="3"/>
      <c r="B189" s="3"/>
      <c r="C189" s="3"/>
      <c r="D189" s="3"/>
      <c r="E189" s="1">
        <f t="shared" ca="1" si="19"/>
        <v>47118</v>
      </c>
      <c r="F189" s="3">
        <f ca="1">_xll.BDP(J189,"PX_LAST")</f>
        <v>6.1150000000000002</v>
      </c>
      <c r="G189" s="3"/>
      <c r="H189" s="3"/>
      <c r="I189" s="3"/>
      <c r="J189" s="3" t="s">
        <v>520</v>
      </c>
      <c r="Q189" s="3"/>
    </row>
    <row r="190" spans="1:17" x14ac:dyDescent="0.25">
      <c r="A190" s="3"/>
      <c r="B190" s="3"/>
      <c r="C190" s="3"/>
      <c r="D190" s="3"/>
      <c r="E190" s="1">
        <f t="shared" ca="1" si="19"/>
        <v>47483</v>
      </c>
      <c r="F190" s="3">
        <f ca="1">0.5*(F189+F191)</f>
        <v>6.1750000000000007</v>
      </c>
      <c r="G190" s="3"/>
      <c r="H190" s="3"/>
      <c r="I190" s="3"/>
      <c r="J190" s="3" t="s">
        <v>521</v>
      </c>
      <c r="Q190" s="3"/>
    </row>
    <row r="191" spans="1:17" x14ac:dyDescent="0.25">
      <c r="A191" s="3"/>
      <c r="B191" s="3"/>
      <c r="C191" s="3"/>
      <c r="D191" s="3"/>
      <c r="E191" s="1">
        <f t="shared" ca="1" si="19"/>
        <v>47848</v>
      </c>
      <c r="F191" s="3">
        <f ca="1">_xll.BDP(J191,"PX_LAST")</f>
        <v>6.2350000000000003</v>
      </c>
      <c r="G191" s="3"/>
      <c r="H191" s="3"/>
      <c r="I191" s="3"/>
      <c r="J191" s="3" t="s">
        <v>522</v>
      </c>
      <c r="Q191" s="3"/>
    </row>
    <row r="192" spans="1:17" x14ac:dyDescent="0.25">
      <c r="A192" s="3"/>
      <c r="B192" s="3"/>
      <c r="C192" s="3"/>
      <c r="D192" s="3"/>
      <c r="E192" s="1">
        <f t="shared" ca="1" si="19"/>
        <v>48213</v>
      </c>
      <c r="F192" s="3">
        <f ca="1">1/3*(F194-F191)+F191</f>
        <v>6.3050000000000006</v>
      </c>
      <c r="G192" s="3"/>
      <c r="H192" s="3"/>
      <c r="I192" s="3"/>
      <c r="J192" s="3" t="s">
        <v>523</v>
      </c>
      <c r="Q192" s="3"/>
    </row>
    <row r="193" spans="1:17" x14ac:dyDescent="0.25">
      <c r="A193" s="3"/>
      <c r="B193" s="3"/>
      <c r="C193" s="3"/>
      <c r="D193" s="3"/>
      <c r="E193" s="1">
        <f t="shared" ca="1" si="19"/>
        <v>48579</v>
      </c>
      <c r="F193" s="3">
        <f ca="1">2/3*(F194-F191)+F191</f>
        <v>6.375</v>
      </c>
      <c r="G193" s="3"/>
      <c r="H193" s="3"/>
      <c r="I193" s="3"/>
      <c r="J193" s="3" t="s">
        <v>524</v>
      </c>
      <c r="Q193" s="3"/>
    </row>
    <row r="194" spans="1:17" x14ac:dyDescent="0.25">
      <c r="A194" s="3"/>
      <c r="B194" s="3"/>
      <c r="C194" s="3"/>
      <c r="D194" s="3"/>
      <c r="E194" s="1">
        <f t="shared" ca="1" si="19"/>
        <v>48944</v>
      </c>
      <c r="F194" s="3">
        <f ca="1">_xll.BDP(J194,"PX_LAST")</f>
        <v>6.4450000000000003</v>
      </c>
      <c r="G194" s="3"/>
      <c r="H194" s="3"/>
      <c r="I194" s="3"/>
      <c r="J194" s="3" t="s">
        <v>525</v>
      </c>
      <c r="Q194" s="3"/>
    </row>
    <row r="195" spans="1:17" x14ac:dyDescent="0.25">
      <c r="A195" s="3"/>
      <c r="B195" s="3"/>
      <c r="C195" s="3"/>
      <c r="D195" s="3"/>
      <c r="E195" s="1">
        <f t="shared" ca="1" si="19"/>
        <v>49309</v>
      </c>
      <c r="F195" s="3">
        <f ca="1">1/5*(F197-F194)+F194</f>
        <v>6.4930000000000003</v>
      </c>
      <c r="G195" s="3"/>
      <c r="H195" s="3"/>
      <c r="I195" s="3"/>
      <c r="J195" s="3" t="s">
        <v>526</v>
      </c>
      <c r="Q195" s="3"/>
    </row>
    <row r="196" spans="1:17" x14ac:dyDescent="0.25">
      <c r="A196" s="3"/>
      <c r="B196" s="3"/>
      <c r="C196" s="3"/>
      <c r="D196" s="3"/>
      <c r="E196" s="1">
        <f t="shared" ca="1" si="19"/>
        <v>49674</v>
      </c>
      <c r="F196" s="3">
        <f ca="1">2/5*(F197-F194)+F194</f>
        <v>6.5410000000000004</v>
      </c>
      <c r="G196" s="3"/>
      <c r="H196" s="3"/>
      <c r="I196" s="3"/>
      <c r="J196" s="3" t="s">
        <v>527</v>
      </c>
      <c r="Q196" s="3"/>
    </row>
    <row r="197" spans="1:17" x14ac:dyDescent="0.25">
      <c r="A197" s="3"/>
      <c r="B197" s="3"/>
      <c r="C197" s="3"/>
      <c r="D197" s="3"/>
      <c r="E197" s="1">
        <f ca="1">EDATE(E196,36)</f>
        <v>50770</v>
      </c>
      <c r="F197" s="3">
        <f ca="1">_xll.BDP(J197,"PX_LAST")</f>
        <v>6.6849999999999996</v>
      </c>
      <c r="G197" s="3"/>
      <c r="H197" s="3"/>
      <c r="I197" s="3"/>
      <c r="J197" s="3" t="s">
        <v>528</v>
      </c>
      <c r="Q197" s="3"/>
    </row>
    <row r="198" spans="1:17" x14ac:dyDescent="0.25">
      <c r="A198" s="3"/>
      <c r="B198" s="3"/>
      <c r="C198" s="3"/>
      <c r="D198" s="3"/>
      <c r="E198" s="1">
        <f ca="1">EDATE(E197,60)</f>
        <v>52596</v>
      </c>
      <c r="F198" s="3">
        <f ca="1">F197</f>
        <v>6.6849999999999996</v>
      </c>
      <c r="G198" s="3"/>
      <c r="H198" s="3"/>
      <c r="I198" s="3"/>
      <c r="J198" s="3"/>
    </row>
    <row r="199" spans="1:17" x14ac:dyDescent="0.25">
      <c r="A199" s="3"/>
      <c r="B199" s="3"/>
      <c r="C199" s="3"/>
      <c r="D199" s="3"/>
      <c r="E199" s="1">
        <f ca="1">EDATE(E198,60)</f>
        <v>54423</v>
      </c>
      <c r="F199" s="3">
        <f t="shared" ref="F199:F201" ca="1" si="20">F198</f>
        <v>6.6849999999999996</v>
      </c>
      <c r="G199" s="3"/>
      <c r="H199" s="3"/>
      <c r="I199" s="3"/>
      <c r="J199" s="3"/>
    </row>
    <row r="200" spans="1:17" x14ac:dyDescent="0.25">
      <c r="A200" s="3"/>
      <c r="B200" s="3"/>
      <c r="C200" s="3"/>
      <c r="D200" s="3"/>
      <c r="E200" s="1">
        <f ca="1">EDATE(E199,120)</f>
        <v>58075</v>
      </c>
      <c r="F200" s="3">
        <f t="shared" ca="1" si="20"/>
        <v>6.6849999999999996</v>
      </c>
      <c r="G200" s="3"/>
      <c r="H200" s="3"/>
      <c r="I200" s="3"/>
      <c r="J200" s="3"/>
    </row>
    <row r="201" spans="1:17" x14ac:dyDescent="0.25">
      <c r="A201" s="3"/>
      <c r="B201" s="3"/>
      <c r="C201" s="3"/>
      <c r="D201" s="3"/>
      <c r="E201" s="1">
        <f ca="1">EDATE(E200,12)</f>
        <v>58440</v>
      </c>
      <c r="F201" s="3">
        <f t="shared" ca="1" si="20"/>
        <v>6.6849999999999996</v>
      </c>
      <c r="G201" s="3"/>
      <c r="H201" s="3"/>
      <c r="I201" s="3"/>
      <c r="J201" s="3"/>
    </row>
    <row r="202" spans="1:17" x14ac:dyDescent="0.25">
      <c r="E202" s="1"/>
      <c r="F202" s="3"/>
    </row>
  </sheetData>
  <mergeCells count="4">
    <mergeCell ref="M56:N56"/>
    <mergeCell ref="A1:B1"/>
    <mergeCell ref="A2:B2"/>
    <mergeCell ref="A3:B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6F53-610F-486F-BF86-3AD86C025B10}">
  <sheetPr codeName="Sheet33"/>
  <dimension ref="A1:P201"/>
  <sheetViews>
    <sheetView topLeftCell="A100" zoomScale="70" zoomScaleNormal="70" workbookViewId="0">
      <selection activeCell="P121" sqref="P121"/>
    </sheetView>
  </sheetViews>
  <sheetFormatPr defaultColWidth="8.85546875" defaultRowHeight="15" x14ac:dyDescent="0.25"/>
  <cols>
    <col min="1" max="1" width="9.28515625" style="3" customWidth="1"/>
    <col min="2" max="2" width="8.85546875" style="3"/>
    <col min="3" max="3" width="12.7109375" style="3" customWidth="1"/>
    <col min="4" max="4" width="10.42578125" style="3" customWidth="1"/>
    <col min="5" max="5" width="9.5703125" style="3" bestFit="1" customWidth="1"/>
    <col min="6" max="6" width="10.85546875" style="3" customWidth="1"/>
    <col min="7" max="8" width="8.85546875" style="3"/>
    <col min="9" max="9" width="11.7109375" style="3" customWidth="1"/>
    <col min="10" max="10" width="8.85546875" style="3"/>
    <col min="11" max="11" width="14.28515625" style="3" customWidth="1"/>
    <col min="12" max="16384" width="8.85546875" style="3"/>
  </cols>
  <sheetData>
    <row r="1" spans="1:10" x14ac:dyDescent="0.25">
      <c r="A1" s="64" t="s">
        <v>69</v>
      </c>
      <c r="B1" s="64"/>
      <c r="C1" s="10"/>
    </row>
    <row r="2" spans="1:10" x14ac:dyDescent="0.25">
      <c r="A2" s="64" t="s">
        <v>70</v>
      </c>
      <c r="B2" s="64"/>
      <c r="C2" s="10"/>
    </row>
    <row r="3" spans="1:10" x14ac:dyDescent="0.25">
      <c r="A3" s="64" t="s">
        <v>71</v>
      </c>
      <c r="B3" s="64"/>
      <c r="C3" s="4"/>
      <c r="E3" s="2"/>
      <c r="F3" s="4"/>
      <c r="I3" s="4"/>
    </row>
    <row r="4" spans="1:10" x14ac:dyDescent="0.25">
      <c r="A4" s="3" t="s">
        <v>12</v>
      </c>
      <c r="B4" s="3">
        <v>6</v>
      </c>
      <c r="D4" s="3">
        <v>7</v>
      </c>
      <c r="F4" s="3">
        <v>100</v>
      </c>
      <c r="H4" s="3" t="s">
        <v>35</v>
      </c>
    </row>
    <row r="5" spans="1:10" x14ac:dyDescent="0.25">
      <c r="A5" s="3" t="s">
        <v>29</v>
      </c>
      <c r="B5" s="3" t="s">
        <v>30</v>
      </c>
      <c r="C5" s="3" t="s">
        <v>31</v>
      </c>
      <c r="D5" s="3" t="s">
        <v>32</v>
      </c>
      <c r="E5" s="3" t="s">
        <v>33</v>
      </c>
      <c r="F5" s="3" t="s">
        <v>34</v>
      </c>
    </row>
    <row r="6" spans="1:10" x14ac:dyDescent="0.25">
      <c r="A6" s="1">
        <f ca="1">WORKDAY(Swap_Date,1)</f>
        <v>43466</v>
      </c>
      <c r="B6" s="3">
        <f ca="1">_xll.BDH(H6,"PX_LAST",Cash_Date,Cash_Date)</f>
        <v>2.37825</v>
      </c>
      <c r="C6" s="1">
        <f ca="1">nextimm(Swap_Date)</f>
        <v>43544</v>
      </c>
      <c r="D6" s="3">
        <f ca="1">IF(ISNUMBER(100-_xll.BDH(I6,"PX_LAST",Future_Date,Future_Date)),100-_xll.BDH(I6,"PX_LAST",Future_Date,Future_Date),B9)</f>
        <v>3.2249999999999943</v>
      </c>
      <c r="E6" s="1">
        <f ca="1">EDATE(Swap_Date,24)</f>
        <v>44196</v>
      </c>
      <c r="F6" s="3">
        <f ca="1">_xll.BDH(J6,"PX_LAST",Swap_Date,Swap_Date)</f>
        <v>2.657</v>
      </c>
      <c r="H6" s="3" t="s">
        <v>36</v>
      </c>
      <c r="I6" s="3" t="s">
        <v>42</v>
      </c>
      <c r="J6" s="3" t="s">
        <v>50</v>
      </c>
    </row>
    <row r="7" spans="1:10" x14ac:dyDescent="0.25">
      <c r="A7" s="1">
        <f ca="1">EDATE(Swap_Date,1)</f>
        <v>43496</v>
      </c>
      <c r="B7" s="3">
        <f ca="1">_xll.BDH(H7,"PX_LAST",Cash_Date,Cash_Date)</f>
        <v>2.5026899999999999</v>
      </c>
      <c r="C7" s="1">
        <f ca="1">nextimm(C6+1)</f>
        <v>43635</v>
      </c>
      <c r="D7" s="3">
        <f ca="1">IFERROR(100-_xll.BDH(I7,"PX_LAST",Future_Date,Future_Date),0.5*(D6+D8))</f>
        <v>3.230000000000004</v>
      </c>
      <c r="E7" s="1">
        <f ca="1">EDATE(E6,12)</f>
        <v>44561</v>
      </c>
      <c r="F7" s="3">
        <f ca="1">_xll.BDH(J7,"PX_LAST",Swap_Date,Swap_Date)</f>
        <v>2.59</v>
      </c>
      <c r="H7" s="3" t="s">
        <v>37</v>
      </c>
      <c r="I7" s="3" t="s">
        <v>43</v>
      </c>
      <c r="J7" s="3" t="s">
        <v>51</v>
      </c>
    </row>
    <row r="8" spans="1:10" x14ac:dyDescent="0.25">
      <c r="A8" s="1">
        <f ca="1">EDATE(Swap_Date,2)</f>
        <v>43524</v>
      </c>
      <c r="B8" s="3">
        <f ca="1">_xll.BDH(H8,"PX_LAST",Cash_Date,Cash_Date)</f>
        <v>2.61375</v>
      </c>
      <c r="C8" s="1">
        <f t="shared" ref="C8:C13" ca="1" si="0">nextimm(C7+1)</f>
        <v>43726</v>
      </c>
      <c r="D8" s="3">
        <f ca="1">100-_xll.BDH(I8,"PX_LAST",Future_Date,Future_Date)</f>
        <v>2.7099999999999937</v>
      </c>
      <c r="E8" s="1">
        <f t="shared" ref="E8:E21" ca="1" si="1">EDATE(E7,12)</f>
        <v>44926</v>
      </c>
      <c r="F8" s="3">
        <f ca="1">_xll.BDH(J8,"PX_LAST",Swap_Date,Swap_Date)</f>
        <v>2.5682999999999998</v>
      </c>
      <c r="H8" s="3" t="s">
        <v>38</v>
      </c>
      <c r="I8" s="3" t="s">
        <v>44</v>
      </c>
      <c r="J8" s="3" t="s">
        <v>52</v>
      </c>
    </row>
    <row r="9" spans="1:10" x14ac:dyDescent="0.25">
      <c r="A9" s="1">
        <f ca="1">EDATE(Swap_Date,3)</f>
        <v>43555</v>
      </c>
      <c r="B9" s="3">
        <f ca="1">_xll.BDH(H9,"PX_LAST",Cash_Date,Cash_Date)</f>
        <v>2.8076300000000001</v>
      </c>
      <c r="C9" s="1">
        <f t="shared" ca="1" si="0"/>
        <v>43817</v>
      </c>
      <c r="D9" s="3">
        <f ca="1">100-_xll.BDH(I9,"PX_LAST",Future_Date,Future_Date)</f>
        <v>2.6850000000000023</v>
      </c>
      <c r="E9" s="1">
        <f t="shared" ca="1" si="1"/>
        <v>45291</v>
      </c>
      <c r="F9" s="3">
        <f ca="1">_xll.BDH(J9,"PX_LAST",Swap_Date,Swap_Date)</f>
        <v>2.57</v>
      </c>
      <c r="H9" s="3" t="s">
        <v>39</v>
      </c>
      <c r="I9" s="3" t="s">
        <v>45</v>
      </c>
      <c r="J9" s="3" t="s">
        <v>53</v>
      </c>
    </row>
    <row r="10" spans="1:10" x14ac:dyDescent="0.25">
      <c r="A10" s="1">
        <f ca="1">EDATE(Swap_Date,6)</f>
        <v>43646</v>
      </c>
      <c r="B10" s="3">
        <f ca="1">_xll.BDH(H10,"PX_LAST",Cash_Date,Cash_Date)</f>
        <v>2.8756300000000001</v>
      </c>
      <c r="C10" s="1">
        <f t="shared" ca="1" si="0"/>
        <v>43908</v>
      </c>
      <c r="D10" s="3">
        <f ca="1">100-_xll.BDH(I10,"PX_LAST",Future_Date,Future_Date)</f>
        <v>2.6599999999999966</v>
      </c>
      <c r="E10" s="1">
        <f t="shared" ca="1" si="1"/>
        <v>45657</v>
      </c>
      <c r="F10" s="3">
        <f ca="1">_xll.BDH(J10,"PX_LAST",Swap_Date,Swap_Date)</f>
        <v>2.5922999999999998</v>
      </c>
      <c r="H10" s="3" t="s">
        <v>40</v>
      </c>
      <c r="I10" s="3" t="s">
        <v>46</v>
      </c>
      <c r="J10" s="3" t="s">
        <v>54</v>
      </c>
    </row>
    <row r="11" spans="1:10" x14ac:dyDescent="0.25">
      <c r="A11" s="1">
        <f ca="1">EDATE(Swap_Date,12)</f>
        <v>43830</v>
      </c>
      <c r="B11" s="3">
        <f ca="1">_xll.BDH(H11,"PX_LAST",Cash_Date,Cash_Date)</f>
        <v>3.0054400000000001</v>
      </c>
      <c r="C11" s="1">
        <f t="shared" ca="1" si="0"/>
        <v>43999</v>
      </c>
      <c r="D11" s="3">
        <f ca="1">100-_xll.BDH(I11,"PX_LAST",Future_Date,Future_Date)</f>
        <v>2.6500000000000057</v>
      </c>
      <c r="E11" s="1">
        <f t="shared" ca="1" si="1"/>
        <v>46022</v>
      </c>
      <c r="F11" s="3">
        <f ca="1">_xll.BDH(J11,"PX_LAST",Swap_Date,Swap_Date)</f>
        <v>2.6240999999999999</v>
      </c>
      <c r="H11" s="3" t="s">
        <v>41</v>
      </c>
      <c r="I11" s="3" t="s">
        <v>47</v>
      </c>
      <c r="J11" s="3" t="s">
        <v>55</v>
      </c>
    </row>
    <row r="12" spans="1:10" x14ac:dyDescent="0.25">
      <c r="C12" s="1">
        <f t="shared" ca="1" si="0"/>
        <v>44090</v>
      </c>
      <c r="D12" s="3">
        <f ca="1">100-_xll.BDH(I12,"PX_LAST",Future_Date,Future_Date)</f>
        <v>2.5550000000000068</v>
      </c>
      <c r="E12" s="1">
        <f t="shared" ca="1" si="1"/>
        <v>46387</v>
      </c>
      <c r="F12" s="3">
        <f ca="1">_xll.BDH(J12,"PX_LAST",Swap_Date,Swap_Date)</f>
        <v>2.6520000000000001</v>
      </c>
      <c r="I12" s="3" t="s">
        <v>48</v>
      </c>
      <c r="J12" s="3" t="s">
        <v>56</v>
      </c>
    </row>
    <row r="13" spans="1:10" x14ac:dyDescent="0.25">
      <c r="C13" s="1">
        <f t="shared" ca="1" si="0"/>
        <v>44181</v>
      </c>
      <c r="D13" s="3">
        <f ca="1">100-_xll.BDH(I13,"PX_LAST",Future_Date,Future_Date)</f>
        <v>2.4950000000000045</v>
      </c>
      <c r="E13" s="1">
        <f t="shared" ca="1" si="1"/>
        <v>46752</v>
      </c>
      <c r="F13" s="3">
        <f ca="1">_xll.BDH(J13,"PX_LAST",Swap_Date,Swap_Date)</f>
        <v>2.6829999999999998</v>
      </c>
      <c r="I13" s="3" t="s">
        <v>49</v>
      </c>
      <c r="J13" s="3" t="s">
        <v>57</v>
      </c>
    </row>
    <row r="14" spans="1:10" x14ac:dyDescent="0.25">
      <c r="E14" s="1">
        <f t="shared" ca="1" si="1"/>
        <v>47118</v>
      </c>
      <c r="F14" s="3">
        <f ca="1">_xll.BDH(J14,"PX_LAST",Swap_Date,Swap_Date)</f>
        <v>2.7053000000000003</v>
      </c>
      <c r="J14" s="3" t="s">
        <v>26</v>
      </c>
    </row>
    <row r="15" spans="1:10" x14ac:dyDescent="0.25">
      <c r="E15" s="1">
        <f t="shared" ca="1" si="1"/>
        <v>47483</v>
      </c>
      <c r="F15" s="3">
        <f ca="1">_xll.BDH(J15,"PX_LAST",Swap_Date,Swap_Date)</f>
        <v>2.7362000000000002</v>
      </c>
      <c r="J15" s="3" t="s">
        <v>58</v>
      </c>
    </row>
    <row r="16" spans="1:10" x14ac:dyDescent="0.25">
      <c r="E16" s="1">
        <f t="shared" ca="1" si="1"/>
        <v>47848</v>
      </c>
      <c r="F16" s="3">
        <f ca="1">_xll.BDH(J16,"PX_LAST",Swap_Date,Swap_Date)</f>
        <v>2.7498</v>
      </c>
      <c r="J16" s="3" t="s">
        <v>59</v>
      </c>
    </row>
    <row r="17" spans="1:10" x14ac:dyDescent="0.25">
      <c r="E17" s="1">
        <f t="shared" ca="1" si="1"/>
        <v>48213</v>
      </c>
      <c r="F17" s="3">
        <f ca="1">_xll.BDH(J17,"PX_LAST",Swap_Date,Swap_Date)</f>
        <v>2.7774999999999999</v>
      </c>
      <c r="J17" s="3" t="s">
        <v>60</v>
      </c>
    </row>
    <row r="18" spans="1:10" x14ac:dyDescent="0.25">
      <c r="E18" s="1">
        <f t="shared" ca="1" si="1"/>
        <v>48579</v>
      </c>
      <c r="F18" s="3">
        <f ca="1">_xll.BDH(J18,"PX_LAST",Swap_Date,Swap_Date)</f>
        <v>2.7835000000000001</v>
      </c>
      <c r="J18" s="3" t="s">
        <v>61</v>
      </c>
    </row>
    <row r="19" spans="1:10" x14ac:dyDescent="0.25">
      <c r="E19" s="1">
        <f t="shared" ca="1" si="1"/>
        <v>48944</v>
      </c>
      <c r="F19" s="3">
        <f ca="1">_xll.BDH(J19,"PX_LAST",Swap_Date,Swap_Date)</f>
        <v>2.8005</v>
      </c>
      <c r="J19" s="3" t="s">
        <v>62</v>
      </c>
    </row>
    <row r="20" spans="1:10" x14ac:dyDescent="0.25">
      <c r="E20" s="1">
        <f t="shared" ca="1" si="1"/>
        <v>49309</v>
      </c>
      <c r="F20" s="3">
        <f ca="1">IF(ISNUMBER(_xll.BDH(J20,"PX_LAST",Swap_Date,Swap_Date)),_xll.BDH(J20,"PX_LAST",Swap_Date,Swap_Date),0.2*(F22-F19)+F19)</f>
        <v>2.8079999999999998</v>
      </c>
      <c r="J20" s="3" t="s">
        <v>63</v>
      </c>
    </row>
    <row r="21" spans="1:10" x14ac:dyDescent="0.25">
      <c r="E21" s="1">
        <f t="shared" ca="1" si="1"/>
        <v>49674</v>
      </c>
      <c r="F21" s="3">
        <f ca="1">IF(ISNUMBER(_xll.BDH(J21,"PX_LAST",Swap_Date,Swap_Date)),_xll.BDH(J21,"PX_LAST",Swap_Date,Swap_Date),0.4*(F22-F19)+F19)</f>
        <v>2.8149999999999999</v>
      </c>
      <c r="J21" s="3" t="s">
        <v>64</v>
      </c>
    </row>
    <row r="22" spans="1:10" x14ac:dyDescent="0.25">
      <c r="E22" s="1">
        <f ca="1">EDATE(E21,36)</f>
        <v>50770</v>
      </c>
      <c r="F22" s="3">
        <f ca="1">_xll.BDH(J22,"PX_LAST",Swap_Date,Swap_Date)</f>
        <v>2.8359000000000001</v>
      </c>
      <c r="J22" s="3" t="s">
        <v>65</v>
      </c>
    </row>
    <row r="23" spans="1:10" x14ac:dyDescent="0.25">
      <c r="E23" s="1">
        <f ca="1">EDATE(E22,60)</f>
        <v>52596</v>
      </c>
      <c r="F23" s="3">
        <f ca="1">_xll.BDH(J23,"PX_LAST",Swap_Date,Swap_Date)</f>
        <v>2.8393000000000002</v>
      </c>
      <c r="J23" s="3" t="s">
        <v>66</v>
      </c>
    </row>
    <row r="24" spans="1:10" x14ac:dyDescent="0.25">
      <c r="E24" s="1">
        <f ca="1">EDATE(E23,60)</f>
        <v>54423</v>
      </c>
      <c r="F24" s="3">
        <f ca="1">_xll.BDH(J24,"PX_LAST",Swap_Date,Swap_Date)</f>
        <v>2.8380999999999998</v>
      </c>
      <c r="J24" s="3" t="s">
        <v>67</v>
      </c>
    </row>
    <row r="25" spans="1:10" x14ac:dyDescent="0.25">
      <c r="E25" s="1">
        <f ca="1">EDATE(E24,120)</f>
        <v>58075</v>
      </c>
      <c r="F25" s="3">
        <f ca="1">_xll.BDH(J25,"PX_LAST",Swap_Date,Swap_Date)</f>
        <v>2.8048999999999999</v>
      </c>
      <c r="J25" s="3" t="s">
        <v>68</v>
      </c>
    </row>
    <row r="26" spans="1:10" x14ac:dyDescent="0.25">
      <c r="E26" s="1">
        <f ca="1">EDATE(E25,12)</f>
        <v>58440</v>
      </c>
      <c r="F26" s="3">
        <f ca="1">F25</f>
        <v>2.8048999999999999</v>
      </c>
    </row>
    <row r="29" spans="1:10" x14ac:dyDescent="0.25">
      <c r="A29" s="3" t="s">
        <v>13</v>
      </c>
      <c r="B29" s="3">
        <v>6</v>
      </c>
      <c r="D29" s="3">
        <v>7</v>
      </c>
      <c r="F29" s="3">
        <v>100</v>
      </c>
    </row>
    <row r="30" spans="1:10" x14ac:dyDescent="0.25">
      <c r="A30" s="3" t="s">
        <v>29</v>
      </c>
      <c r="B30" s="3" t="s">
        <v>30</v>
      </c>
      <c r="C30" s="3" t="s">
        <v>31</v>
      </c>
      <c r="D30" s="3" t="s">
        <v>32</v>
      </c>
      <c r="E30" s="3" t="s">
        <v>33</v>
      </c>
      <c r="F30" s="3" t="s">
        <v>34</v>
      </c>
    </row>
    <row r="31" spans="1:10" x14ac:dyDescent="0.25">
      <c r="A31" s="1">
        <f ca="1">WORKDAY(Swap_Date,1)</f>
        <v>43466</v>
      </c>
      <c r="B31" s="3">
        <f ca="1">_xll.BDH(H31,"PX_LAST",Cash_Date,Cash_Date)</f>
        <v>-0.35</v>
      </c>
      <c r="C31" s="1">
        <f ca="1">nextimm(Swap_Date)</f>
        <v>43544</v>
      </c>
      <c r="D31" s="3">
        <f ca="1">IF(ISNUMBER(100-_xll.BDH(I31,"PX_LAST",Future_Date,Future_Date)),100-_xll.BDH(I31,"PX_LAST",Future_Date,Future_Date),B34)</f>
        <v>-0.309</v>
      </c>
      <c r="E31" s="1">
        <f ca="1">EDATE(Swap_Date,24)</f>
        <v>44196</v>
      </c>
      <c r="F31" s="3">
        <f ca="1">_xll.BDH(J31,"PX_LAST",Swap_Date,Swap_Date)</f>
        <v>-0.17499999999999999</v>
      </c>
      <c r="H31" s="3" t="s">
        <v>6</v>
      </c>
      <c r="I31" s="3" t="s">
        <v>77</v>
      </c>
      <c r="J31" s="3" t="s">
        <v>85</v>
      </c>
    </row>
    <row r="32" spans="1:10" x14ac:dyDescent="0.25">
      <c r="A32" s="1">
        <f ca="1">EDATE(Swap_Date,1)</f>
        <v>43496</v>
      </c>
      <c r="B32" s="3">
        <f ca="1">_xll.BDH(H32,"PX_LAST",Cash_Date,Cash_Date)</f>
        <v>-0.36299999999999999</v>
      </c>
      <c r="C32" s="1">
        <f ca="1">nextimm(C31+1)</f>
        <v>43635</v>
      </c>
      <c r="D32" s="3">
        <f ca="1">IFERROR(100-_xll.BDH(I32,"PX_LAST",Future_Date,Future_Date),0.5*(D31+D33))</f>
        <v>-0.30200000000000082</v>
      </c>
      <c r="E32" s="1">
        <f ca="1">EDATE(E31,12)</f>
        <v>44561</v>
      </c>
      <c r="F32" s="3">
        <f ca="1">_xll.BDH(J32,"PX_LAST",Swap_Date,Swap_Date)</f>
        <v>-7.6999999999999999E-2</v>
      </c>
      <c r="H32" s="3" t="s">
        <v>72</v>
      </c>
      <c r="I32" s="3" t="s">
        <v>78</v>
      </c>
      <c r="J32" s="3" t="s">
        <v>86</v>
      </c>
    </row>
    <row r="33" spans="1:10" x14ac:dyDescent="0.25">
      <c r="A33" s="1">
        <f ca="1">EDATE(Swap_Date,2)</f>
        <v>43524</v>
      </c>
      <c r="B33" s="3">
        <f ca="1">IF(ISNUMBER(_xll.BDH(H33,"PX_LAST",Cash_Date,Cash_Date)),_xll.BDH(H33,"PX_LAST",Cash_Date,Cash_Date),0.5*(B32+B34))</f>
        <v>-0.33599999999999997</v>
      </c>
      <c r="C33" s="1">
        <f t="shared" ref="C33:C38" ca="1" si="2">nextimm(C32+1)</f>
        <v>43726</v>
      </c>
      <c r="D33" s="3">
        <f ca="1">100-_xll.BDH(I33,"PX_LAST",Future_Date,Future_Date)</f>
        <v>-0.29500000000000171</v>
      </c>
      <c r="E33" s="1">
        <f t="shared" ref="E33:E46" ca="1" si="3">EDATE(E32,12)</f>
        <v>44926</v>
      </c>
      <c r="F33" s="3">
        <f ca="1">_xll.BDH(J33,"PX_LAST",Swap_Date,Swap_Date)</f>
        <v>5.3900000000000003E-2</v>
      </c>
      <c r="H33" s="3" t="s">
        <v>73</v>
      </c>
      <c r="I33" s="3" t="s">
        <v>79</v>
      </c>
      <c r="J33" s="3" t="s">
        <v>89</v>
      </c>
    </row>
    <row r="34" spans="1:10" x14ac:dyDescent="0.25">
      <c r="A34" s="1">
        <f ca="1">EDATE(Swap_Date,3)</f>
        <v>43555</v>
      </c>
      <c r="B34" s="3">
        <f ca="1">_xll.BDH(H34,"PX_LAST",Cash_Date,Cash_Date)</f>
        <v>-0.309</v>
      </c>
      <c r="C34" s="1">
        <f t="shared" ca="1" si="2"/>
        <v>43817</v>
      </c>
      <c r="D34" s="3">
        <f ca="1">100-_xll.BDH(I34,"PX_LAST",Future_Date,Future_Date)</f>
        <v>-0.29000000000000625</v>
      </c>
      <c r="E34" s="1">
        <f t="shared" ca="1" si="3"/>
        <v>45291</v>
      </c>
      <c r="F34" s="3">
        <f ca="1">_xll.BDH(J34,"PX_LAST",Swap_Date,Swap_Date)</f>
        <v>0.19800000000000001</v>
      </c>
      <c r="H34" s="3" t="s">
        <v>74</v>
      </c>
      <c r="I34" s="3" t="s">
        <v>80</v>
      </c>
      <c r="J34" s="3" t="s">
        <v>87</v>
      </c>
    </row>
    <row r="35" spans="1:10" x14ac:dyDescent="0.25">
      <c r="A35" s="1">
        <f ca="1">EDATE(Swap_Date,6)</f>
        <v>43646</v>
      </c>
      <c r="B35" s="3">
        <f ca="1">_xll.BDH(H35,"PX_LAST",Cash_Date,Cash_Date)</f>
        <v>-0.23699999999999999</v>
      </c>
      <c r="C35" s="1">
        <f t="shared" ca="1" si="2"/>
        <v>43908</v>
      </c>
      <c r="D35" s="3">
        <f ca="1">100-_xll.BDH(I35,"PX_LAST",Future_Date,Future_Date)</f>
        <v>-0.27500000000000568</v>
      </c>
      <c r="E35" s="1">
        <f t="shared" ca="1" si="3"/>
        <v>45657</v>
      </c>
      <c r="F35" s="3">
        <f ca="1">_xll.BDH(J35,"PX_LAST",Swap_Date,Swap_Date)</f>
        <v>0.33650000000000002</v>
      </c>
      <c r="H35" s="3" t="s">
        <v>75</v>
      </c>
      <c r="I35" s="3" t="s">
        <v>81</v>
      </c>
      <c r="J35" s="3" t="s">
        <v>90</v>
      </c>
    </row>
    <row r="36" spans="1:10" x14ac:dyDescent="0.25">
      <c r="A36" s="1">
        <f ca="1">EDATE(Swap_Date,12)</f>
        <v>43830</v>
      </c>
      <c r="B36" s="3">
        <f ca="1">_xll.BDH(H36,"PX_LAST",Cash_Date,Cash_Date)</f>
        <v>-0.11700000000000001</v>
      </c>
      <c r="C36" s="1">
        <f t="shared" ca="1" si="2"/>
        <v>43999</v>
      </c>
      <c r="D36" s="3">
        <f ca="1">100-_xll.BDH(I36,"PX_LAST",Future_Date,Future_Date)</f>
        <v>-0.25</v>
      </c>
      <c r="E36" s="1">
        <f t="shared" ca="1" si="3"/>
        <v>46022</v>
      </c>
      <c r="F36" s="3">
        <f ca="1">_xll.BDH(J36,"PX_LAST",Swap_Date,Swap_Date)</f>
        <v>0.46850000000000003</v>
      </c>
      <c r="H36" s="3" t="s">
        <v>76</v>
      </c>
      <c r="I36" s="3" t="s">
        <v>82</v>
      </c>
      <c r="J36" s="3" t="s">
        <v>88</v>
      </c>
    </row>
    <row r="37" spans="1:10" x14ac:dyDescent="0.25">
      <c r="C37" s="1">
        <f t="shared" ca="1" si="2"/>
        <v>44090</v>
      </c>
      <c r="D37" s="3">
        <f ca="1">100-_xll.BDH(I37,"PX_LAST",Future_Date,Future_Date)</f>
        <v>-0.21999999999999886</v>
      </c>
      <c r="E37" s="1">
        <f t="shared" ca="1" si="3"/>
        <v>46387</v>
      </c>
      <c r="F37" s="3">
        <f ca="1">_xll.BDH(J37,"PX_LAST",Swap_Date,Swap_Date)</f>
        <v>0.59250000000000003</v>
      </c>
      <c r="I37" s="3" t="s">
        <v>83</v>
      </c>
      <c r="J37" s="3" t="s">
        <v>91</v>
      </c>
    </row>
    <row r="38" spans="1:10" x14ac:dyDescent="0.25">
      <c r="C38" s="1">
        <f t="shared" ca="1" si="2"/>
        <v>44181</v>
      </c>
      <c r="D38" s="3">
        <f ca="1">100-_xll.BDH(I38,"PX_LAST",Future_Date,Future_Date)</f>
        <v>-0.17000000000000171</v>
      </c>
      <c r="E38" s="1">
        <f t="shared" ca="1" si="3"/>
        <v>46752</v>
      </c>
      <c r="F38" s="3">
        <f ca="1">_xll.BDH(J38,"PX_LAST",Swap_Date,Swap_Date)</f>
        <v>0.70779999999999998</v>
      </c>
      <c r="I38" s="3" t="s">
        <v>84</v>
      </c>
      <c r="J38" s="3" t="s">
        <v>92</v>
      </c>
    </row>
    <row r="39" spans="1:10" x14ac:dyDescent="0.25">
      <c r="E39" s="1">
        <f t="shared" ca="1" si="3"/>
        <v>47118</v>
      </c>
      <c r="F39" s="3">
        <f ca="1">_xll.BDH(J39,"PX_LAST",Swap_Date,Swap_Date)</f>
        <v>0.81130000000000002</v>
      </c>
      <c r="J39" s="3" t="s">
        <v>27</v>
      </c>
    </row>
    <row r="40" spans="1:10" x14ac:dyDescent="0.25">
      <c r="E40" s="1">
        <f t="shared" ca="1" si="3"/>
        <v>47483</v>
      </c>
      <c r="F40" s="3">
        <f ca="1">_xll.BDH(J40,"PX_LAST",Swap_Date,Swap_Date)</f>
        <v>0.90249999999999997</v>
      </c>
      <c r="J40" s="3" t="s">
        <v>93</v>
      </c>
    </row>
    <row r="41" spans="1:10" x14ac:dyDescent="0.25">
      <c r="E41" s="1">
        <f t="shared" ca="1" si="3"/>
        <v>47848</v>
      </c>
      <c r="F41" s="3">
        <f ca="1">IF(ISNUMBER(_xll.BDH(J41,"PX_LAST",Swap_Date,Swap_Date)),_xll.BDH(J41,"PX_LAST",Swap_Date,Swap_Date),0.5*(F40+F42))</f>
        <v>0.9786999999999999</v>
      </c>
      <c r="J41" s="3" t="s">
        <v>94</v>
      </c>
    </row>
    <row r="42" spans="1:10" x14ac:dyDescent="0.25">
      <c r="E42" s="1">
        <f t="shared" ca="1" si="3"/>
        <v>48213</v>
      </c>
      <c r="F42" s="3">
        <f ca="1">_xll.BDH(J42,"PX_LAST",Swap_Date,Swap_Date)</f>
        <v>1.0548999999999999</v>
      </c>
      <c r="J42" s="3" t="s">
        <v>95</v>
      </c>
    </row>
    <row r="43" spans="1:10" x14ac:dyDescent="0.25">
      <c r="E43" s="1">
        <f t="shared" ca="1" si="3"/>
        <v>48579</v>
      </c>
      <c r="F43" s="3">
        <f ca="1">_xll.BDH(J43,"PX_LAST",Swap_Date,Swap_Date)</f>
        <v>1.1172</v>
      </c>
      <c r="J43" s="3" t="s">
        <v>96</v>
      </c>
    </row>
    <row r="44" spans="1:10" x14ac:dyDescent="0.25">
      <c r="E44" s="1">
        <f t="shared" ca="1" si="3"/>
        <v>48944</v>
      </c>
      <c r="F44" s="3">
        <f ca="1">_xll.BDH(J44,"PX_LAST",Swap_Date,Swap_Date)</f>
        <v>1.1698</v>
      </c>
      <c r="J44" s="3" t="s">
        <v>97</v>
      </c>
    </row>
    <row r="45" spans="1:10" x14ac:dyDescent="0.25">
      <c r="E45" s="1">
        <f t="shared" ca="1" si="3"/>
        <v>49309</v>
      </c>
      <c r="F45" s="3">
        <f ca="1">_xll.BDH(J45,"PX_LAST",Swap_Date,Swap_Date)</f>
        <v>1.2070000000000001</v>
      </c>
      <c r="J45" s="3" t="s">
        <v>98</v>
      </c>
    </row>
    <row r="46" spans="1:10" x14ac:dyDescent="0.25">
      <c r="E46" s="1">
        <f t="shared" ca="1" si="3"/>
        <v>49674</v>
      </c>
      <c r="F46" s="3">
        <f ca="1">IF(ISNUMBER(_xll.BDH(J46,"PX_LAST",Swap_Date,Swap_Date)),_xll.BDH(J46,"PX_LAST",Swap_Date,Swap_Date),0.5*(F43+F47))</f>
        <v>1.222</v>
      </c>
      <c r="J46" s="3" t="s">
        <v>99</v>
      </c>
    </row>
    <row r="47" spans="1:10" x14ac:dyDescent="0.25">
      <c r="E47" s="1">
        <f ca="1">EDATE(E46,36)</f>
        <v>50770</v>
      </c>
      <c r="F47" s="3">
        <f ca="1">_xll.BDH(J47,"PX_LAST",Swap_Date,Swap_Date)</f>
        <v>1.3268</v>
      </c>
      <c r="J47" s="3" t="s">
        <v>100</v>
      </c>
    </row>
    <row r="48" spans="1:10" x14ac:dyDescent="0.25">
      <c r="E48" s="1">
        <f ca="1">EDATE(E47,60)</f>
        <v>52596</v>
      </c>
      <c r="F48" s="3">
        <f ca="1">_xll.BDH(J48,"PX_LAST",Swap_Date,Swap_Date)</f>
        <v>1.3728</v>
      </c>
      <c r="J48" s="3" t="s">
        <v>101</v>
      </c>
    </row>
    <row r="49" spans="1:16" x14ac:dyDescent="0.25">
      <c r="E49" s="1">
        <f ca="1">EDATE(E48,60)</f>
        <v>54423</v>
      </c>
      <c r="F49" s="3">
        <f ca="1">IF(ISNUMBER(_xll.BDH(J49,"PX_LAST",Swap_Date,Swap_Date)),_xll.BDH(J49,"PX_LAST",Swap_Date,Swap_Date),0.5*(F50+F47))</f>
        <v>1.3532999999999999</v>
      </c>
      <c r="J49" s="3" t="s">
        <v>102</v>
      </c>
    </row>
    <row r="50" spans="1:16" x14ac:dyDescent="0.25">
      <c r="E50" s="1">
        <f ca="1">EDATE(E49,120)</f>
        <v>58075</v>
      </c>
      <c r="F50" s="3">
        <f ca="1">_xll.BDH(J50,"PX_LAST",Swap_Date,Swap_Date)</f>
        <v>1.3797999999999999</v>
      </c>
      <c r="J50" s="3" t="s">
        <v>103</v>
      </c>
    </row>
    <row r="51" spans="1:16" x14ac:dyDescent="0.25">
      <c r="E51" s="1">
        <f ca="1">EDATE(E50,12)</f>
        <v>58440</v>
      </c>
      <c r="F51" s="3">
        <f ca="1">F50</f>
        <v>1.3797999999999999</v>
      </c>
    </row>
    <row r="54" spans="1:16" x14ac:dyDescent="0.25">
      <c r="A54" s="3" t="s">
        <v>19</v>
      </c>
      <c r="B54" s="3">
        <v>6</v>
      </c>
      <c r="D54" s="3">
        <v>7</v>
      </c>
      <c r="F54" s="3">
        <v>100</v>
      </c>
    </row>
    <row r="55" spans="1:16" x14ac:dyDescent="0.25">
      <c r="A55" s="3" t="s">
        <v>29</v>
      </c>
      <c r="B55" s="3" t="s">
        <v>30</v>
      </c>
      <c r="C55" s="3" t="s">
        <v>31</v>
      </c>
      <c r="D55" s="3" t="s">
        <v>32</v>
      </c>
      <c r="E55" s="3" t="s">
        <v>33</v>
      </c>
      <c r="F55" s="3" t="s">
        <v>34</v>
      </c>
    </row>
    <row r="56" spans="1:16" ht="15.6" customHeight="1" x14ac:dyDescent="0.25">
      <c r="A56" s="1">
        <f ca="1">WORKDAY(Swap_Date,1)</f>
        <v>43466</v>
      </c>
      <c r="B56" s="3">
        <f ca="1">_xll.BDH(H56,"PX_LAST",Cash_Date,Cash_Date)</f>
        <v>-9.7670000000000007E-2</v>
      </c>
      <c r="C56" s="1">
        <f ca="1">nextimm(Swap_Date)</f>
        <v>43544</v>
      </c>
      <c r="D56" s="3">
        <f ca="1">IF(ISNUMBER(100-_xll.BDH(I56,"PX_LAST",Future_Date,Future_Date)),100-_xll.BDH(I56,"PX_LAST",Future_Date,Future_Date),B59)</f>
        <v>-7.2669999999999998E-2</v>
      </c>
      <c r="E56" s="1">
        <f ca="1">EDATE(Swap_Date,24)</f>
        <v>44196</v>
      </c>
      <c r="F56" s="3">
        <f ca="1">_xll.BDH(J56,"PX_LAST",Swap_Date,Swap_Date)</f>
        <v>7.4999999999999997E-3</v>
      </c>
      <c r="H56" s="3" t="s">
        <v>0</v>
      </c>
      <c r="I56" s="3" t="s">
        <v>104</v>
      </c>
      <c r="J56" s="3" t="s">
        <v>112</v>
      </c>
      <c r="M56" s="63" t="s">
        <v>132</v>
      </c>
      <c r="N56" s="63"/>
      <c r="P56" s="3">
        <v>-8.5330000000000003E-2</v>
      </c>
    </row>
    <row r="57" spans="1:16" ht="15.6" customHeight="1" x14ac:dyDescent="0.25">
      <c r="A57" s="1">
        <f ca="1">EDATE(Swap_Date,1)</f>
        <v>43496</v>
      </c>
      <c r="B57" s="3">
        <f ca="1">_xll.BDH(H57,"PX_LAST",Cash_Date,Cash_Date)</f>
        <v>-0.10767</v>
      </c>
      <c r="C57" s="1">
        <f ca="1">nextimm(C56+1)</f>
        <v>43635</v>
      </c>
      <c r="D57" s="3" t="e">
        <f ca="1">IFERROR(100-_xll.BDH(I57,"PX_LAST",Future_Date,Future_Date),0.5*(D56+D58))</f>
        <v>#VALUE!</v>
      </c>
      <c r="E57" s="1">
        <f ca="1">EDATE(E56,12)</f>
        <v>44561</v>
      </c>
      <c r="F57" s="3">
        <f ca="1">_xll.BDH(J57,"PX_LAST",Swap_Date,Swap_Date)</f>
        <v>7.4999999999999997E-3</v>
      </c>
      <c r="H57" s="3" t="s">
        <v>1</v>
      </c>
      <c r="I57" s="3" t="s">
        <v>105</v>
      </c>
      <c r="J57" s="3" t="s">
        <v>113</v>
      </c>
      <c r="M57" s="5" t="s">
        <v>133</v>
      </c>
      <c r="N57" s="6">
        <f ca="1">_xll.BDP("JYSSTL1 index","PX_LAST")</f>
        <v>9.25</v>
      </c>
      <c r="P57" s="3">
        <v>-0.107</v>
      </c>
    </row>
    <row r="58" spans="1:16" ht="15.6" customHeight="1" x14ac:dyDescent="0.25">
      <c r="A58" s="1">
        <f ca="1">EDATE(Swap_Date,2)</f>
        <v>43524</v>
      </c>
      <c r="B58" s="3">
        <f ca="1">IF(ISNUMBER(_xll.BDH(H58,"PX_LAST",Cash_Date,Cash_Date)),_xll.BDH(H58,"PX_LAST",Cash_Date,Cash_Date),0.5*(B57+B59))</f>
        <v>-7.8329999999999997E-2</v>
      </c>
      <c r="C58" s="1">
        <f t="shared" ref="C58:C63" ca="1" si="4">nextimm(C57+1)</f>
        <v>43726</v>
      </c>
      <c r="D58" s="3" t="e">
        <f ca="1">100-_xll.BDH(I58,"PX_LAST",Future_Date,Future_Date)</f>
        <v>#VALUE!</v>
      </c>
      <c r="E58" s="1">
        <f t="shared" ref="E58:E71" ca="1" si="5">EDATE(E57,12)</f>
        <v>44926</v>
      </c>
      <c r="F58" s="3">
        <f ca="1">_xll.BDH(J58,"PX_LAST",Swap_Date,Swap_Date)</f>
        <v>1.188E-2</v>
      </c>
      <c r="H58" s="3" t="s">
        <v>2</v>
      </c>
      <c r="I58" s="3" t="s">
        <v>106</v>
      </c>
      <c r="J58" s="3" t="s">
        <v>114</v>
      </c>
      <c r="M58" s="5" t="s">
        <v>134</v>
      </c>
      <c r="N58" s="7">
        <f ca="1">_xll.BDP("JYSSTL2 index","PX_LAST")</f>
        <v>9.5</v>
      </c>
      <c r="P58" s="3">
        <v>-0.13500000000000001</v>
      </c>
    </row>
    <row r="59" spans="1:16" x14ac:dyDescent="0.25">
      <c r="A59" s="1">
        <f ca="1">EDATE(Swap_Date,3)</f>
        <v>43555</v>
      </c>
      <c r="B59" s="3">
        <f ca="1">_xll.BDH(H59,"PX_LAST",Cash_Date,Cash_Date)</f>
        <v>-7.2669999999999998E-2</v>
      </c>
      <c r="C59" s="1">
        <f t="shared" ca="1" si="4"/>
        <v>43817</v>
      </c>
      <c r="D59" s="3" t="e">
        <f ca="1">100-_xll.BDH(I59,"PX_LAST",Future_Date,Future_Date)</f>
        <v>#VALUE!</v>
      </c>
      <c r="E59" s="1">
        <f t="shared" ca="1" si="5"/>
        <v>45291</v>
      </c>
      <c r="F59" s="3">
        <f ca="1">_xll.BDH(J59,"PX_LAST",Swap_Date,Swap_Date)</f>
        <v>2.375E-2</v>
      </c>
      <c r="H59" s="3" t="s">
        <v>3</v>
      </c>
      <c r="I59" s="3" t="s">
        <v>107</v>
      </c>
      <c r="J59" s="3" t="s">
        <v>115</v>
      </c>
      <c r="P59" s="3">
        <v>-0.11466999999999999</v>
      </c>
    </row>
    <row r="60" spans="1:16" x14ac:dyDescent="0.25">
      <c r="A60" s="1">
        <f ca="1">EDATE(Swap_Date,6)</f>
        <v>43646</v>
      </c>
      <c r="B60" s="3">
        <f ca="1">_xll.BDH(H60,"PX_LAST",Cash_Date,Cash_Date)</f>
        <v>9.8300000000000002E-3</v>
      </c>
      <c r="C60" s="1">
        <f t="shared" ca="1" si="4"/>
        <v>43908</v>
      </c>
      <c r="D60" s="3" t="e">
        <f ca="1">100-_xll.BDH(I60,"PX_LAST",Future_Date,Future_Date)</f>
        <v>#VALUE!</v>
      </c>
      <c r="E60" s="1">
        <f t="shared" ca="1" si="5"/>
        <v>45657</v>
      </c>
      <c r="F60" s="3" t="str">
        <f ca="1">_xll.BDH(J60,"PX_LAST",Swap_Date,Swap_Date)</f>
        <v>#N/A N/A</v>
      </c>
      <c r="H60" s="3" t="s">
        <v>4</v>
      </c>
      <c r="I60" s="3" t="s">
        <v>108</v>
      </c>
      <c r="J60" s="3" t="s">
        <v>116</v>
      </c>
      <c r="P60" s="3">
        <v>-2.5000000000000001E-3</v>
      </c>
    </row>
    <row r="61" spans="1:16" x14ac:dyDescent="0.25">
      <c r="A61" s="1">
        <f ca="1">EDATE(Swap_Date,12)</f>
        <v>43830</v>
      </c>
      <c r="B61" s="3">
        <f ca="1">_xll.BDH(H61,"PX_LAST",Cash_Date,Cash_Date)</f>
        <v>0.10632999999999999</v>
      </c>
      <c r="C61" s="1">
        <f t="shared" ca="1" si="4"/>
        <v>43999</v>
      </c>
      <c r="D61" s="3" t="e">
        <f ca="1">100-_xll.BDH(I61,"PX_LAST",Future_Date,Future_Date)</f>
        <v>#VALUE!</v>
      </c>
      <c r="E61" s="1">
        <f t="shared" ca="1" si="5"/>
        <v>46022</v>
      </c>
      <c r="F61" s="3" t="str">
        <f ca="1">_xll.BDH(J61,"PX_LAST",Swap_Date,Swap_Date)</f>
        <v>#N/A N/A</v>
      </c>
      <c r="H61" s="3" t="s">
        <v>5</v>
      </c>
      <c r="I61" s="3" t="s">
        <v>109</v>
      </c>
      <c r="J61" s="3" t="s">
        <v>117</v>
      </c>
      <c r="P61" s="3">
        <v>0.11167000000000001</v>
      </c>
    </row>
    <row r="62" spans="1:16" x14ac:dyDescent="0.25">
      <c r="C62" s="1">
        <f t="shared" ca="1" si="4"/>
        <v>44090</v>
      </c>
      <c r="D62" s="3" t="e">
        <f ca="1">100-_xll.BDH(I62,"PX_LAST",Future_Date,Future_Date)</f>
        <v>#VALUE!</v>
      </c>
      <c r="E62" s="1">
        <f t="shared" ca="1" si="5"/>
        <v>46387</v>
      </c>
      <c r="F62" s="3" t="str">
        <f ca="1">_xll.BDH(J62,"PX_LAST",Swap_Date,Swap_Date)</f>
        <v>#N/A N/A</v>
      </c>
      <c r="I62" s="3" t="s">
        <v>110</v>
      </c>
      <c r="J62" s="3" t="s">
        <v>118</v>
      </c>
    </row>
    <row r="63" spans="1:16" x14ac:dyDescent="0.25">
      <c r="C63" s="1">
        <f t="shared" ca="1" si="4"/>
        <v>44181</v>
      </c>
      <c r="D63" s="3" t="e">
        <f ca="1">100-_xll.BDH(I63,"PX_LAST",Future_Date,Future_Date)</f>
        <v>#VALUE!</v>
      </c>
      <c r="E63" s="1">
        <f t="shared" ca="1" si="5"/>
        <v>46752</v>
      </c>
      <c r="F63" s="3" t="str">
        <f ca="1">_xll.BDH(J63,"PX_LAST",Swap_Date,Swap_Date)</f>
        <v>#N/A N/A</v>
      </c>
      <c r="I63" s="3" t="s">
        <v>111</v>
      </c>
      <c r="J63" s="3" t="s">
        <v>119</v>
      </c>
    </row>
    <row r="64" spans="1:16" x14ac:dyDescent="0.25">
      <c r="E64" s="1">
        <f t="shared" ca="1" si="5"/>
        <v>47118</v>
      </c>
      <c r="F64" s="3" t="str">
        <f ca="1">_xll.BDH(J64,"PX_LAST",Swap_Date,Swap_Date)</f>
        <v>#N/A N/A</v>
      </c>
      <c r="J64" s="3" t="s">
        <v>120</v>
      </c>
    </row>
    <row r="65" spans="1:10" x14ac:dyDescent="0.25">
      <c r="E65" s="1">
        <f t="shared" ca="1" si="5"/>
        <v>47483</v>
      </c>
      <c r="F65" s="3">
        <f ca="1">_xll.BDH(J65,"PX_LAST",Swap_Date,Swap_Date)</f>
        <v>0.21875</v>
      </c>
      <c r="J65" s="3" t="s">
        <v>121</v>
      </c>
    </row>
    <row r="66" spans="1:10" x14ac:dyDescent="0.25">
      <c r="E66" s="1">
        <f t="shared" ca="1" si="5"/>
        <v>47848</v>
      </c>
      <c r="F66" s="3">
        <f ca="1">_xll.BDH(J66,"PX_LAST",Swap_Date,Swap_Date)</f>
        <v>0.26</v>
      </c>
      <c r="J66" s="3" t="s">
        <v>122</v>
      </c>
    </row>
    <row r="67" spans="1:10" x14ac:dyDescent="0.25">
      <c r="E67" s="1">
        <f t="shared" ca="1" si="5"/>
        <v>48213</v>
      </c>
      <c r="F67" s="3" t="str">
        <f ca="1">_xll.BDH(J67,"PX_LAST",Swap_Date,Swap_Date)</f>
        <v>#N/A N/A</v>
      </c>
      <c r="J67" s="3" t="s">
        <v>123</v>
      </c>
    </row>
    <row r="68" spans="1:10" x14ac:dyDescent="0.25">
      <c r="E68" s="1">
        <f t="shared" ca="1" si="5"/>
        <v>48579</v>
      </c>
      <c r="F68" s="3" t="str">
        <f ca="1">_xll.BDH(J68,"PX_LAST",Swap_Date,Swap_Date)</f>
        <v>#N/A N/A</v>
      </c>
      <c r="J68" s="3" t="s">
        <v>124</v>
      </c>
    </row>
    <row r="69" spans="1:10" x14ac:dyDescent="0.25">
      <c r="E69" s="1">
        <f t="shared" ca="1" si="5"/>
        <v>48944</v>
      </c>
      <c r="F69" s="3">
        <f ca="1">_xll.BDH(J69,"PX_LAST",Swap_Date,Swap_Date)</f>
        <v>0.38</v>
      </c>
      <c r="J69" s="3" t="s">
        <v>125</v>
      </c>
    </row>
    <row r="70" spans="1:10" x14ac:dyDescent="0.25">
      <c r="E70" s="1">
        <f t="shared" ca="1" si="5"/>
        <v>49309</v>
      </c>
      <c r="F70" s="3" t="str">
        <f ca="1">_xll.BDH(J70,"PX_LAST",Swap_Date,Swap_Date)</f>
        <v>#N/A N/A</v>
      </c>
      <c r="J70" s="3" t="s">
        <v>126</v>
      </c>
    </row>
    <row r="71" spans="1:10" x14ac:dyDescent="0.25">
      <c r="E71" s="1">
        <f t="shared" ca="1" si="5"/>
        <v>49674</v>
      </c>
      <c r="F71" s="3">
        <f ca="1">_xll.BDH(J71,"PX_LAST",Swap_Date,Swap_Date)</f>
        <v>0.45424999999999999</v>
      </c>
      <c r="J71" s="3" t="s">
        <v>127</v>
      </c>
    </row>
    <row r="72" spans="1:10" x14ac:dyDescent="0.25">
      <c r="E72" s="1">
        <f ca="1">EDATE(E71,36)</f>
        <v>50770</v>
      </c>
      <c r="F72" s="3">
        <f ca="1">_xll.BDH(J72,"PX_LAST",Swap_Date,Swap_Date)</f>
        <v>0.54874999999999996</v>
      </c>
      <c r="J72" s="3" t="s">
        <v>128</v>
      </c>
    </row>
    <row r="73" spans="1:10" x14ac:dyDescent="0.25">
      <c r="E73" s="1">
        <f ca="1">EDATE(E72,60)</f>
        <v>52596</v>
      </c>
      <c r="F73" s="3">
        <f ca="1">_xll.BDH(J73,"PX_LAST",Swap_Date,Swap_Date)</f>
        <v>0.65749999999999997</v>
      </c>
      <c r="J73" s="3" t="s">
        <v>129</v>
      </c>
    </row>
    <row r="74" spans="1:10" x14ac:dyDescent="0.25">
      <c r="E74" s="1">
        <f ca="1">EDATE(E73,60)</f>
        <v>54423</v>
      </c>
      <c r="F74" s="3">
        <f ca="1">_xll.BDH(J74,"PX_LAST",Swap_Date,Swap_Date)</f>
        <v>0.72375</v>
      </c>
      <c r="J74" s="3" t="s">
        <v>130</v>
      </c>
    </row>
    <row r="75" spans="1:10" x14ac:dyDescent="0.25">
      <c r="E75" s="1">
        <f ca="1">EDATE(E74,120)</f>
        <v>58075</v>
      </c>
      <c r="F75" s="3">
        <f ca="1">_xll.BDH(J75,"PX_LAST",Swap_Date,Swap_Date)</f>
        <v>0.79374999999999996</v>
      </c>
      <c r="J75" s="3" t="s">
        <v>131</v>
      </c>
    </row>
    <row r="76" spans="1:10" x14ac:dyDescent="0.25">
      <c r="E76" s="1">
        <f ca="1">EDATE(E75,12)</f>
        <v>58440</v>
      </c>
      <c r="F76" s="3">
        <f ca="1">F75</f>
        <v>0.79374999999999996</v>
      </c>
    </row>
    <row r="79" spans="1:10" x14ac:dyDescent="0.25">
      <c r="A79" s="3" t="s">
        <v>14</v>
      </c>
      <c r="B79" s="3">
        <v>6</v>
      </c>
      <c r="D79" s="3">
        <v>7</v>
      </c>
      <c r="F79" s="3">
        <v>100</v>
      </c>
    </row>
    <row r="80" spans="1:10" x14ac:dyDescent="0.25">
      <c r="A80" s="3" t="s">
        <v>29</v>
      </c>
      <c r="B80" s="3" t="s">
        <v>30</v>
      </c>
      <c r="C80" s="3" t="s">
        <v>31</v>
      </c>
      <c r="D80" s="3" t="s">
        <v>32</v>
      </c>
      <c r="E80" s="3" t="s">
        <v>33</v>
      </c>
      <c r="F80" s="3" t="s">
        <v>34</v>
      </c>
    </row>
    <row r="81" spans="1:10" x14ac:dyDescent="0.25">
      <c r="A81" s="1">
        <f ca="1">WORKDAY(Swap_Date,1)</f>
        <v>43466</v>
      </c>
      <c r="B81" s="3">
        <f ca="1">_xll.BDH(H81,"PX_LAST",Cash_Date,Cash_Date)</f>
        <v>0.67025000000000001</v>
      </c>
      <c r="C81" s="1">
        <f ca="1">nextimm(Swap_Date)</f>
        <v>43544</v>
      </c>
      <c r="D81" s="3">
        <f ca="1">IF(ISNUMBER(100-_xll.BDH(I81,"PX_LAST",Future_Date,Future_Date)),100-_xll.BDH(I81,"PX_LAST",Future_Date,Future_Date),B84)</f>
        <v>0.91244000000000003</v>
      </c>
      <c r="E81" s="1">
        <f ca="1">EDATE(Swap_Date,24)</f>
        <v>44196</v>
      </c>
      <c r="F81" s="3">
        <f ca="1">_xll.BDH(J81,"PX_LAST",Swap_Date,Swap_Date)</f>
        <v>1.1585000000000001</v>
      </c>
      <c r="H81" s="3" t="s">
        <v>135</v>
      </c>
      <c r="I81" s="3" t="s">
        <v>141</v>
      </c>
      <c r="J81" s="3" t="s">
        <v>149</v>
      </c>
    </row>
    <row r="82" spans="1:10" x14ac:dyDescent="0.25">
      <c r="A82" s="1">
        <f ca="1">EDATE(Swap_Date,1)</f>
        <v>43496</v>
      </c>
      <c r="B82" s="3">
        <f ca="1">_xll.BDH(H82,"PX_LAST",Cash_Date,Cash_Date)</f>
        <v>0.73024999999999995</v>
      </c>
      <c r="C82" s="1">
        <f ca="1">nextimm(C81+1)</f>
        <v>43635</v>
      </c>
      <c r="D82" s="3" t="e">
        <f ca="1">100-_xll.BDH(I82,"PX_LAST",Future_Date,Future_Date)</f>
        <v>#VALUE!</v>
      </c>
      <c r="E82" s="1">
        <f ca="1">EDATE(E81,12)</f>
        <v>44561</v>
      </c>
      <c r="F82" s="3">
        <f ca="1">_xll.BDH(J82,"PX_LAST",Swap_Date,Swap_Date)</f>
        <v>1.2195</v>
      </c>
      <c r="H82" s="3" t="s">
        <v>136</v>
      </c>
      <c r="I82" s="3" t="s">
        <v>142</v>
      </c>
      <c r="J82" s="3" t="s">
        <v>150</v>
      </c>
    </row>
    <row r="83" spans="1:10" x14ac:dyDescent="0.25">
      <c r="A83" s="1">
        <f ca="1">EDATE(Swap_Date,2)</f>
        <v>43524</v>
      </c>
      <c r="B83" s="3">
        <f ca="1">IF(ISNUMBER(_xll.BDH(H83,"PX_LAST",Cash_Date,Cash_Date)),_xll.BDH(H83,"PX_LAST",Cash_Date,Cash_Date),0.5*(B82+B84))</f>
        <v>0.79337999999999997</v>
      </c>
      <c r="C83" s="1">
        <f t="shared" ref="C83:C88" ca="1" si="6">nextimm(C82+1)</f>
        <v>43726</v>
      </c>
      <c r="D83" s="3">
        <f ca="1">100-_xll.BDH(I83,"PX_LAST",Future_Date,Future_Date)</f>
        <v>0.93999999999999773</v>
      </c>
      <c r="E83" s="1">
        <f t="shared" ref="E83:E96" ca="1" si="7">EDATE(E82,12)</f>
        <v>44926</v>
      </c>
      <c r="F83" s="3">
        <f ca="1">_xll.BDH(J83,"PX_LAST",Swap_Date,Swap_Date)</f>
        <v>1.2650000000000001</v>
      </c>
      <c r="H83" s="3" t="s">
        <v>137</v>
      </c>
      <c r="I83" s="3" t="s">
        <v>143</v>
      </c>
      <c r="J83" s="3" t="s">
        <v>151</v>
      </c>
    </row>
    <row r="84" spans="1:10" x14ac:dyDescent="0.25">
      <c r="A84" s="1">
        <f ca="1">EDATE(Swap_Date,3)</f>
        <v>43555</v>
      </c>
      <c r="B84" s="3">
        <f ca="1">_xll.BDH(H84,"PX_LAST",Cash_Date,Cash_Date)</f>
        <v>0.91244000000000003</v>
      </c>
      <c r="C84" s="1">
        <f t="shared" ca="1" si="6"/>
        <v>43817</v>
      </c>
      <c r="D84" s="3">
        <f ca="1">100-_xll.BDH(I84,"PX_LAST",Future_Date,Future_Date)</f>
        <v>1.0100000000000051</v>
      </c>
      <c r="E84" s="1">
        <f t="shared" ca="1" si="7"/>
        <v>45291</v>
      </c>
      <c r="F84" s="3">
        <f ca="1">_xll.BDH(J84,"PX_LAST",Swap_Date,Swap_Date)</f>
        <v>1.298</v>
      </c>
      <c r="H84" s="3" t="s">
        <v>138</v>
      </c>
      <c r="I84" s="3" t="s">
        <v>144</v>
      </c>
      <c r="J84" s="3" t="s">
        <v>152</v>
      </c>
    </row>
    <row r="85" spans="1:10" x14ac:dyDescent="0.25">
      <c r="A85" s="1">
        <f ca="1">EDATE(Swap_Date,6)</f>
        <v>43646</v>
      </c>
      <c r="B85" s="3">
        <f ca="1">_xll.BDH(H85,"PX_LAST",Cash_Date,Cash_Date)</f>
        <v>1.0346899999999999</v>
      </c>
      <c r="C85" s="1">
        <f t="shared" ca="1" si="6"/>
        <v>43908</v>
      </c>
      <c r="D85" s="3">
        <f ca="1">100-_xll.BDH(I85,"PX_LAST",Future_Date,Future_Date)</f>
        <v>1.0550000000000068</v>
      </c>
      <c r="E85" s="1">
        <f t="shared" ca="1" si="7"/>
        <v>45657</v>
      </c>
      <c r="F85" s="3">
        <f ca="1">_xll.BDH(J85,"PX_LAST",Swap_Date,Swap_Date)</f>
        <v>1.329</v>
      </c>
      <c r="H85" s="3" t="s">
        <v>139</v>
      </c>
      <c r="I85" s="3" t="s">
        <v>145</v>
      </c>
      <c r="J85" s="3" t="s">
        <v>153</v>
      </c>
    </row>
    <row r="86" spans="1:10" x14ac:dyDescent="0.25">
      <c r="A86" s="1">
        <f ca="1">EDATE(Swap_Date,12)</f>
        <v>43830</v>
      </c>
      <c r="B86" s="3">
        <f ca="1">_xll.BDH(H86,"PX_LAST",Cash_Date,Cash_Date)</f>
        <v>1.17031</v>
      </c>
      <c r="C86" s="1">
        <f t="shared" ca="1" si="6"/>
        <v>43999</v>
      </c>
      <c r="D86" s="3">
        <f ca="1">100-_xll.BDH(I86,"PX_LAST",Future_Date,Future_Date)</f>
        <v>1.1099999999999994</v>
      </c>
      <c r="E86" s="1">
        <f t="shared" ca="1" si="7"/>
        <v>46022</v>
      </c>
      <c r="F86" s="3">
        <f ca="1">_xll.BDH(J86,"PX_LAST",Swap_Date,Swap_Date)</f>
        <v>1.355</v>
      </c>
      <c r="H86" s="3" t="s">
        <v>140</v>
      </c>
      <c r="I86" s="3" t="s">
        <v>146</v>
      </c>
      <c r="J86" s="3" t="s">
        <v>154</v>
      </c>
    </row>
    <row r="87" spans="1:10" x14ac:dyDescent="0.25">
      <c r="C87" s="1">
        <f t="shared" ca="1" si="6"/>
        <v>44090</v>
      </c>
      <c r="D87" s="3">
        <f ca="1">100-_xll.BDH(I87,"PX_LAST",Future_Date,Future_Date)</f>
        <v>1.1350000000000051</v>
      </c>
      <c r="E87" s="1">
        <f t="shared" ca="1" si="7"/>
        <v>46387</v>
      </c>
      <c r="F87" s="3">
        <f ca="1">_xll.BDH(J87,"PX_LAST",Swap_Date,Swap_Date)</f>
        <v>1.38</v>
      </c>
      <c r="I87" s="3" t="s">
        <v>147</v>
      </c>
      <c r="J87" s="3" t="s">
        <v>155</v>
      </c>
    </row>
    <row r="88" spans="1:10" x14ac:dyDescent="0.25">
      <c r="C88" s="1">
        <f t="shared" ca="1" si="6"/>
        <v>44181</v>
      </c>
      <c r="D88" s="3">
        <f ca="1">100-_xll.BDH(I88,"PX_LAST",Future_Date,Future_Date)</f>
        <v>1.1700000000000017</v>
      </c>
      <c r="E88" s="1">
        <f t="shared" ca="1" si="7"/>
        <v>46752</v>
      </c>
      <c r="F88" s="3">
        <f ca="1">_xll.BDH(J88,"PX_LAST",Swap_Date,Swap_Date)</f>
        <v>1.405</v>
      </c>
      <c r="I88" s="3" t="s">
        <v>148</v>
      </c>
      <c r="J88" s="3" t="s">
        <v>156</v>
      </c>
    </row>
    <row r="89" spans="1:10" x14ac:dyDescent="0.25">
      <c r="E89" s="1">
        <f t="shared" ca="1" si="7"/>
        <v>47118</v>
      </c>
      <c r="F89" s="3">
        <f ca="1">_xll.BDH(J89,"PX_LAST",Swap_Date,Swap_Date)</f>
        <v>1.431</v>
      </c>
      <c r="J89" s="3" t="s">
        <v>28</v>
      </c>
    </row>
    <row r="90" spans="1:10" x14ac:dyDescent="0.25">
      <c r="E90" s="1">
        <f t="shared" ca="1" si="7"/>
        <v>47483</v>
      </c>
      <c r="F90" s="3">
        <f ca="1">_xll.BDH(J90,"PX_LAST",Swap_Date,Swap_Date)</f>
        <v>1.454</v>
      </c>
      <c r="J90" s="3" t="s">
        <v>157</v>
      </c>
    </row>
    <row r="91" spans="1:10" x14ac:dyDescent="0.25">
      <c r="E91" s="1">
        <f t="shared" ca="1" si="7"/>
        <v>47848</v>
      </c>
      <c r="F91" s="3">
        <f ca="1">_xll.BDH(J91,"PX_LAST",Swap_Date,Swap_Date)</f>
        <v>1.4729999999999999</v>
      </c>
      <c r="J91" s="3" t="s">
        <v>158</v>
      </c>
    </row>
    <row r="92" spans="1:10" x14ac:dyDescent="0.25">
      <c r="E92" s="1">
        <f t="shared" ca="1" si="7"/>
        <v>48213</v>
      </c>
      <c r="F92" s="3">
        <f ca="1">_xll.BDH(J92,"PX_LAST",Swap_Date,Swap_Date)</f>
        <v>1.4884999999999999</v>
      </c>
      <c r="J92" s="3" t="s">
        <v>159</v>
      </c>
    </row>
    <row r="93" spans="1:10" x14ac:dyDescent="0.25">
      <c r="E93" s="1">
        <f t="shared" ca="1" si="7"/>
        <v>48579</v>
      </c>
      <c r="F93" s="3">
        <f ca="1">_xll.BDH(J93,"PX_LAST",Swap_Date,Swap_Date)</f>
        <v>1.502</v>
      </c>
      <c r="J93" s="3" t="s">
        <v>160</v>
      </c>
    </row>
    <row r="94" spans="1:10" x14ac:dyDescent="0.25">
      <c r="E94" s="1">
        <f t="shared" ca="1" si="7"/>
        <v>48944</v>
      </c>
      <c r="F94" s="3">
        <f ca="1">_xll.BDH(J94,"PX_LAST",Swap_Date,Swap_Date)</f>
        <v>1.5129999999999999</v>
      </c>
      <c r="J94" s="3" t="s">
        <v>161</v>
      </c>
    </row>
    <row r="95" spans="1:10" x14ac:dyDescent="0.25">
      <c r="E95" s="1">
        <f t="shared" ca="1" si="7"/>
        <v>49309</v>
      </c>
      <c r="F95" s="3">
        <f ca="1">_xll.BDH(J95,"PX_LAST",Swap_Date,Swap_Date)</f>
        <v>1.5225</v>
      </c>
      <c r="J95" s="3" t="s">
        <v>162</v>
      </c>
    </row>
    <row r="96" spans="1:10" x14ac:dyDescent="0.25">
      <c r="E96" s="1">
        <f t="shared" ca="1" si="7"/>
        <v>49674</v>
      </c>
      <c r="F96" s="3">
        <f ca="1">_xll.BDH(J96,"PX_LAST",Swap_Date,Swap_Date)</f>
        <v>1.5305</v>
      </c>
      <c r="J96" s="3" t="s">
        <v>163</v>
      </c>
    </row>
    <row r="97" spans="1:10" x14ac:dyDescent="0.25">
      <c r="E97" s="1">
        <f ca="1">EDATE(E96,36)</f>
        <v>50770</v>
      </c>
      <c r="F97" s="3">
        <f ca="1">_xll.BDH(J97,"PX_LAST",Swap_Date,Swap_Date)</f>
        <v>1.546</v>
      </c>
      <c r="J97" s="3" t="s">
        <v>164</v>
      </c>
    </row>
    <row r="98" spans="1:10" x14ac:dyDescent="0.25">
      <c r="E98" s="1">
        <f ca="1">EDATE(E97,60)</f>
        <v>52596</v>
      </c>
      <c r="F98" s="3">
        <f ca="1">_xll.BDH(J98,"PX_LAST",Swap_Date,Swap_Date)</f>
        <v>1.5489999999999999</v>
      </c>
      <c r="J98" s="3" t="s">
        <v>165</v>
      </c>
    </row>
    <row r="99" spans="1:10" x14ac:dyDescent="0.25">
      <c r="E99" s="1">
        <f ca="1">EDATE(E98,60)</f>
        <v>54423</v>
      </c>
      <c r="F99" s="3">
        <f ca="1">_xll.BDH(J99,"PX_LAST",Swap_Date,Swap_Date)</f>
        <v>1.5409999999999999</v>
      </c>
      <c r="J99" s="3" t="s">
        <v>166</v>
      </c>
    </row>
    <row r="100" spans="1:10" x14ac:dyDescent="0.25">
      <c r="E100" s="1">
        <f ca="1">EDATE(E99,120)</f>
        <v>58075</v>
      </c>
      <c r="F100" s="3">
        <f ca="1">_xll.BDH(J100,"PX_LAST",Swap_Date,Swap_Date)</f>
        <v>1.516</v>
      </c>
      <c r="J100" s="3" t="s">
        <v>167</v>
      </c>
    </row>
    <row r="101" spans="1:10" x14ac:dyDescent="0.25">
      <c r="E101" s="1">
        <f ca="1">EDATE(E100,12)</f>
        <v>58440</v>
      </c>
      <c r="F101" s="3">
        <f ca="1">F100</f>
        <v>1.516</v>
      </c>
    </row>
    <row r="104" spans="1:10" x14ac:dyDescent="0.25">
      <c r="A104" s="3" t="s">
        <v>247</v>
      </c>
      <c r="B104" s="3">
        <v>6</v>
      </c>
      <c r="D104" s="3">
        <v>7</v>
      </c>
      <c r="F104" s="3">
        <v>100</v>
      </c>
    </row>
    <row r="105" spans="1:10" x14ac:dyDescent="0.25">
      <c r="A105" s="3" t="s">
        <v>29</v>
      </c>
      <c r="B105" s="3" t="s">
        <v>30</v>
      </c>
      <c r="C105" s="3" t="s">
        <v>31</v>
      </c>
      <c r="D105" s="3" t="s">
        <v>32</v>
      </c>
      <c r="E105" s="3" t="s">
        <v>33</v>
      </c>
      <c r="F105" s="3" t="s">
        <v>34</v>
      </c>
    </row>
    <row r="106" spans="1:10" x14ac:dyDescent="0.25">
      <c r="A106" s="1">
        <f ca="1">WORKDAY(Swap_Date,1)</f>
        <v>43466</v>
      </c>
      <c r="B106" s="3">
        <f ca="1">_xll.BDH(H106,"PX_LAST",Cash_Date,Cash_Date)</f>
        <v>-0.79820000000000002</v>
      </c>
      <c r="C106" s="1">
        <f ca="1">nextimm(Swap_Date)</f>
        <v>43544</v>
      </c>
      <c r="D106" s="3">
        <f ca="1">IF(ISNUMBER(100-_xll.BDH(I106,"PX_LAST",Future_Date,Future_Date)),100-_xll.BDH(I106,"PX_LAST",Future_Date,Future_Date),B109)</f>
        <v>-0.71340000000000003</v>
      </c>
      <c r="E106" s="1">
        <f ca="1">EDATE(Swap_Date,24)</f>
        <v>44196</v>
      </c>
      <c r="F106" s="3">
        <f ca="1">_xll.BDH(J106,"PX_LAST",Swap_Date,Swap_Date)</f>
        <v>-0.56999999999999995</v>
      </c>
      <c r="H106" s="3" t="s">
        <v>168</v>
      </c>
      <c r="I106" s="3" t="s">
        <v>174</v>
      </c>
      <c r="J106" s="3" t="s">
        <v>182</v>
      </c>
    </row>
    <row r="107" spans="1:10" x14ac:dyDescent="0.25">
      <c r="A107" s="1">
        <f ca="1">EDATE(Swap_Date,1)</f>
        <v>43496</v>
      </c>
      <c r="B107" s="3">
        <f ca="1">_xll.BDH(H107,"PX_LAST",Cash_Date,Cash_Date)</f>
        <v>-0.79679999999999995</v>
      </c>
      <c r="C107" s="1">
        <f ca="1">nextimm(C106+1)</f>
        <v>43635</v>
      </c>
      <c r="D107" s="3">
        <f ca="1">IFERROR(100-_xll.BDH(I107,"PX_LAST",Future_Date,Future_Date),0.5*(D106+D108))</f>
        <v>-0.71669999999999945</v>
      </c>
      <c r="E107" s="1">
        <f ca="1">EDATE(E106,12)</f>
        <v>44561</v>
      </c>
      <c r="F107" s="3">
        <f ca="1">_xll.BDH(J107,"PX_LAST",Swap_Date,Swap_Date)</f>
        <v>-0.47249999999999998</v>
      </c>
      <c r="H107" s="3" t="s">
        <v>169</v>
      </c>
      <c r="I107" s="3" t="s">
        <v>175</v>
      </c>
      <c r="J107" s="3" t="s">
        <v>183</v>
      </c>
    </row>
    <row r="108" spans="1:10" x14ac:dyDescent="0.25">
      <c r="A108" s="1">
        <f ca="1">EDATE(Swap_Date,2)</f>
        <v>43524</v>
      </c>
      <c r="B108" s="3">
        <f ca="1">IF(ISNUMBER(_xll.BDH(H108,"PX_LAST",Cash_Date,Cash_Date)),_xll.BDH(H108,"PX_LAST",Cash_Date,Cash_Date),0.5*(B107+B109))</f>
        <v>-0.73080000000000001</v>
      </c>
      <c r="C108" s="1">
        <f t="shared" ref="C108:C113" ca="1" si="8">nextimm(C107+1)</f>
        <v>43726</v>
      </c>
      <c r="D108" s="3">
        <f ca="1">100-_xll.BDH(I108,"PX_LAST",Future_Date,Future_Date)</f>
        <v>-0.71999999999999886</v>
      </c>
      <c r="E108" s="1">
        <f t="shared" ref="E108:E119" ca="1" si="9">EDATE(E107,12)</f>
        <v>44926</v>
      </c>
      <c r="F108" s="3">
        <f ca="1">_xll.BDH(J108,"PX_LAST",Swap_Date,Swap_Date)</f>
        <v>-0.36499999999999999</v>
      </c>
      <c r="H108" s="3" t="s">
        <v>170</v>
      </c>
      <c r="I108" s="3" t="s">
        <v>176</v>
      </c>
      <c r="J108" s="3" t="s">
        <v>184</v>
      </c>
    </row>
    <row r="109" spans="1:10" x14ac:dyDescent="0.25">
      <c r="A109" s="1">
        <f ca="1">EDATE(Swap_Date,3)</f>
        <v>43555</v>
      </c>
      <c r="B109" s="3">
        <f ca="1">_xll.BDH(H109,"PX_LAST",Cash_Date,Cash_Date)</f>
        <v>-0.71340000000000003</v>
      </c>
      <c r="C109" s="1">
        <f t="shared" ca="1" si="8"/>
        <v>43817</v>
      </c>
      <c r="D109" s="3">
        <f ca="1">100-_xll.BDH(I109,"PX_LAST",Future_Date,Future_Date)</f>
        <v>-0.71999999999999886</v>
      </c>
      <c r="E109" s="1">
        <f t="shared" ca="1" si="9"/>
        <v>45291</v>
      </c>
      <c r="F109" s="3">
        <f ca="1">_xll.BDH(J109,"PX_LAST",Swap_Date,Swap_Date)</f>
        <v>-0.2525</v>
      </c>
      <c r="H109" s="3" t="s">
        <v>171</v>
      </c>
      <c r="I109" s="3" t="s">
        <v>177</v>
      </c>
      <c r="J109" s="3" t="s">
        <v>185</v>
      </c>
    </row>
    <row r="110" spans="1:10" x14ac:dyDescent="0.25">
      <c r="A110" s="1">
        <f ca="1">EDATE(Swap_Date,6)</f>
        <v>43646</v>
      </c>
      <c r="B110" s="3">
        <f ca="1">_xll.BDH(H110,"PX_LAST",Cash_Date,Cash_Date)</f>
        <v>-0.63219999999999998</v>
      </c>
      <c r="C110" s="1">
        <f t="shared" ca="1" si="8"/>
        <v>43908</v>
      </c>
      <c r="D110" s="3">
        <f ca="1">100-_xll.BDH(I110,"PX_LAST",Future_Date,Future_Date)</f>
        <v>-0.70999999999999375</v>
      </c>
      <c r="E110" s="1">
        <f t="shared" ca="1" si="9"/>
        <v>45657</v>
      </c>
      <c r="F110" s="3">
        <f ca="1">_xll.BDH(J110,"PX_LAST",Swap_Date,Swap_Date)</f>
        <v>-0.13500000000000001</v>
      </c>
      <c r="H110" s="3" t="s">
        <v>172</v>
      </c>
      <c r="I110" s="3" t="s">
        <v>178</v>
      </c>
      <c r="J110" s="3" t="s">
        <v>186</v>
      </c>
    </row>
    <row r="111" spans="1:10" x14ac:dyDescent="0.25">
      <c r="A111" s="1">
        <f ca="1">EDATE(Swap_Date,12)</f>
        <v>43830</v>
      </c>
      <c r="B111" s="3">
        <f ca="1">_xll.BDH(H111,"PX_LAST",Cash_Date,Cash_Date)</f>
        <v>-0.50260000000000005</v>
      </c>
      <c r="C111" s="1">
        <f t="shared" ca="1" si="8"/>
        <v>43999</v>
      </c>
      <c r="D111" s="3">
        <f ca="1">100-_xll.BDH(I111,"PX_LAST",Future_Date,Future_Date)</f>
        <v>-0.65000000000000568</v>
      </c>
      <c r="E111" s="1">
        <f t="shared" ca="1" si="9"/>
        <v>46022</v>
      </c>
      <c r="F111" s="3">
        <f ca="1">_xll.BDH(J111,"PX_LAST",Swap_Date,Swap_Date)</f>
        <v>0.05</v>
      </c>
      <c r="H111" s="3" t="s">
        <v>173</v>
      </c>
      <c r="I111" s="3" t="s">
        <v>179</v>
      </c>
      <c r="J111" s="3" t="s">
        <v>187</v>
      </c>
    </row>
    <row r="112" spans="1:10" x14ac:dyDescent="0.25">
      <c r="C112" s="1">
        <f t="shared" ca="1" si="8"/>
        <v>44090</v>
      </c>
      <c r="D112" s="3">
        <f ca="1">100-_xll.BDH(I112,"PX_LAST",Future_Date,Future_Date)</f>
        <v>-0.60999999999999943</v>
      </c>
      <c r="E112" s="1">
        <f t="shared" ca="1" si="9"/>
        <v>46387</v>
      </c>
      <c r="F112" s="3">
        <f ca="1">_xll.BDH(J112,"PX_LAST",Swap_Date,Swap_Date)</f>
        <v>9.2499999999999999E-2</v>
      </c>
      <c r="I112" s="3" t="s">
        <v>180</v>
      </c>
      <c r="J112" s="3" t="s">
        <v>188</v>
      </c>
    </row>
    <row r="113" spans="3:10" x14ac:dyDescent="0.25">
      <c r="C113" s="1">
        <f t="shared" ca="1" si="8"/>
        <v>44181</v>
      </c>
      <c r="D113" s="3">
        <f ca="1">100-_xll.BDH(I113,"PX_LAST",Future_Date,Future_Date)</f>
        <v>-0.56000000000000227</v>
      </c>
      <c r="E113" s="1">
        <f t="shared" ca="1" si="9"/>
        <v>46752</v>
      </c>
      <c r="F113" s="3">
        <f ca="1">_xll.BDH(J113,"PX_LAST",Swap_Date,Swap_Date)</f>
        <v>0.2175</v>
      </c>
      <c r="I113" s="3" t="s">
        <v>181</v>
      </c>
      <c r="J113" s="3" t="s">
        <v>189</v>
      </c>
    </row>
    <row r="114" spans="3:10" x14ac:dyDescent="0.25">
      <c r="E114" s="1">
        <f t="shared" ca="1" si="9"/>
        <v>47118</v>
      </c>
      <c r="F114" s="3">
        <f ca="1">_xll.BDH(J114,"PX_LAST",Swap_Date,Swap_Date)</f>
        <v>0.3125</v>
      </c>
      <c r="J114" s="3" t="s">
        <v>190</v>
      </c>
    </row>
    <row r="115" spans="3:10" x14ac:dyDescent="0.25">
      <c r="E115" s="1">
        <f t="shared" ca="1" si="9"/>
        <v>47483</v>
      </c>
      <c r="F115" s="3">
        <f ca="1">_xll.BDH(J115,"PX_LAST",Swap_Date,Swap_Date)</f>
        <v>0.4425</v>
      </c>
      <c r="J115" s="3" t="s">
        <v>191</v>
      </c>
    </row>
    <row r="116" spans="3:10" x14ac:dyDescent="0.25">
      <c r="E116" s="1">
        <f t="shared" ca="1" si="9"/>
        <v>47848</v>
      </c>
      <c r="F116" s="3">
        <f ca="1">_xll.BDH(J116,"PX_LAST",Swap_Date,Swap_Date)</f>
        <v>0.46750000000000003</v>
      </c>
      <c r="J116" s="3" t="s">
        <v>192</v>
      </c>
    </row>
    <row r="117" spans="3:10" x14ac:dyDescent="0.25">
      <c r="E117" s="1">
        <f t="shared" ca="1" si="9"/>
        <v>48213</v>
      </c>
      <c r="F117" s="3">
        <f ca="1">_xll.BDH(J117,"PX_LAST",Swap_Date,Swap_Date)</f>
        <v>0.57999999999999996</v>
      </c>
      <c r="J117" s="3" t="s">
        <v>193</v>
      </c>
    </row>
    <row r="118" spans="3:10" x14ac:dyDescent="0.25">
      <c r="E118" s="1">
        <f t="shared" ca="1" si="9"/>
        <v>48579</v>
      </c>
      <c r="F118" s="3">
        <f ca="1">_xll.BDH(J118,"PX_LAST",Swap_Date,Swap_Date)</f>
        <v>0.57750000000000001</v>
      </c>
      <c r="J118" s="3" t="s">
        <v>194</v>
      </c>
    </row>
    <row r="119" spans="3:10" x14ac:dyDescent="0.25">
      <c r="E119" s="1">
        <f t="shared" ca="1" si="9"/>
        <v>48944</v>
      </c>
      <c r="F119" s="3">
        <f ca="1">_xll.BDH(J119,"PX_LAST",Swap_Date,Swap_Date)</f>
        <v>0.61499999999999999</v>
      </c>
      <c r="J119" s="3" t="s">
        <v>195</v>
      </c>
    </row>
    <row r="120" spans="3:10" x14ac:dyDescent="0.25">
      <c r="E120" s="1">
        <f ca="1">EDATE(E119,60)</f>
        <v>50770</v>
      </c>
      <c r="F120" s="3">
        <f ca="1">_xll.BDH(J120,"PX_LAST",Swap_Date,Swap_Date)</f>
        <v>0.76880000000000004</v>
      </c>
      <c r="J120" s="3" t="s">
        <v>196</v>
      </c>
    </row>
    <row r="121" spans="3:10" x14ac:dyDescent="0.25">
      <c r="E121" s="1">
        <f ca="1">EDATE(E120,60)</f>
        <v>52596</v>
      </c>
      <c r="F121" s="3">
        <f ca="1">_xll.BDH(J121,"PX_LAST",Swap_Date,Swap_Date)</f>
        <v>0.8</v>
      </c>
      <c r="J121" s="3" t="s">
        <v>197</v>
      </c>
    </row>
    <row r="122" spans="3:10" x14ac:dyDescent="0.25">
      <c r="E122" s="1">
        <f ca="1">EDATE(E121,60)</f>
        <v>54423</v>
      </c>
      <c r="F122" s="3">
        <f ca="1">_xll.BDH(J122,"PX_LAST",Swap_Date,Swap_Date)</f>
        <v>0.81499999999999995</v>
      </c>
      <c r="J122" s="3" t="s">
        <v>198</v>
      </c>
    </row>
    <row r="123" spans="3:10" x14ac:dyDescent="0.25">
      <c r="E123" s="1">
        <f ca="1">EDATE(E122,120)</f>
        <v>58075</v>
      </c>
      <c r="F123" s="3">
        <f ca="1">_xll.BDH(J123,"PX_LAST",Swap_Date,Swap_Date)</f>
        <v>0.875</v>
      </c>
      <c r="J123" s="3" t="s">
        <v>199</v>
      </c>
    </row>
    <row r="124" spans="3:10" x14ac:dyDescent="0.25">
      <c r="E124" s="1">
        <f ca="1">EDATE(E123,12)</f>
        <v>58440</v>
      </c>
      <c r="F124" s="3">
        <f ca="1">F123</f>
        <v>0.875</v>
      </c>
    </row>
    <row r="125" spans="3:10" x14ac:dyDescent="0.25">
      <c r="E125" s="1"/>
    </row>
    <row r="129" spans="1:10" x14ac:dyDescent="0.25">
      <c r="A129" s="8" t="s">
        <v>21</v>
      </c>
      <c r="B129" s="9">
        <v>6</v>
      </c>
      <c r="C129" s="9"/>
      <c r="D129" s="9">
        <v>7</v>
      </c>
      <c r="E129" s="9"/>
      <c r="F129" s="9">
        <v>100</v>
      </c>
    </row>
    <row r="130" spans="1:10" x14ac:dyDescent="0.25">
      <c r="A130" s="3" t="s">
        <v>29</v>
      </c>
      <c r="B130" s="3" t="s">
        <v>30</v>
      </c>
      <c r="C130" s="3" t="s">
        <v>31</v>
      </c>
      <c r="D130" s="3" t="s">
        <v>32</v>
      </c>
      <c r="E130" s="3" t="s">
        <v>33</v>
      </c>
      <c r="F130" s="3" t="s">
        <v>34</v>
      </c>
    </row>
    <row r="131" spans="1:10" x14ac:dyDescent="0.25">
      <c r="A131" s="1">
        <f ca="1">WORKDAY(Swap_Date,1)</f>
        <v>43466</v>
      </c>
      <c r="B131" s="3">
        <f ca="1">_xll.BDH(H131,"PX_LAST",Cash_Date,Cash_Date)</f>
        <v>1.75</v>
      </c>
      <c r="C131" s="1">
        <f ca="1">nextimm(Swap_Date)</f>
        <v>43544</v>
      </c>
      <c r="D131" s="3">
        <f ca="1">IF(ISNUMBER(100-_xll.BDH(I131,"PX_LAST",Future_Date,Future_Date)),100-_xll.BDH(I131,"PX_LAST",Future_Date,Future_Date),B134)</f>
        <v>2.31</v>
      </c>
      <c r="E131" s="1">
        <f ca="1">EDATE(Swap_Date,24)</f>
        <v>44196</v>
      </c>
      <c r="F131" s="3">
        <f ca="1">_xll.BDH(J131,"PX_LAST",Swap_Date,Swap_Date)</f>
        <v>2.2454999999999998</v>
      </c>
      <c r="H131" s="3" t="s">
        <v>200</v>
      </c>
      <c r="I131" s="3" t="s">
        <v>206</v>
      </c>
      <c r="J131" s="3" t="s">
        <v>214</v>
      </c>
    </row>
    <row r="132" spans="1:10" x14ac:dyDescent="0.25">
      <c r="A132" s="1">
        <f ca="1">EDATE(Swap_Date,1)</f>
        <v>43496</v>
      </c>
      <c r="B132" s="3">
        <f ca="1">_xll.BDH(H132,"PX_LAST",Cash_Date,Cash_Date)</f>
        <v>2.2974999999999999</v>
      </c>
      <c r="C132" s="1">
        <f ca="1">nextimm(C131+1)</f>
        <v>43635</v>
      </c>
      <c r="D132" s="3">
        <f ca="1">IFERROR(100-_xll.BDH(I132,"PX_LAST",Future_Date,Future_Date),0.5*(D131+D133))</f>
        <v>2.2800000000000002</v>
      </c>
      <c r="E132" s="1">
        <f ca="1">EDATE(E131,12)</f>
        <v>44561</v>
      </c>
      <c r="F132" s="3">
        <f ca="1">_xll.BDH(J132,"PX_LAST",Swap_Date,Swap_Date)</f>
        <v>2.2486999999999999</v>
      </c>
      <c r="H132" s="3" t="s">
        <v>201</v>
      </c>
      <c r="I132" s="3" t="s">
        <v>207</v>
      </c>
      <c r="J132" s="3" t="s">
        <v>215</v>
      </c>
    </row>
    <row r="133" spans="1:10" x14ac:dyDescent="0.25">
      <c r="A133" s="1">
        <f ca="1">EDATE(Swap_Date,2)</f>
        <v>43524</v>
      </c>
      <c r="B133" s="3">
        <f ca="1">IF(ISNUMBER(_xll.BDH(H133,"PX_LAST",Cash_Date,Cash_Date)),_xll.BDH(H133,"PX_LAST",Cash_Date,Cash_Date),0.5*(B132+B134))</f>
        <v>2.2949999999999999</v>
      </c>
      <c r="C133" s="1">
        <f t="shared" ref="C133:C138" ca="1" si="10">nextimm(C132+1)</f>
        <v>43726</v>
      </c>
      <c r="D133" s="3">
        <f ca="1">100-_xll.BDH(I133,"PX_LAST",Future_Date,Future_Date)</f>
        <v>2.25</v>
      </c>
      <c r="E133" s="1">
        <f t="shared" ref="E133:E139" ca="1" si="11">EDATE(E132,12)</f>
        <v>44926</v>
      </c>
      <c r="F133" s="3">
        <f ca="1">_xll.BDH(J133,"PX_LAST",Swap_Date,Swap_Date)</f>
        <v>2.2618</v>
      </c>
      <c r="H133" s="3" t="s">
        <v>202</v>
      </c>
      <c r="I133" s="3" t="s">
        <v>208</v>
      </c>
      <c r="J133" s="3" t="s">
        <v>216</v>
      </c>
    </row>
    <row r="134" spans="1:10" x14ac:dyDescent="0.25">
      <c r="A134" s="1">
        <f ca="1">EDATE(Swap_Date,3)</f>
        <v>43555</v>
      </c>
      <c r="B134" s="3">
        <f ca="1">_xll.BDH(H134,"PX_LAST",Cash_Date,Cash_Date)</f>
        <v>2.31</v>
      </c>
      <c r="C134" s="1">
        <f t="shared" ca="1" si="10"/>
        <v>43817</v>
      </c>
      <c r="D134" s="3">
        <f ca="1">100-_xll.BDH(I134,"PX_LAST",Future_Date,Future_Date)</f>
        <v>2.2349999999999994</v>
      </c>
      <c r="E134" s="1">
        <f t="shared" ca="1" si="11"/>
        <v>45291</v>
      </c>
      <c r="F134" s="3">
        <f ca="1">_xll.BDH(J134,"PX_LAST",Swap_Date,Swap_Date)</f>
        <v>2.2875000000000001</v>
      </c>
      <c r="H134" s="3" t="s">
        <v>203</v>
      </c>
      <c r="I134" s="3" t="s">
        <v>209</v>
      </c>
      <c r="J134" s="3" t="s">
        <v>217</v>
      </c>
    </row>
    <row r="135" spans="1:10" x14ac:dyDescent="0.25">
      <c r="A135" s="1">
        <f ca="1">EDATE(Swap_Date,6)</f>
        <v>43646</v>
      </c>
      <c r="B135" s="3">
        <f ca="1">_xll.BDH(H135,"PX_LAST",Cash_Date,Cash_Date)</f>
        <v>2.34</v>
      </c>
      <c r="C135" s="1">
        <f t="shared" ca="1" si="10"/>
        <v>43908</v>
      </c>
      <c r="D135" s="3">
        <f ca="1">100-_xll.BDH(I135,"PX_LAST",Future_Date,Future_Date)</f>
        <v>2.2399999999999949</v>
      </c>
      <c r="E135" s="1">
        <f t="shared" ca="1" si="11"/>
        <v>45657</v>
      </c>
      <c r="F135" s="3">
        <f ca="1">_xll.BDH(J135,"PX_LAST",Swap_Date,Swap_Date)</f>
        <v>2.3209</v>
      </c>
      <c r="H135" s="3" t="s">
        <v>204</v>
      </c>
      <c r="I135" s="3" t="s">
        <v>210</v>
      </c>
      <c r="J135" s="3" t="s">
        <v>218</v>
      </c>
    </row>
    <row r="136" spans="1:10" x14ac:dyDescent="0.25">
      <c r="A136" s="1">
        <f ca="1">EDATE(Swap_Date,12)</f>
        <v>43830</v>
      </c>
      <c r="B136" s="3">
        <f ca="1">_xll.BDH(H136,"PX_LAST",Cash_Date,Cash_Date)</f>
        <v>2.5412499999999998</v>
      </c>
      <c r="C136" s="1">
        <f t="shared" ca="1" si="10"/>
        <v>43999</v>
      </c>
      <c r="D136" s="3">
        <f ca="1">100-_xll.BDH(I136,"PX_LAST",Future_Date,Future_Date)</f>
        <v>2.2450000000000045</v>
      </c>
      <c r="E136" s="1">
        <f t="shared" ca="1" si="11"/>
        <v>46022</v>
      </c>
      <c r="F136" s="3">
        <f ca="1">_xll.BDH(J136,"PX_LAST",Swap_Date,Swap_Date)</f>
        <v>2.3593000000000002</v>
      </c>
      <c r="H136" s="3" t="s">
        <v>205</v>
      </c>
      <c r="I136" s="3" t="s">
        <v>211</v>
      </c>
      <c r="J136" s="3" t="s">
        <v>219</v>
      </c>
    </row>
    <row r="137" spans="1:10" x14ac:dyDescent="0.25">
      <c r="C137" s="1">
        <f t="shared" ca="1" si="10"/>
        <v>44090</v>
      </c>
      <c r="D137" s="3">
        <f ca="1">100-_xll.BDH(I137,"PX_LAST",Future_Date,Future_Date)</f>
        <v>2.230000000000004</v>
      </c>
      <c r="E137" s="1">
        <f t="shared" ca="1" si="11"/>
        <v>46387</v>
      </c>
      <c r="F137" s="3">
        <f ca="1">_xll.BDH(J137,"PX_LAST",Swap_Date,Swap_Date)</f>
        <v>2.3976999999999999</v>
      </c>
      <c r="I137" s="3" t="s">
        <v>212</v>
      </c>
      <c r="J137" s="3" t="s">
        <v>220</v>
      </c>
    </row>
    <row r="138" spans="1:10" x14ac:dyDescent="0.25">
      <c r="C138" s="1">
        <f t="shared" ca="1" si="10"/>
        <v>44181</v>
      </c>
      <c r="D138" s="3">
        <f ca="1">100-_xll.BDH(I138,"PX_LAST",Future_Date,Future_Date)</f>
        <v>2.2199999999999989</v>
      </c>
      <c r="E138" s="1">
        <f t="shared" ca="1" si="11"/>
        <v>46752</v>
      </c>
      <c r="F138" s="3">
        <f ca="1">_xll.BDH(J138,"PX_LAST",Swap_Date,Swap_Date)</f>
        <v>2.4336000000000002</v>
      </c>
      <c r="I138" s="3" t="s">
        <v>213</v>
      </c>
      <c r="J138" s="3" t="s">
        <v>221</v>
      </c>
    </row>
    <row r="139" spans="1:10" x14ac:dyDescent="0.25">
      <c r="E139" s="1">
        <f t="shared" ca="1" si="11"/>
        <v>47118</v>
      </c>
      <c r="F139" s="3">
        <f ca="1">_xll.BDH(J139,"PX_LAST",Swap_Date,Swap_Date)</f>
        <v>2.4750000000000001</v>
      </c>
      <c r="J139" s="3" t="s">
        <v>222</v>
      </c>
    </row>
    <row r="140" spans="1:10" x14ac:dyDescent="0.25">
      <c r="E140" s="1">
        <f ca="1">EDATE(E139,24)</f>
        <v>47848</v>
      </c>
      <c r="F140" s="3">
        <f ca="1">_xll.BDH(J140,"PX_LAST",Swap_Date,Swap_Date)</f>
        <v>2.5411999999999999</v>
      </c>
      <c r="J140" s="3" t="s">
        <v>223</v>
      </c>
    </row>
    <row r="141" spans="1:10" x14ac:dyDescent="0.25">
      <c r="E141" s="1">
        <f ca="1">EDATE(E140,36)</f>
        <v>48944</v>
      </c>
      <c r="F141" s="3">
        <f ca="1">_xll.BDH(J141,"PX_LAST",Swap_Date,Swap_Date)</f>
        <v>2.6192000000000002</v>
      </c>
      <c r="J141" s="3" t="s">
        <v>224</v>
      </c>
    </row>
    <row r="142" spans="1:10" x14ac:dyDescent="0.25">
      <c r="E142" s="1">
        <f ca="1">EDATE(E141,60)</f>
        <v>50770</v>
      </c>
      <c r="F142" s="3">
        <f ca="1">_xll.BDH(J142,"PX_LAST",Swap_Date,Swap_Date)</f>
        <v>2.6785000000000001</v>
      </c>
      <c r="J142" s="3" t="s">
        <v>225</v>
      </c>
    </row>
    <row r="143" spans="1:10" x14ac:dyDescent="0.25">
      <c r="E143" s="1">
        <f ca="1">EDATE(E142,60)</f>
        <v>52596</v>
      </c>
      <c r="F143" s="3">
        <f ca="1">_xll.BDH(J143,"PX_LAST",Swap_Date,Swap_Date)</f>
        <v>2.6825999999999999</v>
      </c>
      <c r="J143" s="3" t="s">
        <v>226</v>
      </c>
    </row>
    <row r="144" spans="1:10" x14ac:dyDescent="0.25">
      <c r="E144" s="1">
        <f ca="1">EDATE(E143,60)</f>
        <v>54423</v>
      </c>
      <c r="F144" s="3">
        <f ca="1">_xll.BDH(J144,"PX_LAST",Swap_Date,Swap_Date)</f>
        <v>2.6844999999999999</v>
      </c>
      <c r="J144" s="3" t="s">
        <v>227</v>
      </c>
    </row>
    <row r="145" spans="1:16" x14ac:dyDescent="0.25">
      <c r="E145" s="1">
        <f ca="1">EDATE(E144,120)</f>
        <v>58075</v>
      </c>
      <c r="F145" s="3">
        <f ca="1">_xll.BDH(J145,"PX_LAST",Swap_Date,Swap_Date)</f>
        <v>2.6795</v>
      </c>
      <c r="J145" s="3" t="s">
        <v>228</v>
      </c>
    </row>
    <row r="146" spans="1:16" x14ac:dyDescent="0.25">
      <c r="E146" s="1">
        <f ca="1">EDATE(E145,12)</f>
        <v>58440</v>
      </c>
      <c r="F146" s="3">
        <f ca="1">F145</f>
        <v>2.6795</v>
      </c>
    </row>
    <row r="154" spans="1:16" x14ac:dyDescent="0.25">
      <c r="A154" s="8" t="s">
        <v>230</v>
      </c>
      <c r="B154" s="9">
        <v>6</v>
      </c>
      <c r="C154" s="9"/>
      <c r="D154" s="9">
        <v>0</v>
      </c>
      <c r="E154" s="9"/>
      <c r="F154" s="9">
        <v>100</v>
      </c>
      <c r="H154" s="3" t="s">
        <v>368</v>
      </c>
      <c r="K154" s="3" t="s">
        <v>369</v>
      </c>
      <c r="L154" s="3">
        <f ca="1">F165-F160</f>
        <v>0.71000000000000085</v>
      </c>
    </row>
    <row r="155" spans="1:16" x14ac:dyDescent="0.25">
      <c r="A155" s="3" t="s">
        <v>29</v>
      </c>
      <c r="B155" s="3" t="s">
        <v>30</v>
      </c>
      <c r="C155" s="3" t="s">
        <v>31</v>
      </c>
      <c r="D155" s="3" t="s">
        <v>32</v>
      </c>
      <c r="E155" s="3" t="s">
        <v>33</v>
      </c>
      <c r="F155" s="3" t="s">
        <v>34</v>
      </c>
    </row>
    <row r="156" spans="1:16" x14ac:dyDescent="0.25">
      <c r="A156" s="1">
        <f ca="1">WORKDAY(Swap_Date,1)</f>
        <v>43466</v>
      </c>
      <c r="B156" s="3">
        <f ca="1">B157</f>
        <v>6.4046000000000003</v>
      </c>
      <c r="C156" s="1">
        <f ca="1">nextimm(Swap_Date)</f>
        <v>43544</v>
      </c>
      <c r="D156" s="3" t="s">
        <v>246</v>
      </c>
      <c r="E156" s="1">
        <f ca="1">EDATE(Swap_Date,12)</f>
        <v>43830</v>
      </c>
      <c r="F156" s="3">
        <f ca="1">_xll.BDH(J156,"PX_LAST",Swap_Date,Swap_Date)</f>
        <v>6.5488</v>
      </c>
      <c r="J156" s="3" t="s">
        <v>236</v>
      </c>
      <c r="L156" s="20"/>
      <c r="N156" s="3">
        <v>5.7073999999999998</v>
      </c>
      <c r="O156" s="3">
        <f ca="1">F156-N156</f>
        <v>0.84140000000000015</v>
      </c>
      <c r="P156" s="3">
        <f ca="1">F156-O156</f>
        <v>5.7073999999999998</v>
      </c>
    </row>
    <row r="157" spans="1:16" x14ac:dyDescent="0.25">
      <c r="A157" s="1">
        <f ca="1">EDATE(Swap_Date,1)</f>
        <v>43496</v>
      </c>
      <c r="B157" s="3">
        <f ca="1">_xll.BDH(H157,"PX_LAST",Cash_Date,Cash_Date)</f>
        <v>6.4046000000000003</v>
      </c>
      <c r="C157" s="1">
        <f ca="1">nextimm(C156+1)</f>
        <v>43635</v>
      </c>
      <c r="D157" s="3" t="s">
        <v>246</v>
      </c>
      <c r="E157" s="1">
        <f ca="1">EDATE(E156,12)</f>
        <v>44196</v>
      </c>
      <c r="F157" s="3">
        <f ca="1">_xll.BDH(J157,"PX_LAST",Swap_Date,Swap_Date)</f>
        <v>7.3567999999999998</v>
      </c>
      <c r="G157" s="3">
        <f t="shared" ref="G157:G164" ca="1" si="12">100*(F157-F156)</f>
        <v>80.799999999999983</v>
      </c>
      <c r="H157" s="3" t="s">
        <v>231</v>
      </c>
      <c r="J157" s="3" t="s">
        <v>237</v>
      </c>
      <c r="N157" s="3">
        <v>6.5526</v>
      </c>
      <c r="O157" s="3">
        <f t="shared" ref="O157:O164" ca="1" si="13">F157-N157</f>
        <v>0.8041999999999998</v>
      </c>
      <c r="P157" s="3">
        <f t="shared" ref="P157:P172" ca="1" si="14">F157-O157</f>
        <v>6.5526</v>
      </c>
    </row>
    <row r="158" spans="1:16" x14ac:dyDescent="0.25">
      <c r="A158" s="1">
        <f ca="1">EDATE(A157,1)</f>
        <v>43524</v>
      </c>
      <c r="B158" s="3">
        <f ca="1">IF(ISNUMBER(_xll.BDH(H158,"PX_LAST",Cash_Date,Cash_Date)),_xll.BDH(H158,"PX_LAST",Cash_Date,Cash_Date),0.5*(B157+B159))</f>
        <v>6.4173</v>
      </c>
      <c r="C158" s="1">
        <f t="shared" ref="C158:C163" ca="1" si="15">nextimm(C157+1)</f>
        <v>43726</v>
      </c>
      <c r="D158" s="3" t="s">
        <v>246</v>
      </c>
      <c r="E158" s="1">
        <f ca="1">EDATE(E157,12)</f>
        <v>44561</v>
      </c>
      <c r="F158" s="3">
        <f ca="1">_xll.BDH(J158,"PX_LAST",Swap_Date,Swap_Date)</f>
        <v>8.0782000000000007</v>
      </c>
      <c r="G158" s="3">
        <f t="shared" ca="1" si="12"/>
        <v>72.1400000000001</v>
      </c>
      <c r="H158" s="3" t="s">
        <v>232</v>
      </c>
      <c r="J158" s="3" t="s">
        <v>238</v>
      </c>
      <c r="N158" s="3">
        <v>7.1788999999999996</v>
      </c>
      <c r="O158" s="3">
        <f t="shared" ca="1" si="13"/>
        <v>0.8993000000000011</v>
      </c>
      <c r="P158" s="3">
        <f t="shared" ca="1" si="14"/>
        <v>7.1788999999999996</v>
      </c>
    </row>
    <row r="159" spans="1:16" x14ac:dyDescent="0.25">
      <c r="A159" s="1">
        <f ca="1">EDATE(A158,1)</f>
        <v>43552</v>
      </c>
      <c r="B159" s="3">
        <f ca="1">_xll.BDH(H159,"PX_LAST",Cash_Date,Cash_Date)</f>
        <v>6.43</v>
      </c>
      <c r="C159" s="1">
        <f t="shared" ca="1" si="15"/>
        <v>43817</v>
      </c>
      <c r="D159" s="3" t="s">
        <v>246</v>
      </c>
      <c r="E159" s="1">
        <f t="shared" ref="E159:E165" ca="1" si="16">EDATE(E158,12)</f>
        <v>44926</v>
      </c>
      <c r="F159" s="3">
        <f ca="1">_xll.BDH(J159,"PX_LAST",Swap_Date,Swap_Date)</f>
        <v>8.5319000000000003</v>
      </c>
      <c r="G159" s="3">
        <f t="shared" ca="1" si="12"/>
        <v>45.369999999999955</v>
      </c>
      <c r="H159" s="3" t="s">
        <v>233</v>
      </c>
      <c r="J159" s="3" t="s">
        <v>239</v>
      </c>
      <c r="N159" s="3">
        <v>7.5522999999999998</v>
      </c>
      <c r="O159" s="3">
        <f t="shared" ca="1" si="13"/>
        <v>0.97960000000000047</v>
      </c>
      <c r="P159" s="3">
        <f t="shared" ca="1" si="14"/>
        <v>7.5522999999999998</v>
      </c>
    </row>
    <row r="160" spans="1:16" x14ac:dyDescent="0.25">
      <c r="A160" s="1">
        <f ca="1">EDATE(A159,3)</f>
        <v>43644</v>
      </c>
      <c r="B160" s="3">
        <f ca="1">_xll.BDH(H160,"PX_LAST",Cash_Date,Cash_Date)</f>
        <v>6.4550000000000001</v>
      </c>
      <c r="C160" s="1">
        <f t="shared" ca="1" si="15"/>
        <v>43908</v>
      </c>
      <c r="D160" s="3" t="s">
        <v>246</v>
      </c>
      <c r="E160" s="1">
        <f t="shared" ca="1" si="16"/>
        <v>45291</v>
      </c>
      <c r="F160" s="3">
        <f ca="1">_xll.BDH(J160,"PX_LAST",Swap_Date,Swap_Date)</f>
        <v>8.86</v>
      </c>
      <c r="G160" s="3">
        <f t="shared" ca="1" si="12"/>
        <v>32.809999999999917</v>
      </c>
      <c r="H160" s="3" t="s">
        <v>234</v>
      </c>
      <c r="J160" s="3" t="s">
        <v>240</v>
      </c>
      <c r="N160" s="3">
        <v>7.8151999999999999</v>
      </c>
      <c r="O160" s="3">
        <f t="shared" ca="1" si="13"/>
        <v>1.0447999999999995</v>
      </c>
      <c r="P160" s="3">
        <f t="shared" ca="1" si="14"/>
        <v>7.8151999999999999</v>
      </c>
    </row>
    <row r="161" spans="1:16" x14ac:dyDescent="0.25">
      <c r="A161" s="1">
        <f ca="1">EDATE(A160,3)</f>
        <v>43736</v>
      </c>
      <c r="B161" s="3">
        <f ca="1">_xll.BDH(H161,"PX_LAST",Cash_Date,Cash_Date)</f>
        <v>6.4882999999999997</v>
      </c>
      <c r="C161" s="1">
        <f t="shared" ca="1" si="15"/>
        <v>43999</v>
      </c>
      <c r="D161" s="3" t="s">
        <v>246</v>
      </c>
      <c r="E161" s="1">
        <f t="shared" ca="1" si="16"/>
        <v>45657</v>
      </c>
      <c r="F161" s="3">
        <f ca="1">_xll.BDH(J161,"PX_LAST",Swap_Date,Swap_Date)</f>
        <v>9.0991</v>
      </c>
      <c r="G161" s="3">
        <f t="shared" ca="1" si="12"/>
        <v>23.910000000000053</v>
      </c>
      <c r="H161" s="3" t="s">
        <v>235</v>
      </c>
      <c r="J161" s="3" t="s">
        <v>241</v>
      </c>
      <c r="N161" s="3">
        <v>8.0724999999999998</v>
      </c>
      <c r="O161" s="3">
        <f t="shared" ca="1" si="13"/>
        <v>1.0266000000000002</v>
      </c>
      <c r="P161" s="3">
        <f t="shared" ca="1" si="14"/>
        <v>8.0724999999999998</v>
      </c>
    </row>
    <row r="162" spans="1:16" x14ac:dyDescent="0.25">
      <c r="C162" s="1">
        <f t="shared" ca="1" si="15"/>
        <v>44090</v>
      </c>
      <c r="D162" s="3" t="s">
        <v>246</v>
      </c>
      <c r="E162" s="1">
        <f t="shared" ca="1" si="16"/>
        <v>46022</v>
      </c>
      <c r="F162" s="3">
        <f ca="1">_xll.BDH(J162,"PX_LAST",Swap_Date,Swap_Date)</f>
        <v>9.2792999999999992</v>
      </c>
      <c r="G162" s="3">
        <f t="shared" ca="1" si="12"/>
        <v>18.019999999999925</v>
      </c>
      <c r="J162" s="3" t="s">
        <v>242</v>
      </c>
      <c r="N162" s="3">
        <v>8.2072000000000003</v>
      </c>
      <c r="O162" s="3">
        <f t="shared" ca="1" si="13"/>
        <v>1.0720999999999989</v>
      </c>
      <c r="P162" s="3">
        <f t="shared" ca="1" si="14"/>
        <v>8.2072000000000003</v>
      </c>
    </row>
    <row r="163" spans="1:16" x14ac:dyDescent="0.25">
      <c r="C163" s="1">
        <f t="shared" ca="1" si="15"/>
        <v>44181</v>
      </c>
      <c r="D163" s="3" t="s">
        <v>246</v>
      </c>
      <c r="E163" s="1">
        <f t="shared" ca="1" si="16"/>
        <v>46387</v>
      </c>
      <c r="F163" s="3">
        <f ca="1">_xll.BDH(J163,"PX_LAST",Swap_Date,Swap_Date)</f>
        <v>9.4097000000000008</v>
      </c>
      <c r="G163" s="3">
        <f t="shared" ca="1" si="12"/>
        <v>13.040000000000163</v>
      </c>
      <c r="J163" s="3" t="s">
        <v>243</v>
      </c>
      <c r="N163" s="3">
        <v>8.3289000000000009</v>
      </c>
      <c r="O163" s="3">
        <f t="shared" ca="1" si="13"/>
        <v>1.0808</v>
      </c>
      <c r="P163" s="3">
        <f t="shared" ca="1" si="14"/>
        <v>8.3289000000000009</v>
      </c>
    </row>
    <row r="164" spans="1:16" x14ac:dyDescent="0.25">
      <c r="E164" s="1">
        <f t="shared" ca="1" si="16"/>
        <v>46752</v>
      </c>
      <c r="F164" s="3">
        <f ca="1">_xll.BDH(J164,"PX_LAST",Swap_Date,Swap_Date)</f>
        <v>9.4747000000000003</v>
      </c>
      <c r="G164" s="3">
        <f t="shared" ca="1" si="12"/>
        <v>6.4999999999999503</v>
      </c>
      <c r="J164" s="3" t="s">
        <v>244</v>
      </c>
      <c r="N164" s="3">
        <v>8.3926999999999996</v>
      </c>
      <c r="O164" s="3">
        <f t="shared" ca="1" si="13"/>
        <v>1.0820000000000007</v>
      </c>
      <c r="P164" s="3">
        <f t="shared" ca="1" si="14"/>
        <v>8.3926999999999996</v>
      </c>
    </row>
    <row r="165" spans="1:16" x14ac:dyDescent="0.25">
      <c r="E165" s="1">
        <f t="shared" ca="1" si="16"/>
        <v>47118</v>
      </c>
      <c r="F165" s="3">
        <f ca="1">_xll.BDH(J165,"PX_LAST",Swap_Date,Swap_Date)</f>
        <v>9.57</v>
      </c>
      <c r="G165" s="3">
        <f ca="1">100*(F165-F164)</f>
        <v>9.529999999999994</v>
      </c>
      <c r="J165" s="3" t="s">
        <v>245</v>
      </c>
      <c r="O165" s="3">
        <f ca="1">O164</f>
        <v>1.0820000000000007</v>
      </c>
      <c r="P165" s="3">
        <f t="shared" ca="1" si="14"/>
        <v>8.4879999999999995</v>
      </c>
    </row>
    <row r="166" spans="1:16" x14ac:dyDescent="0.25">
      <c r="E166" s="1">
        <f ca="1">EDATE(E165,24)</f>
        <v>47848</v>
      </c>
      <c r="F166" s="3">
        <f ca="1">_xll.BDH(J166,"PX_LAST",Swap_Date,Swap_Date)</f>
        <v>9.57</v>
      </c>
      <c r="J166" s="3" t="s">
        <v>245</v>
      </c>
      <c r="O166" s="3">
        <f t="shared" ref="O166:O172" ca="1" si="17">O165</f>
        <v>1.0820000000000007</v>
      </c>
      <c r="P166" s="3">
        <f t="shared" ca="1" si="14"/>
        <v>8.4879999999999995</v>
      </c>
    </row>
    <row r="167" spans="1:16" x14ac:dyDescent="0.25">
      <c r="E167" s="1">
        <f ca="1">EDATE(E166,36)</f>
        <v>48944</v>
      </c>
      <c r="F167" s="3">
        <f ca="1">_xll.BDH(J167,"PX_LAST",Swap_Date,Swap_Date)</f>
        <v>9.57</v>
      </c>
      <c r="J167" s="3" t="s">
        <v>245</v>
      </c>
      <c r="O167" s="3">
        <f t="shared" ca="1" si="17"/>
        <v>1.0820000000000007</v>
      </c>
      <c r="P167" s="3">
        <f t="shared" ca="1" si="14"/>
        <v>8.4879999999999995</v>
      </c>
    </row>
    <row r="168" spans="1:16" x14ac:dyDescent="0.25">
      <c r="E168" s="1">
        <f ca="1">EDATE(E167,60)</f>
        <v>50770</v>
      </c>
      <c r="F168" s="3">
        <f ca="1">_xll.BDH(J168,"PX_LAST",Swap_Date,Swap_Date)</f>
        <v>9.57</v>
      </c>
      <c r="J168" s="3" t="s">
        <v>245</v>
      </c>
      <c r="O168" s="3">
        <f t="shared" ca="1" si="17"/>
        <v>1.0820000000000007</v>
      </c>
      <c r="P168" s="3">
        <f t="shared" ca="1" si="14"/>
        <v>8.4879999999999995</v>
      </c>
    </row>
    <row r="169" spans="1:16" x14ac:dyDescent="0.25">
      <c r="E169" s="1">
        <f ca="1">EDATE(E168,60)</f>
        <v>52596</v>
      </c>
      <c r="F169" s="3">
        <f ca="1">_xll.BDH(J169,"PX_LAST",Swap_Date,Swap_Date)</f>
        <v>9.57</v>
      </c>
      <c r="J169" s="3" t="s">
        <v>245</v>
      </c>
      <c r="O169" s="3">
        <f t="shared" ca="1" si="17"/>
        <v>1.0820000000000007</v>
      </c>
      <c r="P169" s="3">
        <f t="shared" ca="1" si="14"/>
        <v>8.4879999999999995</v>
      </c>
    </row>
    <row r="170" spans="1:16" x14ac:dyDescent="0.25">
      <c r="E170" s="1">
        <f ca="1">EDATE(E169,60)</f>
        <v>54423</v>
      </c>
      <c r="F170" s="3">
        <f ca="1">_xll.BDH(J170,"PX_LAST",Swap_Date,Swap_Date)</f>
        <v>9.57</v>
      </c>
      <c r="J170" s="3" t="s">
        <v>245</v>
      </c>
      <c r="O170" s="3">
        <f t="shared" ca="1" si="17"/>
        <v>1.0820000000000007</v>
      </c>
      <c r="P170" s="3">
        <f t="shared" ca="1" si="14"/>
        <v>8.4879999999999995</v>
      </c>
    </row>
    <row r="171" spans="1:16" x14ac:dyDescent="0.25">
      <c r="E171" s="1">
        <f ca="1">EDATE(E170,120)</f>
        <v>58075</v>
      </c>
      <c r="F171" s="3">
        <f ca="1">_xll.BDH(J171,"PX_LAST",Swap_Date,Swap_Date)</f>
        <v>9.57</v>
      </c>
      <c r="J171" s="3" t="s">
        <v>245</v>
      </c>
      <c r="O171" s="3">
        <f t="shared" ca="1" si="17"/>
        <v>1.0820000000000007</v>
      </c>
      <c r="P171" s="3">
        <f t="shared" ca="1" si="14"/>
        <v>8.4879999999999995</v>
      </c>
    </row>
    <row r="172" spans="1:16" x14ac:dyDescent="0.25">
      <c r="E172" s="1">
        <f ca="1">EDATE(E171,12)</f>
        <v>58440</v>
      </c>
      <c r="F172" s="3">
        <f ca="1">_xll.BDH(J172,"PX_LAST",Swap_Date,Swap_Date)</f>
        <v>9.57</v>
      </c>
      <c r="J172" s="3" t="s">
        <v>245</v>
      </c>
      <c r="O172" s="3">
        <f t="shared" ca="1" si="17"/>
        <v>1.0820000000000007</v>
      </c>
      <c r="P172" s="3">
        <f t="shared" ca="1" si="14"/>
        <v>8.4879999999999995</v>
      </c>
    </row>
    <row r="179" spans="1:10" x14ac:dyDescent="0.25">
      <c r="A179" s="3" t="s">
        <v>510</v>
      </c>
      <c r="B179" s="3">
        <v>6</v>
      </c>
      <c r="D179" s="3">
        <v>0</v>
      </c>
      <c r="F179" s="3">
        <v>100</v>
      </c>
    </row>
    <row r="180" spans="1:10" x14ac:dyDescent="0.25">
      <c r="A180" s="3" t="s">
        <v>29</v>
      </c>
      <c r="B180" s="3" t="s">
        <v>30</v>
      </c>
      <c r="C180" s="3" t="s">
        <v>31</v>
      </c>
      <c r="D180" s="3" t="s">
        <v>32</v>
      </c>
      <c r="E180" s="3" t="s">
        <v>33</v>
      </c>
      <c r="F180" s="3" t="s">
        <v>34</v>
      </c>
    </row>
    <row r="181" spans="1:10" x14ac:dyDescent="0.25">
      <c r="A181" s="1">
        <f ca="1">WORKDAY(Swap_Date,1)</f>
        <v>43466</v>
      </c>
      <c r="B181" s="3">
        <f ca="1">IF(ISNUMBER(_xll.BDH(H181,"PX_LAST",Cash_Date,Cash_Date)),_xll.BDH(H181,"PX_LAST",Cash_Date,Cash_Date),B186)</f>
        <v>4.3899999999999997</v>
      </c>
      <c r="C181" s="1">
        <f ca="1">nextimm(Swap_Date)</f>
        <v>43544</v>
      </c>
      <c r="D181" s="3" t="s">
        <v>246</v>
      </c>
      <c r="E181" s="1">
        <f ca="1">EDATE(Swap_Date,24)</f>
        <v>44196</v>
      </c>
      <c r="F181" s="3">
        <f ca="1">IF(ISNUMBER(_xll.BDH(J181,"PX_LAST",Swap_Date,Swap_Date)),_xll.BDH(J181,"PX_LAST",Swap_Date,Swap_Date),B188)</f>
        <v>4.3899999999999997</v>
      </c>
      <c r="H181" s="3" t="s">
        <v>511</v>
      </c>
      <c r="I181" s="3" t="s">
        <v>141</v>
      </c>
      <c r="J181" s="3" t="s">
        <v>512</v>
      </c>
    </row>
    <row r="182" spans="1:10" x14ac:dyDescent="0.25">
      <c r="A182" s="1">
        <f ca="1">EDATE(Swap_Date,1)</f>
        <v>43496</v>
      </c>
      <c r="B182" s="3">
        <f ca="1">IF(ISNUMBER(_xll.BDH(H182,"PX_LAST",Cash_Date,Cash_Date)),_xll.BDH(H182,"PX_LAST",Cash_Date,Cash_Date),B181)</f>
        <v>4.3899999999999997</v>
      </c>
      <c r="C182" s="1">
        <f ca="1">nextimm(C181+1)</f>
        <v>43635</v>
      </c>
      <c r="D182" s="3" t="s">
        <v>246</v>
      </c>
      <c r="E182" s="1">
        <f ca="1">EDATE(E181,12)</f>
        <v>44561</v>
      </c>
      <c r="F182" s="3">
        <f ca="1">IF(ISNUMBER(_xll.BDH(J182,"PX_LAST",Swap_Date,Swap_Date)),_xll.BDH(J182,"PX_LAST",Swap_Date,Swap_Date),0.1*(F191-F181)+F181)</f>
        <v>4.5744999999999996</v>
      </c>
      <c r="H182" s="3" t="s">
        <v>531</v>
      </c>
      <c r="I182" s="3" t="s">
        <v>142</v>
      </c>
      <c r="J182" s="3" t="s">
        <v>513</v>
      </c>
    </row>
    <row r="183" spans="1:10" x14ac:dyDescent="0.25">
      <c r="A183" s="1">
        <f ca="1">EDATE(Swap_Date,2)</f>
        <v>43524</v>
      </c>
      <c r="B183" s="3">
        <f ca="1">0.5*(B182+B184)</f>
        <v>4.3899999999999997</v>
      </c>
      <c r="C183" s="1">
        <f t="shared" ref="C183:C188" ca="1" si="18">nextimm(C182+1)</f>
        <v>43726</v>
      </c>
      <c r="D183" s="3" t="s">
        <v>246</v>
      </c>
      <c r="E183" s="1">
        <f t="shared" ref="E183:E196" ca="1" si="19">EDATE(E182,12)</f>
        <v>44926</v>
      </c>
      <c r="F183" s="3">
        <f ca="1">IF(ISNUMBER(_xll.BDH(J183,"PX_LAST",Swap_Date,Swap_Date)),_xll.BDH(J183,"PX_LAST",Swap_Date,Swap_Date),0.5*(F182+F184))</f>
        <v>4.9622499999999992</v>
      </c>
      <c r="I183" s="3" t="s">
        <v>143</v>
      </c>
      <c r="J183" s="3" t="s">
        <v>514</v>
      </c>
    </row>
    <row r="184" spans="1:10" x14ac:dyDescent="0.25">
      <c r="A184" s="1">
        <f ca="1">EDATE(Swap_Date,3)</f>
        <v>43555</v>
      </c>
      <c r="B184" s="3">
        <f ca="1">IF(ISNUMBER(_xll.BDH(H184,"PX_LAST",Cash_Date,Cash_Date)),_xll.BDH(H184,"PX_LAST",Cash_Date,Cash_Date),B181)</f>
        <v>4.3899999999999997</v>
      </c>
      <c r="C184" s="1">
        <f t="shared" ca="1" si="18"/>
        <v>43817</v>
      </c>
      <c r="D184" s="3" t="s">
        <v>246</v>
      </c>
      <c r="E184" s="1">
        <f t="shared" ca="1" si="19"/>
        <v>45291</v>
      </c>
      <c r="F184" s="3">
        <f ca="1">_xll.BDH(J184,"PX_LAST",Swap_Date,Swap_Date)</f>
        <v>5.35</v>
      </c>
      <c r="H184" s="3" t="s">
        <v>532</v>
      </c>
      <c r="I184" s="3" t="s">
        <v>144</v>
      </c>
      <c r="J184" s="3" t="s">
        <v>515</v>
      </c>
    </row>
    <row r="185" spans="1:10" x14ac:dyDescent="0.25">
      <c r="A185" s="1">
        <f ca="1">EDATE(Swap_Date,6)</f>
        <v>43646</v>
      </c>
      <c r="B185" s="3">
        <f ca="1">IF(ISNUMBER(_xll.BDH(H185,"PX_LAST",Cash_Date,Cash_Date)),_xll.BDH(H185,"PX_LAST",Cash_Date,Cash_Date),B181)</f>
        <v>4.3899999999999997</v>
      </c>
      <c r="C185" s="1">
        <f t="shared" ca="1" si="18"/>
        <v>43908</v>
      </c>
      <c r="D185" s="3" t="s">
        <v>246</v>
      </c>
      <c r="E185" s="1">
        <f t="shared" ca="1" si="19"/>
        <v>45657</v>
      </c>
      <c r="F185" s="3">
        <f ca="1">IF(ISNUMBER(_xll.BDH(J185,"PX_LAST",Swap_Date,Swap_Date)),_xll.BDH(J185,"PX_LAST",Swap_Date,Swap_Date),0.5*(F184+F186))</f>
        <v>5.5299999999999994</v>
      </c>
      <c r="H185" s="3" t="s">
        <v>533</v>
      </c>
      <c r="I185" s="3" t="s">
        <v>145</v>
      </c>
      <c r="J185" s="3" t="s">
        <v>516</v>
      </c>
    </row>
    <row r="186" spans="1:10" x14ac:dyDescent="0.25">
      <c r="A186" s="1">
        <f ca="1">EDATE(Swap_Date,12)</f>
        <v>43830</v>
      </c>
      <c r="B186" s="3">
        <f ca="1">_xll.BDH(H186,"PX_LAST",Cash_Date,Cash_Date)</f>
        <v>4.3899999999999997</v>
      </c>
      <c r="C186" s="1">
        <f t="shared" ca="1" si="18"/>
        <v>43999</v>
      </c>
      <c r="D186" s="3" t="s">
        <v>246</v>
      </c>
      <c r="E186" s="1">
        <f t="shared" ca="1" si="19"/>
        <v>46022</v>
      </c>
      <c r="F186" s="3">
        <f ca="1">_xll.BDH(J186,"PX_LAST",Swap_Date,Swap_Date)</f>
        <v>5.71</v>
      </c>
      <c r="H186" s="3" t="s">
        <v>534</v>
      </c>
      <c r="I186" s="3" t="s">
        <v>146</v>
      </c>
      <c r="J186" s="3" t="s">
        <v>517</v>
      </c>
    </row>
    <row r="187" spans="1:10" x14ac:dyDescent="0.25">
      <c r="A187" s="11">
        <f ca="1">EDATE(Swap_Date,18)</f>
        <v>44012</v>
      </c>
      <c r="B187" s="3">
        <f ca="1">IF(ISNUMBER(_xll.BDH(H187,"PX_LAST",Cash_Date,Cash_Date)),_xll.BDH(H187,"PX_LAST",Cash_Date,Cash_Date),B181)</f>
        <v>4.3899999999999997</v>
      </c>
      <c r="C187" s="1">
        <f t="shared" ca="1" si="18"/>
        <v>44090</v>
      </c>
      <c r="D187" s="3" t="s">
        <v>246</v>
      </c>
      <c r="E187" s="1">
        <f t="shared" ca="1" si="19"/>
        <v>46387</v>
      </c>
      <c r="F187" s="3">
        <f ca="1">IF(ISNUMBER(_xll.BDH(J187,"PX_LAST",Swap_Date,Swap_Date)),_xll.BDH(J187,"PX_LAST",Swap_Date,Swap_Date),0.5*(F186+F189))</f>
        <v>5.9075000000000006</v>
      </c>
      <c r="H187" s="3" t="s">
        <v>535</v>
      </c>
      <c r="I187" s="3" t="s">
        <v>147</v>
      </c>
      <c r="J187" s="3" t="s">
        <v>518</v>
      </c>
    </row>
    <row r="188" spans="1:10" x14ac:dyDescent="0.25">
      <c r="A188" s="11">
        <f ca="1">EDATE(Swap_Date,24)</f>
        <v>44196</v>
      </c>
      <c r="B188" s="12">
        <f ca="1">B187+(B187-B186)</f>
        <v>4.3899999999999997</v>
      </c>
      <c r="C188" s="1">
        <f t="shared" ca="1" si="18"/>
        <v>44181</v>
      </c>
      <c r="D188" s="3" t="s">
        <v>246</v>
      </c>
      <c r="E188" s="1">
        <f t="shared" ca="1" si="19"/>
        <v>46752</v>
      </c>
      <c r="F188" s="3">
        <f ca="1">IF(ISNUMBER(_xll.BDH(J188,"PX_LAST",Swap_Date,Swap_Date)),_xll.BDH(J188,"PX_LAST",Swap_Date,Swap_Date),0.5*(F187+F189))</f>
        <v>6.0062500000000005</v>
      </c>
      <c r="I188" s="3" t="s">
        <v>148</v>
      </c>
      <c r="J188" s="3" t="s">
        <v>519</v>
      </c>
    </row>
    <row r="189" spans="1:10" x14ac:dyDescent="0.25">
      <c r="E189" s="1">
        <f t="shared" ca="1" si="19"/>
        <v>47118</v>
      </c>
      <c r="F189" s="3">
        <f ca="1">_xll.BDH(J189,"PX_LAST",Swap_Date,Swap_Date)</f>
        <v>6.1050000000000004</v>
      </c>
      <c r="J189" s="3" t="s">
        <v>520</v>
      </c>
    </row>
    <row r="190" spans="1:10" x14ac:dyDescent="0.25">
      <c r="E190" s="1">
        <f t="shared" ca="1" si="19"/>
        <v>47483</v>
      </c>
      <c r="F190" s="3">
        <f ca="1">0.5*(F189+F191)</f>
        <v>6.17</v>
      </c>
      <c r="J190" s="3" t="s">
        <v>521</v>
      </c>
    </row>
    <row r="191" spans="1:10" x14ac:dyDescent="0.25">
      <c r="E191" s="1">
        <f t="shared" ca="1" si="19"/>
        <v>47848</v>
      </c>
      <c r="F191" s="3">
        <f ca="1">_xll.BDH(J191,"PX_LAST",Swap_Date,Swap_Date)</f>
        <v>6.2350000000000003</v>
      </c>
      <c r="J191" s="3" t="s">
        <v>522</v>
      </c>
    </row>
    <row r="192" spans="1:10" x14ac:dyDescent="0.25">
      <c r="E192" s="1">
        <f t="shared" ca="1" si="19"/>
        <v>48213</v>
      </c>
      <c r="F192" s="3">
        <f ca="1">1/3*(F194-F191)+F191</f>
        <v>6.3050000000000006</v>
      </c>
      <c r="J192" s="3" t="s">
        <v>523</v>
      </c>
    </row>
    <row r="193" spans="5:10" x14ac:dyDescent="0.25">
      <c r="E193" s="1">
        <f t="shared" ca="1" si="19"/>
        <v>48579</v>
      </c>
      <c r="F193" s="3">
        <f ca="1">2/3*(F194-F191)+F191</f>
        <v>6.375</v>
      </c>
      <c r="J193" s="3" t="s">
        <v>524</v>
      </c>
    </row>
    <row r="194" spans="5:10" x14ac:dyDescent="0.25">
      <c r="E194" s="1">
        <f t="shared" ca="1" si="19"/>
        <v>48944</v>
      </c>
      <c r="F194" s="3">
        <f ca="1">_xll.BDH(J194,"PX_LAST",Swap_Date,Swap_Date)</f>
        <v>6.4450000000000003</v>
      </c>
      <c r="J194" s="3" t="s">
        <v>525</v>
      </c>
    </row>
    <row r="195" spans="5:10" x14ac:dyDescent="0.25">
      <c r="E195" s="1">
        <f t="shared" ca="1" si="19"/>
        <v>49309</v>
      </c>
      <c r="F195" s="3">
        <f ca="1">1/5*(F197-F194)+F194</f>
        <v>6.4930000000000003</v>
      </c>
      <c r="J195" s="3" t="s">
        <v>526</v>
      </c>
    </row>
    <row r="196" spans="5:10" x14ac:dyDescent="0.25">
      <c r="E196" s="1">
        <f t="shared" ca="1" si="19"/>
        <v>49674</v>
      </c>
      <c r="F196" s="3">
        <f ca="1">2/5*(F197-F194)+F194</f>
        <v>6.5410000000000004</v>
      </c>
      <c r="J196" s="3" t="s">
        <v>527</v>
      </c>
    </row>
    <row r="197" spans="5:10" x14ac:dyDescent="0.25">
      <c r="E197" s="1">
        <f ca="1">EDATE(E196,36)</f>
        <v>50770</v>
      </c>
      <c r="F197" s="3">
        <f ca="1">_xll.BDH(J197,"PX_LAST",Swap_Date,Swap_Date)</f>
        <v>6.6850000000000005</v>
      </c>
      <c r="J197" s="3" t="s">
        <v>528</v>
      </c>
    </row>
    <row r="198" spans="5:10" x14ac:dyDescent="0.25">
      <c r="E198" s="1">
        <f ca="1">EDATE(E197,60)</f>
        <v>52596</v>
      </c>
      <c r="F198" s="3">
        <f ca="1">F197</f>
        <v>6.6850000000000005</v>
      </c>
    </row>
    <row r="199" spans="5:10" x14ac:dyDescent="0.25">
      <c r="E199" s="1">
        <f ca="1">EDATE(E198,60)</f>
        <v>54423</v>
      </c>
      <c r="F199" s="3">
        <f t="shared" ref="F199:F201" ca="1" si="20">F198</f>
        <v>6.6850000000000005</v>
      </c>
    </row>
    <row r="200" spans="5:10" x14ac:dyDescent="0.25">
      <c r="E200" s="1">
        <f ca="1">EDATE(E199,120)</f>
        <v>58075</v>
      </c>
      <c r="F200" s="3">
        <f t="shared" ca="1" si="20"/>
        <v>6.6850000000000005</v>
      </c>
    </row>
    <row r="201" spans="5:10" x14ac:dyDescent="0.25">
      <c r="E201" s="1">
        <f ca="1">EDATE(E200,12)</f>
        <v>58440</v>
      </c>
      <c r="F201" s="3">
        <f t="shared" ca="1" si="20"/>
        <v>6.6850000000000005</v>
      </c>
    </row>
  </sheetData>
  <mergeCells count="4">
    <mergeCell ref="A1:B1"/>
    <mergeCell ref="A2:B2"/>
    <mergeCell ref="A3:B3"/>
    <mergeCell ref="M56:N5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893E-770E-4BFF-9B9B-3468375AD628}">
  <sheetPr codeName="Sheet35"/>
  <dimension ref="A1:V201"/>
  <sheetViews>
    <sheetView topLeftCell="A19" zoomScale="70" zoomScaleNormal="70" workbookViewId="0">
      <selection activeCell="J150" sqref="J150"/>
    </sheetView>
  </sheetViews>
  <sheetFormatPr defaultColWidth="8.85546875" defaultRowHeight="15" x14ac:dyDescent="0.25"/>
  <cols>
    <col min="1" max="1" width="9.5703125" style="3" customWidth="1"/>
    <col min="2" max="2" width="8.85546875" style="3"/>
    <col min="3" max="3" width="10.28515625" style="3" customWidth="1"/>
    <col min="4" max="4" width="12" style="3" bestFit="1" customWidth="1"/>
    <col min="5" max="5" width="9.5703125" style="3" bestFit="1" customWidth="1"/>
    <col min="6" max="12" width="8.85546875" style="3"/>
    <col min="13" max="13" width="11.7109375" style="3" customWidth="1"/>
    <col min="14" max="16384" width="8.85546875" style="3"/>
  </cols>
  <sheetData>
    <row r="1" spans="1:10" x14ac:dyDescent="0.25">
      <c r="A1" s="64" t="s">
        <v>69</v>
      </c>
      <c r="B1" s="64"/>
    </row>
    <row r="2" spans="1:10" x14ac:dyDescent="0.25">
      <c r="A2" s="64" t="s">
        <v>70</v>
      </c>
      <c r="B2" s="64"/>
    </row>
    <row r="3" spans="1:10" x14ac:dyDescent="0.25">
      <c r="A3" s="64" t="s">
        <v>71</v>
      </c>
      <c r="B3" s="64"/>
      <c r="C3" s="1"/>
      <c r="E3" s="2"/>
    </row>
    <row r="4" spans="1:10" x14ac:dyDescent="0.25">
      <c r="A4" s="3" t="s">
        <v>12</v>
      </c>
      <c r="B4" s="3">
        <v>7</v>
      </c>
      <c r="D4" s="3">
        <v>7</v>
      </c>
      <c r="F4" s="3">
        <v>100</v>
      </c>
      <c r="H4" s="3" t="s">
        <v>35</v>
      </c>
    </row>
    <row r="5" spans="1:10" x14ac:dyDescent="0.25">
      <c r="A5" s="3" t="s">
        <v>29</v>
      </c>
      <c r="B5" s="3" t="s">
        <v>30</v>
      </c>
      <c r="C5" s="3" t="s">
        <v>31</v>
      </c>
      <c r="D5" s="3" t="s">
        <v>32</v>
      </c>
      <c r="E5" s="3" t="s">
        <v>33</v>
      </c>
      <c r="F5" s="3" t="s">
        <v>34</v>
      </c>
    </row>
    <row r="6" spans="1:10" x14ac:dyDescent="0.25">
      <c r="A6" s="1">
        <f ca="1">WORKDAY(Swap_Date,1)</f>
        <v>43466</v>
      </c>
      <c r="B6" s="3">
        <f ca="1">_xll.BDP(H6,"PX_LAST")</f>
        <v>2.37825</v>
      </c>
      <c r="C6" s="1">
        <f ca="1">nextimm(Swap_Date)</f>
        <v>43544</v>
      </c>
      <c r="D6" s="3">
        <f ca="1">100-IF(ISNUMBER(_xll.BDP(I6,"PX_LAST")),_xll.BDP(I6,"PX_LAST"),100-B9)</f>
        <v>3.2249999999999943</v>
      </c>
      <c r="E6" s="1">
        <f ca="1">EDATE(Swap_Date,24)</f>
        <v>44196</v>
      </c>
      <c r="F6" s="3">
        <f ca="1">_xll.BDP(J6,"PX_LAST")</f>
        <v>2.6781000000000001</v>
      </c>
      <c r="H6" s="3" t="s">
        <v>36</v>
      </c>
      <c r="I6" s="3" t="s">
        <v>42</v>
      </c>
      <c r="J6" s="3" t="s">
        <v>50</v>
      </c>
    </row>
    <row r="7" spans="1:10" x14ac:dyDescent="0.25">
      <c r="A7" s="1">
        <f ca="1">EDATE(Swap_Date,1)</f>
        <v>43496</v>
      </c>
      <c r="B7" s="3">
        <f ca="1">_xll.BDP(H7,"PX_LAST")</f>
        <v>2.5026899999999999</v>
      </c>
      <c r="C7" s="1">
        <f ca="1">nextimm(C6+1)</f>
        <v>43635</v>
      </c>
      <c r="D7" s="3">
        <f ca="1">100-_xll.BDP(I7,"PX_LAST")</f>
        <v>3.230000000000004</v>
      </c>
      <c r="E7" s="1">
        <f ca="1">EDATE(E6,12)</f>
        <v>44561</v>
      </c>
      <c r="F7" s="3">
        <f ca="1">_xll.BDP(J7,"PX_LAST")</f>
        <v>2.6091000000000002</v>
      </c>
      <c r="H7" s="3" t="s">
        <v>37</v>
      </c>
      <c r="I7" s="3" t="s">
        <v>43</v>
      </c>
      <c r="J7" s="3" t="s">
        <v>51</v>
      </c>
    </row>
    <row r="8" spans="1:10" x14ac:dyDescent="0.25">
      <c r="A8" s="1">
        <f ca="1">EDATE(Swap_Date,2)</f>
        <v>43524</v>
      </c>
      <c r="B8" s="3">
        <f ca="1">_xll.BDP(H8,"PX_LAST")</f>
        <v>2.61375</v>
      </c>
      <c r="C8" s="1">
        <f t="shared" ref="C8:C13" ca="1" si="0">nextimm(C7+1)</f>
        <v>43726</v>
      </c>
      <c r="D8" s="3">
        <f ca="1">100-_xll.BDP(I8,"PX_LAST")</f>
        <v>2.7150000000000034</v>
      </c>
      <c r="E8" s="1">
        <f t="shared" ref="E8:E21" ca="1" si="1">EDATE(E7,12)</f>
        <v>44926</v>
      </c>
      <c r="F8" s="3">
        <f ca="1">_xll.BDP(J8,"PX_LAST")</f>
        <v>2.5830000000000002</v>
      </c>
      <c r="H8" s="3" t="s">
        <v>38</v>
      </c>
      <c r="I8" s="3" t="s">
        <v>44</v>
      </c>
      <c r="J8" s="3" t="s">
        <v>52</v>
      </c>
    </row>
    <row r="9" spans="1:10" x14ac:dyDescent="0.25">
      <c r="A9" s="1">
        <f ca="1">EDATE(Swap_Date,3)</f>
        <v>43555</v>
      </c>
      <c r="B9" s="3">
        <f ca="1">_xll.BDP(H9,"PX_LAST")</f>
        <v>2.8076300000000001</v>
      </c>
      <c r="C9" s="1">
        <f t="shared" ca="1" si="0"/>
        <v>43817</v>
      </c>
      <c r="D9" s="3">
        <f ca="1">100-_xll.BDP(I9,"PX_LAST")</f>
        <v>2.7049999999999983</v>
      </c>
      <c r="E9" s="1">
        <f t="shared" ca="1" si="1"/>
        <v>45291</v>
      </c>
      <c r="F9" s="3">
        <f ca="1">_xll.BDP(J9,"PX_LAST")</f>
        <v>2.5800999999999998</v>
      </c>
      <c r="H9" s="3" t="s">
        <v>39</v>
      </c>
      <c r="I9" s="3" t="s">
        <v>45</v>
      </c>
      <c r="J9" s="3" t="s">
        <v>53</v>
      </c>
    </row>
    <row r="10" spans="1:10" x14ac:dyDescent="0.25">
      <c r="A10" s="1">
        <f ca="1">EDATE(Swap_Date,6)</f>
        <v>43646</v>
      </c>
      <c r="B10" s="3">
        <f ca="1">_xll.BDP(H10,"PX_LAST")</f>
        <v>2.8756300000000001</v>
      </c>
      <c r="C10" s="1">
        <f t="shared" ca="1" si="0"/>
        <v>43908</v>
      </c>
      <c r="D10" s="3">
        <f ca="1">100-_xll.BDP(I10,"PX_LAST")</f>
        <v>2.6850000000000023</v>
      </c>
      <c r="E10" s="1">
        <f t="shared" ca="1" si="1"/>
        <v>45657</v>
      </c>
      <c r="F10" s="3">
        <f ca="1">_xll.BDP(J10,"PX_LAST")</f>
        <v>2.5954999999999999</v>
      </c>
      <c r="H10" s="3" t="s">
        <v>40</v>
      </c>
      <c r="I10" s="3" t="s">
        <v>46</v>
      </c>
      <c r="J10" s="3" t="s">
        <v>54</v>
      </c>
    </row>
    <row r="11" spans="1:10" x14ac:dyDescent="0.25">
      <c r="A11" s="1">
        <f ca="1">EDATE(Swap_Date,12)</f>
        <v>43830</v>
      </c>
      <c r="B11" s="3">
        <f ca="1">_xll.BDP(H11,"PX_LAST")</f>
        <v>3.0054400000000001</v>
      </c>
      <c r="C11" s="1">
        <f t="shared" ca="1" si="0"/>
        <v>43999</v>
      </c>
      <c r="D11" s="3">
        <f ca="1">100-_xll.BDP(I11,"PX_LAST")</f>
        <v>2.6749999999999972</v>
      </c>
      <c r="E11" s="1">
        <f t="shared" ca="1" si="1"/>
        <v>46022</v>
      </c>
      <c r="F11" s="3">
        <f ca="1">_xll.BDP(J11,"PX_LAST")</f>
        <v>2.6179999999999999</v>
      </c>
      <c r="H11" s="3" t="s">
        <v>41</v>
      </c>
      <c r="I11" s="3" t="s">
        <v>47</v>
      </c>
      <c r="J11" s="3" t="s">
        <v>55</v>
      </c>
    </row>
    <row r="12" spans="1:10" x14ac:dyDescent="0.25">
      <c r="A12" s="11">
        <f ca="1">EDATE(A11,10)</f>
        <v>44135</v>
      </c>
      <c r="B12" s="12">
        <f ca="1">$B$11</f>
        <v>3.0054400000000001</v>
      </c>
      <c r="C12" s="1">
        <f t="shared" ca="1" si="0"/>
        <v>44090</v>
      </c>
      <c r="D12" s="3">
        <f ca="1">100-_xll.BDP(I12,"PX_LAST")</f>
        <v>2.5750000000000028</v>
      </c>
      <c r="E12" s="1">
        <f t="shared" ca="1" si="1"/>
        <v>46387</v>
      </c>
      <c r="F12" s="3">
        <f ca="1">_xll.BDP(J12,"PX_LAST")</f>
        <v>2.6440999999999999</v>
      </c>
      <c r="I12" s="3" t="s">
        <v>48</v>
      </c>
      <c r="J12" s="3" t="s">
        <v>56</v>
      </c>
    </row>
    <row r="13" spans="1:10" x14ac:dyDescent="0.25">
      <c r="C13" s="1">
        <f t="shared" ca="1" si="0"/>
        <v>44181</v>
      </c>
      <c r="D13" s="3">
        <f ca="1">100-_xll.BDP(I13,"PX_LAST")</f>
        <v>2.5099999999999909</v>
      </c>
      <c r="E13" s="1">
        <f t="shared" ca="1" si="1"/>
        <v>46752</v>
      </c>
      <c r="F13" s="3">
        <f ca="1">_xll.BDP(J13,"PX_LAST")</f>
        <v>2.6718999999999999</v>
      </c>
      <c r="I13" s="3" t="s">
        <v>49</v>
      </c>
      <c r="J13" s="3" t="s">
        <v>57</v>
      </c>
    </row>
    <row r="14" spans="1:10" x14ac:dyDescent="0.25">
      <c r="E14" s="1">
        <f t="shared" ca="1" si="1"/>
        <v>47118</v>
      </c>
      <c r="F14" s="3">
        <f ca="1">_xll.BDP(J14,"PX_LAST")</f>
        <v>2.7008000000000001</v>
      </c>
      <c r="J14" s="3" t="s">
        <v>26</v>
      </c>
    </row>
    <row r="15" spans="1:10" x14ac:dyDescent="0.25">
      <c r="E15" s="1">
        <f t="shared" ca="1" si="1"/>
        <v>47483</v>
      </c>
      <c r="F15" s="3">
        <f ca="1">_xll.BDP(J15,"PX_LAST")</f>
        <v>2.7250999999999999</v>
      </c>
      <c r="J15" s="3" t="s">
        <v>58</v>
      </c>
    </row>
    <row r="16" spans="1:10" x14ac:dyDescent="0.25">
      <c r="E16" s="1">
        <f t="shared" ca="1" si="1"/>
        <v>47848</v>
      </c>
      <c r="F16" s="3">
        <f ca="1">_xll.BDP(J16,"PX_LAST")</f>
        <v>2.7492000000000001</v>
      </c>
      <c r="J16" s="3" t="s">
        <v>59</v>
      </c>
    </row>
    <row r="17" spans="1:17" x14ac:dyDescent="0.25">
      <c r="E17" s="1">
        <f t="shared" ca="1" si="1"/>
        <v>48213</v>
      </c>
      <c r="F17" s="3">
        <f ca="1">_xll.BDP(J17,"PX_LAST")</f>
        <v>2.7645</v>
      </c>
      <c r="J17" s="3" t="s">
        <v>60</v>
      </c>
    </row>
    <row r="18" spans="1:17" x14ac:dyDescent="0.25">
      <c r="E18" s="1">
        <f t="shared" ca="1" si="1"/>
        <v>48579</v>
      </c>
      <c r="F18" s="3">
        <f ca="1">_xll.BDP(J18,"PX_LAST")</f>
        <v>2.7805</v>
      </c>
      <c r="J18" s="3" t="s">
        <v>61</v>
      </c>
    </row>
    <row r="19" spans="1:17" x14ac:dyDescent="0.25">
      <c r="E19" s="1">
        <f t="shared" ca="1" si="1"/>
        <v>48944</v>
      </c>
      <c r="F19" s="3">
        <f ca="1">_xll.BDP(J19,"PX_LAST")</f>
        <v>2.7917000000000001</v>
      </c>
      <c r="J19" s="3" t="s">
        <v>62</v>
      </c>
    </row>
    <row r="20" spans="1:17" x14ac:dyDescent="0.25">
      <c r="E20" s="1">
        <f t="shared" ca="1" si="1"/>
        <v>49309</v>
      </c>
      <c r="F20" s="3">
        <f ca="1">_xll.BDP(J20,"PX_LAST")</f>
        <v>2.8039999999999998</v>
      </c>
      <c r="J20" s="3" t="s">
        <v>63</v>
      </c>
    </row>
    <row r="21" spans="1:17" x14ac:dyDescent="0.25">
      <c r="E21" s="1">
        <f t="shared" ca="1" si="1"/>
        <v>49674</v>
      </c>
      <c r="F21" s="3">
        <f ca="1">_xll.BDP(J21,"PX_LAST")</f>
        <v>2.8094999999999999</v>
      </c>
      <c r="J21" s="3" t="s">
        <v>64</v>
      </c>
    </row>
    <row r="22" spans="1:17" x14ac:dyDescent="0.25">
      <c r="E22" s="1">
        <f ca="1">EDATE(E21,36)</f>
        <v>50770</v>
      </c>
      <c r="F22" s="3">
        <f ca="1">_xll.BDP(J22,"PX_LAST")</f>
        <v>2.8214000000000001</v>
      </c>
      <c r="J22" s="3" t="s">
        <v>65</v>
      </c>
    </row>
    <row r="23" spans="1:17" x14ac:dyDescent="0.25">
      <c r="E23" s="1">
        <f ca="1">EDATE(E22,60)</f>
        <v>52596</v>
      </c>
      <c r="F23" s="3">
        <f ca="1">_xll.BDP(J23,"PX_LAST")</f>
        <v>2.8252000000000002</v>
      </c>
      <c r="J23" s="3" t="s">
        <v>66</v>
      </c>
    </row>
    <row r="24" spans="1:17" x14ac:dyDescent="0.25">
      <c r="E24" s="1">
        <f ca="1">EDATE(E23,60)</f>
        <v>54423</v>
      </c>
      <c r="F24" s="3">
        <f ca="1">_xll.BDP(J24,"PX_LAST")</f>
        <v>2.8228</v>
      </c>
      <c r="J24" s="3" t="s">
        <v>67</v>
      </c>
    </row>
    <row r="25" spans="1:17" x14ac:dyDescent="0.25">
      <c r="E25" s="1">
        <f ca="1">EDATE(E24,120)</f>
        <v>58075</v>
      </c>
      <c r="F25" s="3">
        <f ca="1">_xll.BDP(J25,"PX_LAST")</f>
        <v>2.7902</v>
      </c>
      <c r="J25" s="3" t="s">
        <v>68</v>
      </c>
    </row>
    <row r="26" spans="1:17" x14ac:dyDescent="0.25">
      <c r="E26" s="1">
        <f ca="1">EDATE(E25,12)</f>
        <v>58440</v>
      </c>
      <c r="F26" s="3">
        <f ca="1">F25</f>
        <v>2.7902</v>
      </c>
    </row>
    <row r="29" spans="1:17" x14ac:dyDescent="0.25">
      <c r="A29" s="3" t="s">
        <v>13</v>
      </c>
      <c r="B29" s="3">
        <v>7</v>
      </c>
      <c r="D29" s="3">
        <v>7</v>
      </c>
      <c r="F29" s="3">
        <v>100</v>
      </c>
    </row>
    <row r="30" spans="1:17" x14ac:dyDescent="0.25">
      <c r="A30" s="3" t="s">
        <v>29</v>
      </c>
      <c r="B30" s="3" t="s">
        <v>30</v>
      </c>
      <c r="C30" s="3" t="s">
        <v>31</v>
      </c>
      <c r="D30" s="3" t="s">
        <v>32</v>
      </c>
      <c r="E30" s="3" t="s">
        <v>33</v>
      </c>
      <c r="F30" s="3" t="s">
        <v>34</v>
      </c>
      <c r="M30" s="5" t="s">
        <v>248</v>
      </c>
      <c r="N30" s="5" t="s">
        <v>35</v>
      </c>
    </row>
    <row r="31" spans="1:17" x14ac:dyDescent="0.25">
      <c r="A31" s="1">
        <f ca="1">WORKDAY(Swap_Date,1)</f>
        <v>43466</v>
      </c>
      <c r="B31" s="3">
        <f ca="1">_xll.BDP(H31,"PX_LAST")+$P$31</f>
        <v>-0.45324999999999999</v>
      </c>
      <c r="C31" s="1">
        <f ca="1">nextimm(Swap_Date)</f>
        <v>43544</v>
      </c>
      <c r="D31" s="3">
        <f ca="1">100-IF(ISNUMBER(_xll.BDP(I31,"PX_LAST")),_xll.BDP(I31,"PX_LAST")+$P$31,100-B34)</f>
        <v>-0.40524999999999523</v>
      </c>
      <c r="E31" s="1">
        <f ca="1">EDATE(Swap_Date,24)</f>
        <v>44196</v>
      </c>
      <c r="F31" s="3">
        <f ca="1">_xll.BDP(J31,"PX_LAST")+M31</f>
        <v>-0.298425</v>
      </c>
      <c r="H31" s="3" t="s">
        <v>6</v>
      </c>
      <c r="I31" s="3" t="s">
        <v>77</v>
      </c>
      <c r="J31" s="3" t="s">
        <v>85</v>
      </c>
      <c r="M31" s="3">
        <f ca="1">_xll.BDP(N31,"PX_LAST")/100</f>
        <v>-0.110625</v>
      </c>
      <c r="N31" s="3" t="s">
        <v>249</v>
      </c>
      <c r="P31" s="3">
        <f ca="1">_xll.BDP(Q31,"PX_LAST")/100</f>
        <v>-9.6250000000000002E-2</v>
      </c>
      <c r="Q31" s="3" t="s">
        <v>362</v>
      </c>
    </row>
    <row r="32" spans="1:17" x14ac:dyDescent="0.25">
      <c r="A32" s="1">
        <f ca="1">EDATE(Swap_Date,1)</f>
        <v>43496</v>
      </c>
      <c r="B32" s="3">
        <f ca="1">_xll.BDP(H32,"PX_LAST")+$P$31</f>
        <v>-0.45924999999999999</v>
      </c>
      <c r="C32" s="1">
        <f ca="1">nextimm(C31+1)</f>
        <v>43635</v>
      </c>
      <c r="D32" s="3" t="e">
        <f ca="1">$P$31+100-_xll.BDP(I32,"PX_LAST")</f>
        <v>#VALUE!</v>
      </c>
      <c r="E32" s="1">
        <f ca="1">EDATE(E31,12)</f>
        <v>44561</v>
      </c>
      <c r="F32" s="3">
        <f ca="1">_xll.BDP(J32,"PX_LAST")+M32</f>
        <v>-0.22137499999999999</v>
      </c>
      <c r="H32" s="3" t="s">
        <v>72</v>
      </c>
      <c r="I32" s="3" t="s">
        <v>78</v>
      </c>
      <c r="J32" s="3" t="s">
        <v>86</v>
      </c>
      <c r="M32" s="3">
        <f ca="1">_xll.BDP(N32,"PX_LAST")/100</f>
        <v>-0.119375</v>
      </c>
      <c r="N32" s="3" t="s">
        <v>250</v>
      </c>
    </row>
    <row r="33" spans="1:14" x14ac:dyDescent="0.25">
      <c r="A33" s="1">
        <f ca="1">EDATE(Swap_Date,2)</f>
        <v>43524</v>
      </c>
      <c r="B33" s="3">
        <f ca="1">_xll.BDP(H33,"PX_LAST")+$P$31</f>
        <v>-0.43225000000000002</v>
      </c>
      <c r="C33" s="1">
        <f t="shared" ref="C33:C38" ca="1" si="2">nextimm(C32+1)</f>
        <v>43726</v>
      </c>
      <c r="D33" s="3">
        <f ca="1">$P$31+100-_xll.BDP(I33,"PX_LAST")</f>
        <v>-0.39624999999999488</v>
      </c>
      <c r="E33" s="1">
        <f t="shared" ref="E33:E46" ca="1" si="3">EDATE(E32,12)</f>
        <v>44926</v>
      </c>
      <c r="F33" s="3">
        <f ca="1">_xll.BDP(J33,"PX_LAST")+M33</f>
        <v>-0.1086</v>
      </c>
      <c r="H33" s="3" t="s">
        <v>73</v>
      </c>
      <c r="I33" s="3" t="s">
        <v>79</v>
      </c>
      <c r="J33" s="3" t="s">
        <v>89</v>
      </c>
      <c r="M33" s="3">
        <f ca="1">_xll.BDP(N33,"PX_LAST")/100</f>
        <v>-0.1225</v>
      </c>
      <c r="N33" s="3" t="s">
        <v>251</v>
      </c>
    </row>
    <row r="34" spans="1:14" x14ac:dyDescent="0.25">
      <c r="A34" s="1">
        <f ca="1">EDATE(Swap_Date,3)</f>
        <v>43555</v>
      </c>
      <c r="B34" s="3">
        <f ca="1">_xll.BDP(H34,"PX_LAST")+$P$31</f>
        <v>-0.40525</v>
      </c>
      <c r="C34" s="1">
        <f t="shared" ca="1" si="2"/>
        <v>43817</v>
      </c>
      <c r="D34" s="3">
        <f ca="1">$P$31+100-_xll.BDP(I34,"PX_LAST")</f>
        <v>-0.39124999999999943</v>
      </c>
      <c r="E34" s="1">
        <f t="shared" ca="1" si="3"/>
        <v>45291</v>
      </c>
      <c r="F34" s="3">
        <f ca="1">_xll.BDP(J34,"PX_LAST")+M34</f>
        <v>1.999999999999999E-2</v>
      </c>
      <c r="H34" s="3" t="s">
        <v>74</v>
      </c>
      <c r="I34" s="3" t="s">
        <v>80</v>
      </c>
      <c r="J34" s="3" t="s">
        <v>87</v>
      </c>
      <c r="M34" s="3">
        <f ca="1">_xll.BDP(N34,"PX_LAST")/100</f>
        <v>-0.125</v>
      </c>
      <c r="N34" s="3" t="s">
        <v>252</v>
      </c>
    </row>
    <row r="35" spans="1:14" x14ac:dyDescent="0.25">
      <c r="A35" s="1">
        <f ca="1">EDATE(Swap_Date,6)</f>
        <v>43646</v>
      </c>
      <c r="B35" s="3">
        <f ca="1">_xll.BDP(H35,"PX_LAST")+$P$31</f>
        <v>-0.33324999999999999</v>
      </c>
      <c r="C35" s="1">
        <f t="shared" ca="1" si="2"/>
        <v>43908</v>
      </c>
      <c r="D35" s="3">
        <f ca="1">$P$31+100-_xll.BDP(I35,"PX_LAST")</f>
        <v>-0.37624999999999886</v>
      </c>
      <c r="E35" s="1">
        <f t="shared" ca="1" si="3"/>
        <v>45657</v>
      </c>
      <c r="F35" s="3">
        <f ca="1">_xll.BDP(J35,"PX_LAST")+M35</f>
        <v>0.14900000000000002</v>
      </c>
      <c r="H35" s="3" t="s">
        <v>75</v>
      </c>
      <c r="I35" s="3" t="s">
        <v>81</v>
      </c>
      <c r="J35" s="3" t="s">
        <v>90</v>
      </c>
      <c r="M35" s="3">
        <f ca="1">_xll.BDP(N35,"PX_LAST")/100</f>
        <v>-0.13</v>
      </c>
      <c r="N35" s="3" t="s">
        <v>253</v>
      </c>
    </row>
    <row r="36" spans="1:14" x14ac:dyDescent="0.25">
      <c r="A36" s="1">
        <f ca="1">EDATE(Swap_Date,12)</f>
        <v>43830</v>
      </c>
      <c r="B36" s="3">
        <f ca="1">_xll.BDP(H36,"PX_LAST")+$P$31</f>
        <v>-0.21325</v>
      </c>
      <c r="C36" s="1">
        <f t="shared" ca="1" si="2"/>
        <v>43999</v>
      </c>
      <c r="D36" s="3">
        <f ca="1">$P$31+100-_xll.BDP(I36,"PX_LAST")</f>
        <v>-0.35625000000000284</v>
      </c>
      <c r="E36" s="1">
        <f t="shared" ca="1" si="3"/>
        <v>46022</v>
      </c>
      <c r="F36" s="3">
        <f ca="1">_xll.BDP(J36,"PX_LAST")+M36</f>
        <v>0.27549999999999997</v>
      </c>
      <c r="H36" s="3" t="s">
        <v>76</v>
      </c>
      <c r="I36" s="3" t="s">
        <v>82</v>
      </c>
      <c r="J36" s="3" t="s">
        <v>88</v>
      </c>
      <c r="M36" s="3">
        <f ca="1">_xll.BDP(N36,"PX_LAST")/100</f>
        <v>-0.13250000000000001</v>
      </c>
      <c r="N36" s="3" t="s">
        <v>254</v>
      </c>
    </row>
    <row r="37" spans="1:14" x14ac:dyDescent="0.25">
      <c r="A37" s="11">
        <f ca="1">EDATE(A36,10)</f>
        <v>44135</v>
      </c>
      <c r="B37" s="3">
        <f ca="1">$B$36</f>
        <v>-0.21325</v>
      </c>
      <c r="C37" s="1">
        <f t="shared" ca="1" si="2"/>
        <v>44090</v>
      </c>
      <c r="D37" s="3">
        <f ca="1">$P$31+100-_xll.BDP(I37,"PX_LAST")</f>
        <v>-0.33124999999999716</v>
      </c>
      <c r="E37" s="1">
        <f t="shared" ca="1" si="3"/>
        <v>46387</v>
      </c>
      <c r="F37" s="3">
        <f ca="1">_xll.BDP(J37,"PX_LAST")+M37</f>
        <v>0.39624999999999999</v>
      </c>
      <c r="I37" s="3" t="s">
        <v>83</v>
      </c>
      <c r="J37" s="3" t="s">
        <v>91</v>
      </c>
      <c r="M37" s="3">
        <f ca="1">_xll.BDP(N37,"PX_LAST")/100</f>
        <v>-0.13375000000000001</v>
      </c>
      <c r="N37" s="3" t="s">
        <v>255</v>
      </c>
    </row>
    <row r="38" spans="1:14" x14ac:dyDescent="0.25">
      <c r="C38" s="1">
        <f t="shared" ca="1" si="2"/>
        <v>44181</v>
      </c>
      <c r="D38" s="3">
        <f ca="1">$P$31+100-_xll.BDP(I38,"PX_LAST")</f>
        <v>-0.29125000000000512</v>
      </c>
      <c r="E38" s="1">
        <f t="shared" ca="1" si="3"/>
        <v>46752</v>
      </c>
      <c r="F38" s="3">
        <f ca="1">_xll.BDP(J38,"PX_LAST")+M38</f>
        <v>0.50730000000000008</v>
      </c>
      <c r="I38" s="3" t="s">
        <v>84</v>
      </c>
      <c r="J38" s="3" t="s">
        <v>92</v>
      </c>
      <c r="M38" s="3">
        <f ca="1">_xll.BDP(N38,"PX_LAST")/100</f>
        <v>-0.13250000000000001</v>
      </c>
      <c r="N38" s="3" t="s">
        <v>256</v>
      </c>
    </row>
    <row r="39" spans="1:14" x14ac:dyDescent="0.25">
      <c r="E39" s="1">
        <f t="shared" ca="1" si="3"/>
        <v>47118</v>
      </c>
      <c r="F39" s="3">
        <f ca="1">_xll.BDP(J39,"PX_LAST")+M39</f>
        <v>0.61899999999999999</v>
      </c>
      <c r="J39" s="3" t="s">
        <v>27</v>
      </c>
      <c r="M39" s="3">
        <f ca="1">_xll.BDP(N39,"PX_LAST")/100</f>
        <v>-0.13</v>
      </c>
      <c r="N39" s="3" t="s">
        <v>257</v>
      </c>
    </row>
    <row r="40" spans="1:14" x14ac:dyDescent="0.25">
      <c r="E40" s="1">
        <f t="shared" ca="1" si="3"/>
        <v>47483</v>
      </c>
      <c r="F40" s="3">
        <f ca="1">_xll.BDP(J40,"PX_LAST")+M40</f>
        <v>0.71450000000000002</v>
      </c>
      <c r="J40" s="3" t="s">
        <v>93</v>
      </c>
      <c r="M40" s="3">
        <f ca="1">_xll.BDP(N40,"PX_LAST")/100</f>
        <v>-0.125</v>
      </c>
      <c r="N40" s="3" t="s">
        <v>258</v>
      </c>
    </row>
    <row r="41" spans="1:14" x14ac:dyDescent="0.25">
      <c r="E41" s="1">
        <f t="shared" ca="1" si="3"/>
        <v>47848</v>
      </c>
      <c r="F41" s="3">
        <f ca="1">_xll.BDP(J41,"PX_LAST")+M41</f>
        <v>0.80100000000000005</v>
      </c>
      <c r="J41" s="3" t="s">
        <v>94</v>
      </c>
      <c r="M41" s="3">
        <f ca="1">_xll.BDP(N41,"PX_LAST")/100</f>
        <v>-0.12</v>
      </c>
      <c r="N41" s="3" t="s">
        <v>259</v>
      </c>
    </row>
    <row r="42" spans="1:14" x14ac:dyDescent="0.25">
      <c r="E42" s="1">
        <f t="shared" ca="1" si="3"/>
        <v>48213</v>
      </c>
      <c r="F42" s="3">
        <f ca="1">_xll.BDP(J42,"PX_LAST")+M42</f>
        <v>0.87858333333333338</v>
      </c>
      <c r="J42" s="3" t="s">
        <v>95</v>
      </c>
      <c r="M42" s="18">
        <f ca="1">(M44-M41)/3+M41</f>
        <v>-0.11291666666666667</v>
      </c>
      <c r="N42" s="3" t="s">
        <v>260</v>
      </c>
    </row>
    <row r="43" spans="1:14" x14ac:dyDescent="0.25">
      <c r="E43" s="1">
        <f t="shared" ca="1" si="3"/>
        <v>48579</v>
      </c>
      <c r="F43" s="3">
        <f ca="1">_xll.BDP(J43,"PX_LAST")+M43</f>
        <v>0.94846666666666668</v>
      </c>
      <c r="J43" s="3" t="s">
        <v>96</v>
      </c>
      <c r="M43" s="18">
        <f ca="1">(M44-M41)/3*2+M41</f>
        <v>-0.10583333333333333</v>
      </c>
      <c r="N43" s="3" t="s">
        <v>261</v>
      </c>
    </row>
    <row r="44" spans="1:14" x14ac:dyDescent="0.25">
      <c r="E44" s="1">
        <f t="shared" ca="1" si="3"/>
        <v>48944</v>
      </c>
      <c r="F44" s="3">
        <f ca="1">_xll.BDP(J44,"PX_LAST")+M44</f>
        <v>1.0067499999999998</v>
      </c>
      <c r="J44" s="3" t="s">
        <v>97</v>
      </c>
      <c r="M44" s="3">
        <f ca="1">_xll.BDP(N44,"PX_LAST")/100</f>
        <v>-9.8750000000000004E-2</v>
      </c>
      <c r="N44" s="3" t="s">
        <v>262</v>
      </c>
    </row>
    <row r="45" spans="1:14" x14ac:dyDescent="0.25">
      <c r="E45" s="1">
        <f t="shared" ca="1" si="3"/>
        <v>49309</v>
      </c>
      <c r="F45" s="3">
        <f ca="1">_xll.BDP(J45,"PX_LAST")+M45</f>
        <v>1.0622499999999999</v>
      </c>
      <c r="J45" s="3" t="s">
        <v>98</v>
      </c>
      <c r="M45" s="18">
        <f ca="1">(M47-M44)/5+M44</f>
        <v>-8.7250000000000008E-2</v>
      </c>
      <c r="N45" s="3" t="s">
        <v>263</v>
      </c>
    </row>
    <row r="46" spans="1:14" x14ac:dyDescent="0.25">
      <c r="E46" s="1">
        <f t="shared" ca="1" si="3"/>
        <v>49674</v>
      </c>
      <c r="F46" s="3">
        <f ca="1">_xll.BDP(J46,"PX_LAST")+M46</f>
        <v>1.11025</v>
      </c>
      <c r="J46" s="3" t="s">
        <v>99</v>
      </c>
      <c r="M46" s="18">
        <f ca="1">(M47-M44)/5*2+M44</f>
        <v>-7.5750000000000012E-2</v>
      </c>
      <c r="N46" s="3" t="s">
        <v>264</v>
      </c>
    </row>
    <row r="47" spans="1:14" x14ac:dyDescent="0.25">
      <c r="E47" s="1">
        <f ca="1">EDATE(E46,36)</f>
        <v>50770</v>
      </c>
      <c r="F47" s="3">
        <f ca="1">_xll.BDP(J47,"PX_LAST")+M47</f>
        <v>1.2222500000000001</v>
      </c>
      <c r="J47" s="3" t="s">
        <v>100</v>
      </c>
      <c r="M47" s="3">
        <f ca="1">_xll.BDP(N47,"PX_LAST")/100</f>
        <v>-4.1250000000000002E-2</v>
      </c>
      <c r="N47" s="3" t="s">
        <v>265</v>
      </c>
    </row>
    <row r="48" spans="1:14" x14ac:dyDescent="0.25">
      <c r="E48" s="1">
        <f ca="1">EDATE(E47,60)</f>
        <v>52596</v>
      </c>
      <c r="F48" s="3">
        <f ca="1">_xll.BDP(J48,"PX_LAST")+M48</f>
        <v>1.3225</v>
      </c>
      <c r="J48" s="3" t="s">
        <v>101</v>
      </c>
      <c r="M48" s="3">
        <f ca="1">_xll.BDP(N48,"PX_LAST")/100</f>
        <v>1.2500000000000001E-2</v>
      </c>
      <c r="N48" s="3" t="s">
        <v>266</v>
      </c>
    </row>
    <row r="49" spans="1:17" x14ac:dyDescent="0.25">
      <c r="E49" s="1">
        <f ca="1">EDATE(E48,60)</f>
        <v>54423</v>
      </c>
      <c r="F49" s="3">
        <f ca="1">_xll.BDP(J49,"PX_LAST")+M49</f>
        <v>1.36405</v>
      </c>
      <c r="J49" s="3" t="s">
        <v>102</v>
      </c>
      <c r="M49" s="3">
        <f ca="1">_xll.BDP(N49,"PX_LAST")/100</f>
        <v>4.3749999999999997E-2</v>
      </c>
      <c r="N49" s="3" t="s">
        <v>267</v>
      </c>
    </row>
    <row r="50" spans="1:17" x14ac:dyDescent="0.25">
      <c r="E50" s="1">
        <f ca="1">EDATE(E49,120)</f>
        <v>58075</v>
      </c>
      <c r="F50" s="3">
        <f ca="1">_xll.BDP(J50,"PX_LAST")+M50</f>
        <v>1.36025</v>
      </c>
      <c r="J50" s="3" t="s">
        <v>103</v>
      </c>
      <c r="M50" s="3">
        <f ca="1">_xll.BDP(N50,"PX_LAST")/100</f>
        <v>4.3749999999999997E-2</v>
      </c>
      <c r="N50" s="3" t="s">
        <v>268</v>
      </c>
    </row>
    <row r="51" spans="1:17" x14ac:dyDescent="0.25">
      <c r="E51" s="1">
        <f ca="1">EDATE(E50,12)</f>
        <v>58440</v>
      </c>
      <c r="F51" s="3">
        <f ca="1">$F$50</f>
        <v>1.36025</v>
      </c>
    </row>
    <row r="54" spans="1:17" x14ac:dyDescent="0.25">
      <c r="A54" s="3" t="s">
        <v>19</v>
      </c>
      <c r="B54" s="3">
        <v>7</v>
      </c>
      <c r="D54" s="3">
        <v>7</v>
      </c>
      <c r="F54" s="3">
        <v>100</v>
      </c>
    </row>
    <row r="55" spans="1:17" x14ac:dyDescent="0.25">
      <c r="A55" s="3" t="s">
        <v>29</v>
      </c>
      <c r="B55" s="3" t="s">
        <v>30</v>
      </c>
      <c r="C55" s="3" t="s">
        <v>31</v>
      </c>
      <c r="D55" s="3" t="s">
        <v>32</v>
      </c>
      <c r="E55" s="3" t="s">
        <v>33</v>
      </c>
      <c r="F55" s="3" t="s">
        <v>34</v>
      </c>
      <c r="M55" s="5" t="s">
        <v>248</v>
      </c>
      <c r="N55" s="5" t="s">
        <v>35</v>
      </c>
    </row>
    <row r="56" spans="1:17" ht="15.6" customHeight="1" x14ac:dyDescent="0.25">
      <c r="A56" s="1">
        <f ca="1">WORKDAY(Swap_Date,1)</f>
        <v>43466</v>
      </c>
      <c r="B56" s="3">
        <f ca="1">_xll.BDP(H56,"PX_LAST")+$P$56</f>
        <v>-0.38766999999999996</v>
      </c>
      <c r="C56" s="1">
        <f ca="1">nextimm(Swap_Date)</f>
        <v>43544</v>
      </c>
      <c r="D56" s="3">
        <f ca="1">100-IF(ISNUMBER(_xll.BDP(I56,"PX_LAST")),_xll.BDP(I56,"PX_LAST")+$P$56,100-B59)</f>
        <v>-0.36266999999999427</v>
      </c>
      <c r="E56" s="1">
        <f ca="1">EDATE(Swap_Date,24)</f>
        <v>44196</v>
      </c>
      <c r="F56" s="3">
        <f ca="1">_xll.BDP(J56,"PX_LAST")+M56</f>
        <v>-0.33374999999999999</v>
      </c>
      <c r="H56" s="3" t="s">
        <v>0</v>
      </c>
      <c r="I56" s="3" t="s">
        <v>104</v>
      </c>
      <c r="J56" s="3" t="s">
        <v>112</v>
      </c>
      <c r="M56" s="3">
        <f ca="1">_xll.BDP(N56,"PX_LAST")/100</f>
        <v>-0.34125</v>
      </c>
      <c r="N56" s="3" t="s">
        <v>269</v>
      </c>
      <c r="P56" s="3">
        <f ca="1">_xll.BDP(Q56,"PX_LAST")/100</f>
        <v>-0.28999999999999998</v>
      </c>
      <c r="Q56" s="3" t="s">
        <v>363</v>
      </c>
    </row>
    <row r="57" spans="1:17" ht="15.6" customHeight="1" x14ac:dyDescent="0.25">
      <c r="A57" s="1">
        <f ca="1">EDATE(Swap_Date,1)</f>
        <v>43496</v>
      </c>
      <c r="B57" s="3">
        <f ca="1">_xll.BDP(H57,"PX_LAST")+$P$56</f>
        <v>-0.39766999999999997</v>
      </c>
      <c r="C57" s="1">
        <f ca="1">nextimm(C56+1)</f>
        <v>43635</v>
      </c>
      <c r="D57" s="3" t="e">
        <f ca="1">100-_xll.BDP(I57,"PX_LAST")+$M$56</f>
        <v>#VALUE!</v>
      </c>
      <c r="E57" s="1">
        <f ca="1">EDATE(E56,12)</f>
        <v>44561</v>
      </c>
      <c r="F57" s="3">
        <f ca="1">_xll.BDP(J57,"PX_LAST")+M57</f>
        <v>-0.38</v>
      </c>
      <c r="H57" s="3" t="s">
        <v>1</v>
      </c>
      <c r="I57" s="3" t="s">
        <v>105</v>
      </c>
      <c r="J57" s="3" t="s">
        <v>113</v>
      </c>
      <c r="M57" s="3">
        <f ca="1">_xll.BDP(N57,"PX_LAST")/100</f>
        <v>-0.38624999999999998</v>
      </c>
      <c r="N57" s="3" t="s">
        <v>270</v>
      </c>
    </row>
    <row r="58" spans="1:17" ht="15.6" customHeight="1" x14ac:dyDescent="0.25">
      <c r="A58" s="1">
        <f ca="1">EDATE(Swap_Date,2)</f>
        <v>43524</v>
      </c>
      <c r="B58" s="3">
        <f ca="1">_xll.BDP(H58,"PX_LAST")+$P$56</f>
        <v>-0.36832999999999999</v>
      </c>
      <c r="C58" s="1">
        <f t="shared" ref="C58:C63" ca="1" si="4">nextimm(C57+1)</f>
        <v>43726</v>
      </c>
      <c r="D58" s="3">
        <f ca="1">100-_xll.BDP(I58,"PX_LAST")+$M$56</f>
        <v>-0.27625000000000227</v>
      </c>
      <c r="E58" s="1">
        <f t="shared" ref="E58:E71" ca="1" si="5">EDATE(E57,12)</f>
        <v>44926</v>
      </c>
      <c r="F58" s="3">
        <f ca="1">_xll.BDP(J58,"PX_LAST")+M58</f>
        <v>-0.41249999999999998</v>
      </c>
      <c r="H58" s="3" t="s">
        <v>2</v>
      </c>
      <c r="I58" s="3" t="s">
        <v>106</v>
      </c>
      <c r="J58" s="3" t="s">
        <v>114</v>
      </c>
      <c r="M58" s="3">
        <f ca="1">_xll.BDP(N58,"PX_LAST")/100</f>
        <v>-0.42499999999999999</v>
      </c>
      <c r="N58" s="3" t="s">
        <v>271</v>
      </c>
    </row>
    <row r="59" spans="1:17" x14ac:dyDescent="0.25">
      <c r="A59" s="1">
        <f ca="1">EDATE(Swap_Date,3)</f>
        <v>43555</v>
      </c>
      <c r="B59" s="3">
        <f ca="1">_xll.BDP(H59,"PX_LAST")+$P$56</f>
        <v>-0.36266999999999999</v>
      </c>
      <c r="C59" s="1">
        <f t="shared" ca="1" si="4"/>
        <v>43817</v>
      </c>
      <c r="D59" s="3">
        <f ca="1">100-_xll.BDP(I59,"PX_LAST")+$M$56</f>
        <v>-0.27125000000000682</v>
      </c>
      <c r="E59" s="1">
        <f t="shared" ca="1" si="5"/>
        <v>45291</v>
      </c>
      <c r="F59" s="3">
        <f ca="1">_xll.BDP(J59,"PX_LAST")+M59</f>
        <v>-0.4425</v>
      </c>
      <c r="H59" s="3" t="s">
        <v>3</v>
      </c>
      <c r="I59" s="3" t="s">
        <v>107</v>
      </c>
      <c r="J59" s="3" t="s">
        <v>115</v>
      </c>
      <c r="M59" s="3">
        <f ca="1">_xll.BDP(N59,"PX_LAST")/100</f>
        <v>-0.46625</v>
      </c>
      <c r="N59" s="3" t="s">
        <v>272</v>
      </c>
    </row>
    <row r="60" spans="1:17" x14ac:dyDescent="0.25">
      <c r="A60" s="1">
        <f ca="1">EDATE(Swap_Date,6)</f>
        <v>43646</v>
      </c>
      <c r="B60" s="3">
        <f ca="1">_xll.BDP(H60,"PX_LAST")+$P$56</f>
        <v>-0.28016999999999997</v>
      </c>
      <c r="C60" s="1">
        <f t="shared" ca="1" si="4"/>
        <v>43908</v>
      </c>
      <c r="D60" s="3">
        <f ca="1">100-_xll.BDP(I60,"PX_LAST")+$M$56</f>
        <v>-0.26624999999999716</v>
      </c>
      <c r="E60" s="1">
        <f t="shared" ca="1" si="5"/>
        <v>45657</v>
      </c>
      <c r="F60" s="3">
        <f ca="1">_xll.BDP(J60,"PX_LAST")+M60</f>
        <v>-0.44625000000000004</v>
      </c>
      <c r="H60" s="3" t="s">
        <v>4</v>
      </c>
      <c r="I60" s="3" t="s">
        <v>108</v>
      </c>
      <c r="J60" s="3" t="s">
        <v>116</v>
      </c>
      <c r="M60" s="3">
        <f ca="1">_xll.BDP(N60,"PX_LAST")/100</f>
        <v>-0.48875000000000002</v>
      </c>
      <c r="N60" s="3" t="s">
        <v>273</v>
      </c>
    </row>
    <row r="61" spans="1:17" x14ac:dyDescent="0.25">
      <c r="A61" s="1">
        <f ca="1">EDATE(Swap_Date,12)</f>
        <v>43830</v>
      </c>
      <c r="B61" s="3">
        <f ca="1">_xll.BDP(H61,"PX_LAST")+$P$56</f>
        <v>-0.18367</v>
      </c>
      <c r="C61" s="1">
        <f t="shared" ca="1" si="4"/>
        <v>43999</v>
      </c>
      <c r="D61" s="3">
        <f ca="1">100-_xll.BDP(I61,"PX_LAST")+$M$56</f>
        <v>-0.2612500000000017</v>
      </c>
      <c r="E61" s="1">
        <f t="shared" ca="1" si="5"/>
        <v>46022</v>
      </c>
      <c r="F61" s="3">
        <f ca="1">_xll.BDP(J61,"PX_LAST")+M61</f>
        <v>-0.42625000000000002</v>
      </c>
      <c r="H61" s="3" t="s">
        <v>5</v>
      </c>
      <c r="I61" s="3" t="s">
        <v>109</v>
      </c>
      <c r="J61" s="3" t="s">
        <v>117</v>
      </c>
      <c r="M61" s="3">
        <f ca="1">_xll.BDP(N61,"PX_LAST")/100</f>
        <v>-0.495</v>
      </c>
      <c r="N61" s="3" t="s">
        <v>274</v>
      </c>
    </row>
    <row r="62" spans="1:17" x14ac:dyDescent="0.25">
      <c r="A62" s="11">
        <f ca="1">EDATE(A61,10)</f>
        <v>44135</v>
      </c>
      <c r="B62" s="3">
        <f ca="1">$B$61</f>
        <v>-0.18367</v>
      </c>
      <c r="C62" s="1">
        <f t="shared" ca="1" si="4"/>
        <v>44090</v>
      </c>
      <c r="D62" s="3">
        <f ca="1">100-_xll.BDP(I62,"PX_LAST")+$M$56</f>
        <v>-0.25625000000000625</v>
      </c>
      <c r="E62" s="1">
        <f t="shared" ca="1" si="5"/>
        <v>46387</v>
      </c>
      <c r="F62" s="3">
        <f ca="1">_xll.BDP(J62,"PX_LAST")+M62</f>
        <v>-0.40125</v>
      </c>
      <c r="I62" s="3" t="s">
        <v>110</v>
      </c>
      <c r="J62" s="3" t="s">
        <v>118</v>
      </c>
      <c r="M62" s="3">
        <f ca="1">_xll.BDP(N62,"PX_LAST")/100</f>
        <v>-0.50124999999999997</v>
      </c>
      <c r="N62" s="3" t="s">
        <v>275</v>
      </c>
    </row>
    <row r="63" spans="1:17" x14ac:dyDescent="0.25">
      <c r="C63" s="1">
        <f t="shared" ca="1" si="4"/>
        <v>44181</v>
      </c>
      <c r="D63" s="3">
        <f ca="1">100-_xll.BDP(I63,"PX_LAST")+$M$56</f>
        <v>-0.25625000000000625</v>
      </c>
      <c r="E63" s="1">
        <f t="shared" ca="1" si="5"/>
        <v>46752</v>
      </c>
      <c r="F63" s="3">
        <f ca="1">_xll.BDP(J63,"PX_LAST")+M63</f>
        <v>-0.36750000000000005</v>
      </c>
      <c r="I63" s="3" t="s">
        <v>111</v>
      </c>
      <c r="J63" s="3" t="s">
        <v>119</v>
      </c>
      <c r="M63" s="3">
        <f ca="1">_xll.BDP(N63,"PX_LAST")/100</f>
        <v>-0.50375000000000003</v>
      </c>
      <c r="N63" s="3" t="s">
        <v>276</v>
      </c>
    </row>
    <row r="64" spans="1:17" x14ac:dyDescent="0.25">
      <c r="E64" s="1">
        <f t="shared" ca="1" si="5"/>
        <v>47118</v>
      </c>
      <c r="F64" s="3">
        <f ca="1">_xll.BDP(J64,"PX_LAST")+M64</f>
        <v>-0.32499999999999996</v>
      </c>
      <c r="J64" s="3" t="s">
        <v>120</v>
      </c>
      <c r="M64" s="3">
        <f ca="1">_xll.BDP(N64,"PX_LAST")/100</f>
        <v>-0.50124999999999997</v>
      </c>
      <c r="N64" s="3" t="s">
        <v>277</v>
      </c>
    </row>
    <row r="65" spans="1:14" x14ac:dyDescent="0.25">
      <c r="E65" s="1">
        <f t="shared" ca="1" si="5"/>
        <v>47483</v>
      </c>
      <c r="F65" s="3">
        <f ca="1">_xll.BDP(J65,"PX_LAST")+M65</f>
        <v>-0.28500000000000003</v>
      </c>
      <c r="J65" s="3" t="s">
        <v>121</v>
      </c>
      <c r="M65" s="3">
        <f ca="1">_xll.BDP(N65,"PX_LAST")/100</f>
        <v>-0.50375000000000003</v>
      </c>
      <c r="N65" s="3" t="s">
        <v>278</v>
      </c>
    </row>
    <row r="66" spans="1:14" x14ac:dyDescent="0.25">
      <c r="E66" s="1">
        <f t="shared" ca="1" si="5"/>
        <v>47848</v>
      </c>
      <c r="F66" s="3">
        <f ca="1">_xll.BDP(J66,"PX_LAST")+M66</f>
        <v>-0.23499999999999999</v>
      </c>
      <c r="J66" s="3" t="s">
        <v>122</v>
      </c>
      <c r="M66" s="3">
        <f ca="1">_xll.BDP(N66,"PX_LAST")/100</f>
        <v>-0.49249999999999999</v>
      </c>
      <c r="N66" s="3" t="s">
        <v>279</v>
      </c>
    </row>
    <row r="67" spans="1:14" x14ac:dyDescent="0.25">
      <c r="E67" s="1">
        <f t="shared" ca="1" si="5"/>
        <v>48213</v>
      </c>
      <c r="F67" s="3">
        <f ca="1">_xll.BDP(J67,"PX_LAST")+M67</f>
        <v>-0.17541666666666667</v>
      </c>
      <c r="J67" s="3" t="s">
        <v>123</v>
      </c>
      <c r="M67" s="18">
        <f ca="1">(M69-M66)/3+M66</f>
        <v>-0.47541666666666665</v>
      </c>
      <c r="N67" s="3" t="s">
        <v>280</v>
      </c>
    </row>
    <row r="68" spans="1:14" x14ac:dyDescent="0.25">
      <c r="E68" s="1">
        <f t="shared" ca="1" si="5"/>
        <v>48579</v>
      </c>
      <c r="F68" s="3">
        <f ca="1">_xll.BDP(J68,"PX_LAST")+M68</f>
        <v>-0.11833333333333329</v>
      </c>
      <c r="J68" s="3" t="s">
        <v>124</v>
      </c>
      <c r="M68" s="18">
        <f ca="1">(M69-M66)/3*2+M66</f>
        <v>-0.45833333333333331</v>
      </c>
      <c r="N68" s="3" t="s">
        <v>281</v>
      </c>
    </row>
    <row r="69" spans="1:14" x14ac:dyDescent="0.25">
      <c r="E69" s="1">
        <f t="shared" ca="1" si="5"/>
        <v>48944</v>
      </c>
      <c r="F69" s="3">
        <f ca="1">_xll.BDP(J69,"PX_LAST")+M69</f>
        <v>-6.25E-2</v>
      </c>
      <c r="J69" s="3" t="s">
        <v>125</v>
      </c>
      <c r="M69" s="3">
        <f ca="1">_xll.BDP(N69,"PX_LAST")/100</f>
        <v>-0.44124999999999998</v>
      </c>
      <c r="N69" s="3" t="s">
        <v>282</v>
      </c>
    </row>
    <row r="70" spans="1:14" x14ac:dyDescent="0.25">
      <c r="E70" s="1">
        <f t="shared" ca="1" si="5"/>
        <v>49309</v>
      </c>
      <c r="F70" s="3">
        <f ca="1">_xll.BDP(J70,"PX_LAST")+M70</f>
        <v>-1.3999999999999957E-2</v>
      </c>
      <c r="J70" s="3" t="s">
        <v>126</v>
      </c>
      <c r="M70" s="18">
        <f ca="1">(M72-M69)/5+M69</f>
        <v>-0.43024999999999997</v>
      </c>
      <c r="N70" s="3" t="s">
        <v>283</v>
      </c>
    </row>
    <row r="71" spans="1:14" x14ac:dyDescent="0.25">
      <c r="E71" s="1">
        <f t="shared" ca="1" si="5"/>
        <v>49674</v>
      </c>
      <c r="F71" s="3">
        <f ca="1">_xll.BDP(J71,"PX_LAST")+M71</f>
        <v>3.5000000000000031E-2</v>
      </c>
      <c r="J71" s="3" t="s">
        <v>127</v>
      </c>
      <c r="M71" s="18">
        <f ca="1">(M72-M69)/5*2+M69</f>
        <v>-0.41924999999999996</v>
      </c>
      <c r="N71" s="3" t="s">
        <v>284</v>
      </c>
    </row>
    <row r="72" spans="1:14" x14ac:dyDescent="0.25">
      <c r="E72" s="1">
        <f ca="1">EDATE(E71,36)</f>
        <v>50770</v>
      </c>
      <c r="F72" s="3">
        <f ca="1">_xll.BDP(J72,"PX_LAST")+M72</f>
        <v>0.16249999999999998</v>
      </c>
      <c r="J72" s="3" t="s">
        <v>128</v>
      </c>
      <c r="M72" s="3">
        <f ca="1">_xll.BDP(N72,"PX_LAST")/100</f>
        <v>-0.38624999999999998</v>
      </c>
      <c r="N72" s="3" t="s">
        <v>285</v>
      </c>
    </row>
    <row r="73" spans="1:14" x14ac:dyDescent="0.25">
      <c r="E73" s="1">
        <f ca="1">EDATE(E72,60)</f>
        <v>52596</v>
      </c>
      <c r="F73" s="3">
        <f ca="1">_xll.BDP(J73,"PX_LAST")+M73</f>
        <v>0.315</v>
      </c>
      <c r="J73" s="3" t="s">
        <v>129</v>
      </c>
      <c r="M73" s="3">
        <f ca="1">_xll.BDP(N73,"PX_LAST")/100</f>
        <v>-0.34125</v>
      </c>
      <c r="N73" s="3" t="s">
        <v>286</v>
      </c>
    </row>
    <row r="74" spans="1:14" x14ac:dyDescent="0.25">
      <c r="E74" s="1">
        <f ca="1">EDATE(E73,60)</f>
        <v>54423</v>
      </c>
      <c r="F74" s="3">
        <f ca="1">_xll.BDP(J74,"PX_LAST")+M74</f>
        <v>0.42249999999999999</v>
      </c>
      <c r="J74" s="3" t="s">
        <v>130</v>
      </c>
      <c r="M74" s="3">
        <f ca="1">_xll.BDP(N74,"PX_LAST")/100</f>
        <v>-0.30125000000000002</v>
      </c>
      <c r="N74" s="3" t="s">
        <v>287</v>
      </c>
    </row>
    <row r="75" spans="1:14" x14ac:dyDescent="0.25">
      <c r="E75" s="1">
        <f ca="1">EDATE(E74,120)</f>
        <v>58075</v>
      </c>
      <c r="F75" s="3">
        <f ca="1">_xll.BDP(J75,"PX_LAST")+M75</f>
        <v>0.55125000000000002</v>
      </c>
      <c r="J75" s="3" t="s">
        <v>131</v>
      </c>
      <c r="M75" s="3">
        <f ca="1">_xll.BDP(N75,"PX_LAST")/100</f>
        <v>-0.24249999999999999</v>
      </c>
      <c r="N75" s="3" t="s">
        <v>288</v>
      </c>
    </row>
    <row r="76" spans="1:14" x14ac:dyDescent="0.25">
      <c r="E76" s="1">
        <f ca="1">EDATE(E75,12)</f>
        <v>58440</v>
      </c>
      <c r="F76" s="3">
        <f ca="1">$F$75</f>
        <v>0.55125000000000002</v>
      </c>
    </row>
    <row r="79" spans="1:14" x14ac:dyDescent="0.25">
      <c r="A79" s="3" t="s">
        <v>14</v>
      </c>
      <c r="B79" s="3">
        <v>7</v>
      </c>
      <c r="D79" s="3">
        <v>7</v>
      </c>
      <c r="F79" s="3">
        <v>100</v>
      </c>
    </row>
    <row r="80" spans="1:14" x14ac:dyDescent="0.25">
      <c r="A80" s="3" t="s">
        <v>29</v>
      </c>
      <c r="B80" s="3" t="s">
        <v>30</v>
      </c>
      <c r="C80" s="3" t="s">
        <v>31</v>
      </c>
      <c r="D80" s="3" t="s">
        <v>32</v>
      </c>
      <c r="E80" s="3" t="s">
        <v>33</v>
      </c>
      <c r="F80" s="3" t="s">
        <v>34</v>
      </c>
      <c r="M80" s="5" t="s">
        <v>248</v>
      </c>
      <c r="N80" s="5" t="s">
        <v>35</v>
      </c>
    </row>
    <row r="81" spans="1:17" x14ac:dyDescent="0.25">
      <c r="A81" s="1">
        <f ca="1">WORKDAY(Swap_Date,1)</f>
        <v>43466</v>
      </c>
      <c r="B81" s="3">
        <f ca="1">_xll.BDP(H81,"PX_LAST")+$P$81</f>
        <v>0.74150000000000005</v>
      </c>
      <c r="C81" s="1">
        <f ca="1">nextimm(Swap_Date)</f>
        <v>43544</v>
      </c>
      <c r="D81" s="3">
        <f ca="1">100-IF(ISNUMBER(_xll.BDP(I81,"PX_LAST")),_xll.BDP(I81,"PX_LAST")+$P$81,100-B84)</f>
        <v>0.98368999999999573</v>
      </c>
      <c r="E81" s="1">
        <f ca="1">EDATE(Swap_Date,24)</f>
        <v>44196</v>
      </c>
      <c r="F81" s="3">
        <f ca="1">_xll.BDP(J81,"PX_LAST")+M81</f>
        <v>1.20295</v>
      </c>
      <c r="H81" s="3" t="s">
        <v>135</v>
      </c>
      <c r="I81" s="3" t="s">
        <v>141</v>
      </c>
      <c r="J81" s="3" t="s">
        <v>149</v>
      </c>
      <c r="M81" s="3">
        <f ca="1">_xll.BDP(N81,"PX_LAST")/100</f>
        <v>9.1249999999999998E-2</v>
      </c>
      <c r="N81" s="3" t="s">
        <v>308</v>
      </c>
      <c r="P81" s="3">
        <f ca="1">_xll.BDP(Q81,"PX_LAST")/100</f>
        <v>7.1249999999999994E-2</v>
      </c>
      <c r="Q81" s="3" t="s">
        <v>366</v>
      </c>
    </row>
    <row r="82" spans="1:17" x14ac:dyDescent="0.25">
      <c r="A82" s="1">
        <f ca="1">EDATE(Swap_Date,1)</f>
        <v>43496</v>
      </c>
      <c r="B82" s="3">
        <f ca="1">_xll.BDP(H82,"PX_LAST")+$P$81</f>
        <v>0.80149999999999999</v>
      </c>
      <c r="C82" s="1">
        <f ca="1">nextimm(C81+1)</f>
        <v>43635</v>
      </c>
      <c r="D82" s="3" t="e">
        <f ca="1">$P$81+100-_xll.BDP(I82,"PX_LAST")</f>
        <v>#VALUE!</v>
      </c>
      <c r="E82" s="1">
        <f ca="1">EDATE(E81,12)</f>
        <v>44561</v>
      </c>
      <c r="F82" s="3">
        <f ca="1">_xll.BDP(J82,"PX_LAST")+M82</f>
        <v>1.2722500000000001</v>
      </c>
      <c r="H82" s="3" t="s">
        <v>136</v>
      </c>
      <c r="I82" s="3" t="s">
        <v>142</v>
      </c>
      <c r="J82" s="3" t="s">
        <v>150</v>
      </c>
      <c r="M82" s="18">
        <f ca="1">(M81+M83)/2</f>
        <v>0.11</v>
      </c>
      <c r="N82" s="3" t="s">
        <v>289</v>
      </c>
    </row>
    <row r="83" spans="1:17" x14ac:dyDescent="0.25">
      <c r="A83" s="1">
        <f ca="1">EDATE(Swap_Date,2)</f>
        <v>43524</v>
      </c>
      <c r="B83" s="3">
        <f ca="1">_xll.BDP(H83,"PX_LAST")+$P$81</f>
        <v>0.86463000000000001</v>
      </c>
      <c r="C83" s="1">
        <f t="shared" ref="C83:C88" ca="1" si="6">nextimm(C82+1)</f>
        <v>43726</v>
      </c>
      <c r="D83" s="3">
        <f ca="1">$P$81+100-_xll.BDP(I83,"PX_LAST")</f>
        <v>0.99625000000000341</v>
      </c>
      <c r="E83" s="1">
        <f t="shared" ref="E83:E96" ca="1" si="7">EDATE(E82,12)</f>
        <v>44926</v>
      </c>
      <c r="F83" s="3">
        <f ca="1">_xll.BDP(J83,"PX_LAST")+M83</f>
        <v>1.33775</v>
      </c>
      <c r="H83" s="3" t="s">
        <v>137</v>
      </c>
      <c r="I83" s="3" t="s">
        <v>143</v>
      </c>
      <c r="J83" s="3" t="s">
        <v>151</v>
      </c>
      <c r="M83" s="3">
        <f ca="1">_xll.BDP(N83,"PX_LAST")/100</f>
        <v>0.12875</v>
      </c>
      <c r="N83" s="3" t="s">
        <v>290</v>
      </c>
    </row>
    <row r="84" spans="1:17" x14ac:dyDescent="0.25">
      <c r="A84" s="1">
        <f ca="1">EDATE(Swap_Date,3)</f>
        <v>43555</v>
      </c>
      <c r="B84" s="3">
        <f ca="1">_xll.BDP(H84,"PX_LAST")+$P$81</f>
        <v>0.98369000000000006</v>
      </c>
      <c r="C84" s="1">
        <f t="shared" ca="1" si="6"/>
        <v>43817</v>
      </c>
      <c r="D84" s="3">
        <f ca="1">$P$81+100-_xll.BDP(I84,"PX_LAST")</f>
        <v>1.0512500000000102</v>
      </c>
      <c r="E84" s="1">
        <f t="shared" ca="1" si="7"/>
        <v>45291</v>
      </c>
      <c r="F84" s="3">
        <f ca="1">_xll.BDP(J84,"PX_LAST")+M84</f>
        <v>1.393</v>
      </c>
      <c r="H84" s="3" t="s">
        <v>138</v>
      </c>
      <c r="I84" s="3" t="s">
        <v>144</v>
      </c>
      <c r="J84" s="3" t="s">
        <v>152</v>
      </c>
      <c r="M84" s="3">
        <f ca="1">_xll.BDP(N84,"PX_LAST")/100</f>
        <v>0.15</v>
      </c>
      <c r="N84" s="3" t="s">
        <v>291</v>
      </c>
    </row>
    <row r="85" spans="1:17" x14ac:dyDescent="0.25">
      <c r="A85" s="1">
        <f ca="1">EDATE(Swap_Date,6)</f>
        <v>43646</v>
      </c>
      <c r="B85" s="3">
        <f ca="1">_xll.BDP(H85,"PX_LAST")+$P$81</f>
        <v>1.1059399999999999</v>
      </c>
      <c r="C85" s="1">
        <f t="shared" ca="1" si="6"/>
        <v>43908</v>
      </c>
      <c r="D85" s="3">
        <f ca="1">$P$81+100-_xll.BDP(I85,"PX_LAST")</f>
        <v>1.0812400000000082</v>
      </c>
      <c r="E85" s="1">
        <f t="shared" ca="1" si="7"/>
        <v>45657</v>
      </c>
      <c r="F85" s="3">
        <f ca="1">_xll.BDP(J85,"PX_LAST")+M85</f>
        <v>1.4452500000000001</v>
      </c>
      <c r="H85" s="3" t="s">
        <v>139</v>
      </c>
      <c r="I85" s="3" t="s">
        <v>145</v>
      </c>
      <c r="J85" s="3" t="s">
        <v>153</v>
      </c>
      <c r="M85" s="3">
        <f ca="1">_xll.BDP(N85,"PX_LAST")/100</f>
        <v>0.17125000000000001</v>
      </c>
      <c r="N85" s="3" t="s">
        <v>292</v>
      </c>
    </row>
    <row r="86" spans="1:17" x14ac:dyDescent="0.25">
      <c r="A86" s="1">
        <f ca="1">EDATE(Swap_Date,12)</f>
        <v>43830</v>
      </c>
      <c r="B86" s="3">
        <f ca="1">_xll.BDP(H86,"PX_LAST")+$P$81</f>
        <v>1.24156</v>
      </c>
      <c r="C86" s="1">
        <f t="shared" ca="1" si="6"/>
        <v>43999</v>
      </c>
      <c r="D86" s="3">
        <f ca="1">$P$81+100-_xll.BDP(I86,"PX_LAST")</f>
        <v>1.1312500000000085</v>
      </c>
      <c r="E86" s="1">
        <f t="shared" ca="1" si="7"/>
        <v>46022</v>
      </c>
      <c r="F86" s="3">
        <f ca="1">_xll.BDP(J86,"PX_LAST")+M86</f>
        <v>1.4954999999999998</v>
      </c>
      <c r="H86" s="3" t="s">
        <v>140</v>
      </c>
      <c r="I86" s="3" t="s">
        <v>146</v>
      </c>
      <c r="J86" s="3" t="s">
        <v>154</v>
      </c>
      <c r="M86" s="3">
        <f ca="1">_xll.BDP(N86,"PX_LAST")/100</f>
        <v>0.1925</v>
      </c>
      <c r="N86" s="3" t="s">
        <v>293</v>
      </c>
    </row>
    <row r="87" spans="1:17" x14ac:dyDescent="0.25">
      <c r="A87" s="11">
        <f ca="1">EDATE(A86,10)</f>
        <v>44135</v>
      </c>
      <c r="B87" s="3">
        <f ca="1">$B$86</f>
        <v>1.24156</v>
      </c>
      <c r="C87" s="1">
        <f t="shared" ca="1" si="6"/>
        <v>44090</v>
      </c>
      <c r="D87" s="3">
        <f ca="1">$P$81+100-_xll.BDP(I87,"PX_LAST")</f>
        <v>1.1512400000000014</v>
      </c>
      <c r="E87" s="1">
        <f t="shared" ca="1" si="7"/>
        <v>46387</v>
      </c>
      <c r="F87" s="3">
        <f ca="1">_xll.BDP(J87,"PX_LAST")+M87</f>
        <v>1.5393750000000002</v>
      </c>
      <c r="I87" s="3" t="s">
        <v>147</v>
      </c>
      <c r="J87" s="3" t="s">
        <v>155</v>
      </c>
      <c r="M87" s="3">
        <f ca="1">_xll.BDP(N87,"PX_LAST")/100</f>
        <v>0.20937500000000001</v>
      </c>
      <c r="N87" s="3" t="s">
        <v>294</v>
      </c>
    </row>
    <row r="88" spans="1:17" x14ac:dyDescent="0.25">
      <c r="C88" s="1">
        <f t="shared" ca="1" si="6"/>
        <v>44181</v>
      </c>
      <c r="D88" s="3">
        <f ca="1">$P$81+100-_xll.BDP(I88,"PX_LAST")</f>
        <v>1.1812400000000025</v>
      </c>
      <c r="E88" s="1">
        <f t="shared" ca="1" si="7"/>
        <v>46752</v>
      </c>
      <c r="F88" s="3">
        <f ca="1">_xll.BDP(J88,"PX_LAST")+M88</f>
        <v>1.57925</v>
      </c>
      <c r="I88" s="3" t="s">
        <v>148</v>
      </c>
      <c r="J88" s="3" t="s">
        <v>156</v>
      </c>
      <c r="M88" s="3">
        <f ca="1">_xll.BDP(N88,"PX_LAST")/100</f>
        <v>0.22125</v>
      </c>
      <c r="N88" s="3" t="s">
        <v>295</v>
      </c>
    </row>
    <row r="89" spans="1:17" x14ac:dyDescent="0.25">
      <c r="E89" s="1">
        <f t="shared" ca="1" si="7"/>
        <v>47118</v>
      </c>
      <c r="F89" s="3">
        <f ca="1">_xll.BDP(J89,"PX_LAST")+M89</f>
        <v>1.6147499999999999</v>
      </c>
      <c r="J89" s="3" t="s">
        <v>28</v>
      </c>
      <c r="M89" s="3">
        <f ca="1">_xll.BDP(N89,"PX_LAST")/100</f>
        <v>0.22875000000000001</v>
      </c>
      <c r="N89" s="3" t="s">
        <v>296</v>
      </c>
    </row>
    <row r="90" spans="1:17" x14ac:dyDescent="0.25">
      <c r="E90" s="1">
        <f t="shared" ca="1" si="7"/>
        <v>47483</v>
      </c>
      <c r="F90" s="3">
        <f ca="1">_xll.BDP(J90,"PX_LAST")+M90</f>
        <v>1.6437499999999998</v>
      </c>
      <c r="J90" s="3" t="s">
        <v>157</v>
      </c>
      <c r="M90" s="3">
        <f ca="1">_xll.BDP(N90,"PX_LAST")/100</f>
        <v>0.23375000000000001</v>
      </c>
      <c r="N90" s="3" t="s">
        <v>297</v>
      </c>
    </row>
    <row r="91" spans="1:17" x14ac:dyDescent="0.25">
      <c r="E91" s="1">
        <f t="shared" ca="1" si="7"/>
        <v>47848</v>
      </c>
      <c r="F91" s="3">
        <f ca="1">_xll.BDP(J91,"PX_LAST")+M91</f>
        <v>1.6668749999999999</v>
      </c>
      <c r="J91" s="3" t="s">
        <v>158</v>
      </c>
      <c r="M91" s="3">
        <f ca="1">_xll.BDP(N91,"PX_LAST")/100</f>
        <v>0.236875</v>
      </c>
      <c r="N91" s="3" t="s">
        <v>298</v>
      </c>
    </row>
    <row r="92" spans="1:17" x14ac:dyDescent="0.25">
      <c r="E92" s="1">
        <f t="shared" ca="1" si="7"/>
        <v>48213</v>
      </c>
      <c r="F92" s="3">
        <f ca="1">_xll.BDP(J92,"PX_LAST")+M92</f>
        <v>1.6800416666666667</v>
      </c>
      <c r="J92" s="3" t="s">
        <v>159</v>
      </c>
      <c r="M92" s="18">
        <f ca="1">(M94-M91)/3+M91</f>
        <v>0.23354166666666668</v>
      </c>
      <c r="N92" s="3" t="s">
        <v>299</v>
      </c>
    </row>
    <row r="93" spans="1:17" x14ac:dyDescent="0.25">
      <c r="E93" s="1">
        <f t="shared" ca="1" si="7"/>
        <v>48579</v>
      </c>
      <c r="F93" s="3">
        <f ca="1">_xll.BDP(J93,"PX_LAST")+M93</f>
        <v>1.6912083333333334</v>
      </c>
      <c r="J93" s="3" t="s">
        <v>160</v>
      </c>
      <c r="M93" s="18">
        <f ca="1">(M94-M91)/3*2+M91</f>
        <v>0.23020833333333332</v>
      </c>
      <c r="N93" s="3" t="s">
        <v>300</v>
      </c>
    </row>
    <row r="94" spans="1:17" x14ac:dyDescent="0.25">
      <c r="E94" s="1">
        <f t="shared" ca="1" si="7"/>
        <v>48944</v>
      </c>
      <c r="F94" s="3">
        <f ca="1">_xll.BDP(J94,"PX_LAST")+M94</f>
        <v>1.699875</v>
      </c>
      <c r="J94" s="3" t="s">
        <v>161</v>
      </c>
      <c r="M94" s="3">
        <f ca="1">_xll.BDP(N94,"PX_LAST")/100</f>
        <v>0.22687499999999999</v>
      </c>
      <c r="N94" s="3" t="s">
        <v>301</v>
      </c>
    </row>
    <row r="95" spans="1:17" x14ac:dyDescent="0.25">
      <c r="E95" s="1">
        <f t="shared" ca="1" si="7"/>
        <v>49309</v>
      </c>
      <c r="F95" s="3">
        <f ca="1">_xll.BDP(J95,"PX_LAST")+M95</f>
        <v>1.7057500000000001</v>
      </c>
      <c r="J95" s="3" t="s">
        <v>162</v>
      </c>
      <c r="M95" s="18">
        <f ca="1">(M97-M94)/5+M94</f>
        <v>0.22225</v>
      </c>
      <c r="N95" s="3" t="s">
        <v>302</v>
      </c>
    </row>
    <row r="96" spans="1:17" x14ac:dyDescent="0.25">
      <c r="E96" s="1">
        <f t="shared" ca="1" si="7"/>
        <v>49674</v>
      </c>
      <c r="F96" s="3">
        <f ca="1">_xll.BDP(J96,"PX_LAST")+M96</f>
        <v>1.7101249999999999</v>
      </c>
      <c r="J96" s="3" t="s">
        <v>163</v>
      </c>
      <c r="M96" s="18">
        <f ca="1">(M97-M94)/5*2+M94</f>
        <v>0.21762499999999999</v>
      </c>
      <c r="N96" s="3" t="s">
        <v>303</v>
      </c>
    </row>
    <row r="97" spans="1:17" x14ac:dyDescent="0.25">
      <c r="E97" s="1">
        <f ca="1">EDATE(E96,36)</f>
        <v>50770</v>
      </c>
      <c r="F97" s="3">
        <f ca="1">_xll.BDP(J97,"PX_LAST")+M97</f>
        <v>1.71475</v>
      </c>
      <c r="J97" s="3" t="s">
        <v>164</v>
      </c>
      <c r="M97" s="3">
        <f ca="1">_xll.BDP(N97,"PX_LAST")/100</f>
        <v>0.20374999999999999</v>
      </c>
      <c r="N97" s="3" t="s">
        <v>304</v>
      </c>
    </row>
    <row r="98" spans="1:17" x14ac:dyDescent="0.25">
      <c r="E98" s="1">
        <f ca="1">EDATE(E97,60)</f>
        <v>52596</v>
      </c>
      <c r="F98" s="3">
        <f ca="1">_xll.BDP(J98,"PX_LAST")+M98</f>
        <v>1.71675</v>
      </c>
      <c r="J98" s="3" t="s">
        <v>165</v>
      </c>
      <c r="M98" s="3">
        <f ca="1">_xll.BDP(N98,"PX_LAST")/100</f>
        <v>0.19875000000000001</v>
      </c>
      <c r="N98" s="3" t="s">
        <v>305</v>
      </c>
    </row>
    <row r="99" spans="1:17" x14ac:dyDescent="0.25">
      <c r="E99" s="1">
        <f ca="1">EDATE(E98,60)</f>
        <v>54423</v>
      </c>
      <c r="F99" s="3">
        <f ca="1">_xll.BDP(J99,"PX_LAST")+M99</f>
        <v>1.7369166666666667</v>
      </c>
      <c r="J99" s="3" t="s">
        <v>166</v>
      </c>
      <c r="M99" s="18">
        <f ca="1">(M100-M98)/3+M98</f>
        <v>0.22291666666666668</v>
      </c>
      <c r="N99" s="3" t="s">
        <v>306</v>
      </c>
    </row>
    <row r="100" spans="1:17" x14ac:dyDescent="0.25">
      <c r="E100" s="1">
        <f ca="1">EDATE(E99,120)</f>
        <v>58075</v>
      </c>
      <c r="F100" s="3">
        <f ca="1">_xll.BDP(J100,"PX_LAST")+M100</f>
        <v>1.76125</v>
      </c>
      <c r="J100" s="3" t="s">
        <v>167</v>
      </c>
      <c r="M100" s="3">
        <f ca="1">_xll.BDP(N100,"PX_LAST")/100</f>
        <v>0.27124999999999999</v>
      </c>
      <c r="N100" s="3" t="s">
        <v>307</v>
      </c>
    </row>
    <row r="101" spans="1:17" x14ac:dyDescent="0.25">
      <c r="E101" s="1">
        <f ca="1">EDATE(E100,12)</f>
        <v>58440</v>
      </c>
      <c r="F101" s="3">
        <f ca="1">$F$100</f>
        <v>1.76125</v>
      </c>
    </row>
    <row r="104" spans="1:17" x14ac:dyDescent="0.25">
      <c r="A104" s="3" t="s">
        <v>247</v>
      </c>
      <c r="B104" s="3">
        <v>7</v>
      </c>
      <c r="D104" s="3">
        <v>7</v>
      </c>
      <c r="F104" s="3">
        <v>100</v>
      </c>
    </row>
    <row r="105" spans="1:17" x14ac:dyDescent="0.25">
      <c r="A105" s="3" t="s">
        <v>29</v>
      </c>
      <c r="B105" s="3" t="s">
        <v>30</v>
      </c>
      <c r="C105" s="3" t="s">
        <v>31</v>
      </c>
      <c r="D105" s="3" t="s">
        <v>32</v>
      </c>
      <c r="E105" s="3" t="s">
        <v>33</v>
      </c>
      <c r="F105" s="3" t="s">
        <v>34</v>
      </c>
      <c r="M105" s="5" t="s">
        <v>248</v>
      </c>
      <c r="N105" s="5" t="s">
        <v>35</v>
      </c>
    </row>
    <row r="106" spans="1:17" x14ac:dyDescent="0.25">
      <c r="A106" s="1">
        <f ca="1">WORKDAY(Swap_Date,1)</f>
        <v>43466</v>
      </c>
      <c r="B106" s="3">
        <f ca="1">_xll.BDP(H106,"PX_LAST")+$P$106</f>
        <v>-0.87319999999999998</v>
      </c>
      <c r="C106" s="1">
        <f ca="1">nextimm(Swap_Date)</f>
        <v>43544</v>
      </c>
      <c r="D106" s="3">
        <f ca="1">100-IF(ISNUMBER(_xll.BDP(I106,"PX_LAST")),_xll.BDP(I106,"PX_LAST")+$P$106,100-B109)</f>
        <v>-0.78839999999999577</v>
      </c>
      <c r="E106" s="1">
        <f ca="1">EDATE(Swap_Date,24)</f>
        <v>44196</v>
      </c>
      <c r="F106" s="3">
        <f ca="1">_xll.BDP(J106,"PX_LAST")+M106</f>
        <v>-0.66969999999999996</v>
      </c>
      <c r="H106" s="3" t="s">
        <v>168</v>
      </c>
      <c r="I106" s="3" t="s">
        <v>174</v>
      </c>
      <c r="J106" s="3" t="s">
        <v>182</v>
      </c>
      <c r="M106" s="3">
        <f ca="1">_xll.BDP(N106,"PX_LAST")/100</f>
        <v>-9.5000000000000001E-2</v>
      </c>
      <c r="N106" s="3" t="s">
        <v>309</v>
      </c>
      <c r="P106" s="3">
        <f ca="1">_xll.BDP(Q106,"PX_LAST")/100</f>
        <v>-7.4999999999999997E-2</v>
      </c>
      <c r="Q106" s="3" t="s">
        <v>364</v>
      </c>
    </row>
    <row r="107" spans="1:17" x14ac:dyDescent="0.25">
      <c r="A107" s="1">
        <f ca="1">EDATE(Swap_Date,1)</f>
        <v>43496</v>
      </c>
      <c r="B107" s="3">
        <f ca="1">_xll.BDP(H107,"PX_LAST")+$P$106</f>
        <v>-0.87179999999999991</v>
      </c>
      <c r="C107" s="1">
        <f ca="1">nextimm(C106+1)</f>
        <v>43635</v>
      </c>
      <c r="D107" s="3" t="e">
        <f ca="1">$P$106+100-_xll.BDP(I107,"PX_LAST")</f>
        <v>#VALUE!</v>
      </c>
      <c r="E107" s="1">
        <f ca="1">EDATE(E106,12)</f>
        <v>44561</v>
      </c>
      <c r="F107" s="3">
        <f ca="1">_xll.BDP(J107,"PX_LAST")+M107</f>
        <v>-0.59875</v>
      </c>
      <c r="H107" s="3" t="s">
        <v>169</v>
      </c>
      <c r="I107" s="3" t="s">
        <v>175</v>
      </c>
      <c r="J107" s="3" t="s">
        <v>183</v>
      </c>
      <c r="M107" s="18">
        <f ca="1">(M106+M108)/2</f>
        <v>-0.10625</v>
      </c>
      <c r="N107" s="3" t="s">
        <v>310</v>
      </c>
    </row>
    <row r="108" spans="1:17" x14ac:dyDescent="0.25">
      <c r="A108" s="1">
        <f ca="1">EDATE(Swap_Date,2)</f>
        <v>43524</v>
      </c>
      <c r="B108" s="3">
        <f ca="1">_xll.BDP(H108,"PX_LAST")+$P$106</f>
        <v>-0.80579999999999996</v>
      </c>
      <c r="C108" s="1">
        <f t="shared" ref="C108:C113" ca="1" si="8">nextimm(C107+1)</f>
        <v>43726</v>
      </c>
      <c r="D108" s="3">
        <f ca="1">$P$106+100-_xll.BDP(I108,"PX_LAST")</f>
        <v>-0.79500000000000171</v>
      </c>
      <c r="E108" s="1">
        <f t="shared" ref="E108:E119" ca="1" si="9">EDATE(E107,12)</f>
        <v>44926</v>
      </c>
      <c r="F108" s="3">
        <f ca="1">_xll.BDP(J108,"PX_LAST")+M108</f>
        <v>-0.51889999999999992</v>
      </c>
      <c r="H108" s="3" t="s">
        <v>170</v>
      </c>
      <c r="I108" s="3" t="s">
        <v>176</v>
      </c>
      <c r="J108" s="3" t="s">
        <v>184</v>
      </c>
      <c r="M108" s="3">
        <f ca="1">_xll.BDP(N108,"PX_LAST")/100</f>
        <v>-0.11749999999999999</v>
      </c>
      <c r="N108" s="3" t="s">
        <v>311</v>
      </c>
    </row>
    <row r="109" spans="1:17" x14ac:dyDescent="0.25">
      <c r="A109" s="1">
        <f ca="1">EDATE(Swap_Date,3)</f>
        <v>43555</v>
      </c>
      <c r="B109" s="3">
        <f ca="1">_xll.BDP(H109,"PX_LAST")+$P$106</f>
        <v>-0.78839999999999999</v>
      </c>
      <c r="C109" s="1">
        <f t="shared" ca="1" si="8"/>
        <v>43817</v>
      </c>
      <c r="D109" s="3">
        <f ca="1">$P$106+100-_xll.BDP(I109,"PX_LAST")</f>
        <v>-0.79500000000000171</v>
      </c>
      <c r="E109" s="1">
        <f t="shared" ca="1" si="9"/>
        <v>45291</v>
      </c>
      <c r="F109" s="3">
        <f ca="1">_xll.BDP(J109,"PX_LAST")+M109</f>
        <v>-0.4325</v>
      </c>
      <c r="H109" s="3" t="s">
        <v>171</v>
      </c>
      <c r="I109" s="3" t="s">
        <v>177</v>
      </c>
      <c r="J109" s="3" t="s">
        <v>185</v>
      </c>
      <c r="M109" s="3">
        <f ca="1">_xll.BDP(N109,"PX_LAST")/100</f>
        <v>-0.13500000000000001</v>
      </c>
      <c r="N109" s="3" t="s">
        <v>312</v>
      </c>
    </row>
    <row r="110" spans="1:17" x14ac:dyDescent="0.25">
      <c r="A110" s="1">
        <f ca="1">EDATE(Swap_Date,6)</f>
        <v>43646</v>
      </c>
      <c r="B110" s="3">
        <f ca="1">_xll.BDP(H110,"PX_LAST")+$P$106</f>
        <v>-0.70719999999999994</v>
      </c>
      <c r="C110" s="1">
        <f t="shared" ca="1" si="8"/>
        <v>43908</v>
      </c>
      <c r="D110" s="3">
        <f ca="1">$P$106+100-_xll.BDP(I110,"PX_LAST")</f>
        <v>-0.79500000000000171</v>
      </c>
      <c r="E110" s="1">
        <f t="shared" ca="1" si="9"/>
        <v>45657</v>
      </c>
      <c r="F110" s="3">
        <f ca="1">_xll.BDP(J110,"PX_LAST")+M110</f>
        <v>-0.33750000000000002</v>
      </c>
      <c r="H110" s="3" t="s">
        <v>172</v>
      </c>
      <c r="I110" s="3" t="s">
        <v>178</v>
      </c>
      <c r="J110" s="3" t="s">
        <v>186</v>
      </c>
      <c r="M110" s="3">
        <f ca="1">_xll.BDP(N110,"PX_LAST")/100</f>
        <v>-0.1575</v>
      </c>
      <c r="N110" s="3" t="s">
        <v>313</v>
      </c>
    </row>
    <row r="111" spans="1:17" x14ac:dyDescent="0.25">
      <c r="A111" s="1">
        <f ca="1">EDATE(Swap_Date,12)</f>
        <v>43830</v>
      </c>
      <c r="B111" s="3">
        <f ca="1">_xll.BDP(H111,"PX_LAST")+$P$106</f>
        <v>-0.5776</v>
      </c>
      <c r="C111" s="1">
        <f t="shared" ca="1" si="8"/>
        <v>43999</v>
      </c>
      <c r="D111" s="3">
        <f ca="1">$P$106+100-_xll.BDP(I111,"PX_LAST")</f>
        <v>-0.73499999999999943</v>
      </c>
      <c r="E111" s="1">
        <f t="shared" ca="1" si="9"/>
        <v>46022</v>
      </c>
      <c r="F111" s="3">
        <f ca="1">_xll.BDP(J111,"PX_LAST")+M111</f>
        <v>-0.2286</v>
      </c>
      <c r="H111" s="3" t="s">
        <v>173</v>
      </c>
      <c r="I111" s="3" t="s">
        <v>179</v>
      </c>
      <c r="J111" s="3" t="s">
        <v>187</v>
      </c>
      <c r="M111" s="3">
        <f ca="1">_xll.BDP(N111,"PX_LAST")/100</f>
        <v>-0.17499999999999999</v>
      </c>
      <c r="N111" s="3" t="s">
        <v>314</v>
      </c>
    </row>
    <row r="112" spans="1:17" x14ac:dyDescent="0.25">
      <c r="A112" s="11">
        <f ca="1">EDATE(A111,10)</f>
        <v>44135</v>
      </c>
      <c r="B112" s="12">
        <f ca="1">$B$111</f>
        <v>-0.5776</v>
      </c>
      <c r="C112" s="1">
        <f t="shared" ca="1" si="8"/>
        <v>44090</v>
      </c>
      <c r="D112" s="3">
        <f ca="1">$P$106+100-_xll.BDP(I112,"PX_LAST")</f>
        <v>-0.69500000000000739</v>
      </c>
      <c r="E112" s="1">
        <f t="shared" ca="1" si="9"/>
        <v>46387</v>
      </c>
      <c r="F112" s="3">
        <f ca="1">_xll.BDP(J112,"PX_LAST")+M112</f>
        <v>-0.1273</v>
      </c>
      <c r="I112" s="3" t="s">
        <v>180</v>
      </c>
      <c r="J112" s="3" t="s">
        <v>188</v>
      </c>
      <c r="M112" s="3">
        <f ca="1">_xll.BDP(N112,"PX_LAST")/100</f>
        <v>-0.1875</v>
      </c>
      <c r="N112" s="3" t="s">
        <v>315</v>
      </c>
    </row>
    <row r="113" spans="3:14" x14ac:dyDescent="0.25">
      <c r="C113" s="1">
        <f t="shared" ca="1" si="8"/>
        <v>44181</v>
      </c>
      <c r="D113" s="3">
        <f ca="1">100-_xll.BDP(I113,"PX_LAST")</f>
        <v>-0.57999999999999829</v>
      </c>
      <c r="E113" s="1">
        <f t="shared" ca="1" si="9"/>
        <v>46752</v>
      </c>
      <c r="F113" s="3">
        <f ca="1">_xll.BDP(J113,"PX_LAST")+M113</f>
        <v>-3.5799999999999998E-2</v>
      </c>
      <c r="I113" s="3" t="s">
        <v>181</v>
      </c>
      <c r="J113" s="3" t="s">
        <v>189</v>
      </c>
      <c r="M113" s="3">
        <f ca="1">_xll.BDP(N113,"PX_LAST")/100</f>
        <v>-0.2</v>
      </c>
      <c r="N113" s="3" t="s">
        <v>316</v>
      </c>
    </row>
    <row r="114" spans="3:14" x14ac:dyDescent="0.25">
      <c r="E114" s="1">
        <f t="shared" ca="1" si="9"/>
        <v>47118</v>
      </c>
      <c r="F114" s="3">
        <f ca="1">_xll.BDP(J114,"PX_LAST")+M114</f>
        <v>4.3099999999999999E-2</v>
      </c>
      <c r="J114" s="3" t="s">
        <v>190</v>
      </c>
      <c r="M114" s="3">
        <f ca="1">_xll.BDP(N114,"PX_LAST")/100</f>
        <v>-0.215</v>
      </c>
      <c r="N114" s="3" t="s">
        <v>317</v>
      </c>
    </row>
    <row r="115" spans="3:14" x14ac:dyDescent="0.25">
      <c r="E115" s="1">
        <f t="shared" ca="1" si="9"/>
        <v>47483</v>
      </c>
      <c r="F115" s="3">
        <f ca="1">_xll.BDP(J115,"PX_LAST")+M115</f>
        <v>0.11875000000000002</v>
      </c>
      <c r="J115" s="3" t="s">
        <v>191</v>
      </c>
      <c r="M115" s="18">
        <f ca="1">(M114+M116)/2</f>
        <v>-0.22375</v>
      </c>
      <c r="N115" s="3" t="s">
        <v>318</v>
      </c>
    </row>
    <row r="116" spans="3:14" x14ac:dyDescent="0.25">
      <c r="E116" s="1">
        <f t="shared" ca="1" si="9"/>
        <v>47848</v>
      </c>
      <c r="F116" s="3">
        <f ca="1">_xll.BDP(J116,"PX_LAST")+M116</f>
        <v>0.17</v>
      </c>
      <c r="J116" s="3" t="s">
        <v>192</v>
      </c>
      <c r="M116" s="3">
        <f ca="1">_xll.BDP(N116,"PX_LAST")/100</f>
        <v>-0.23250000000000001</v>
      </c>
      <c r="N116" s="3" t="s">
        <v>319</v>
      </c>
    </row>
    <row r="117" spans="3:14" x14ac:dyDescent="0.25">
      <c r="E117" s="1">
        <f t="shared" ca="1" si="9"/>
        <v>48213</v>
      </c>
      <c r="F117" s="3">
        <f ca="1">_xll.BDP(J117,"PX_LAST")+M117</f>
        <v>0.2616666666666666</v>
      </c>
      <c r="J117" s="3" t="s">
        <v>193</v>
      </c>
      <c r="M117" s="18">
        <f ca="1">(M119-M116)/3+M116</f>
        <v>-0.22083333333333335</v>
      </c>
      <c r="N117" s="3" t="s">
        <v>320</v>
      </c>
    </row>
    <row r="118" spans="3:14" x14ac:dyDescent="0.25">
      <c r="E118" s="1">
        <f t="shared" ca="1" si="9"/>
        <v>48579</v>
      </c>
      <c r="F118" s="3">
        <f ca="1">_xll.BDP(J118,"PX_LAST")+M118</f>
        <v>0.32833333333333331</v>
      </c>
      <c r="J118" s="3" t="s">
        <v>194</v>
      </c>
      <c r="M118" s="18">
        <f ca="1">(M119-M116)/3*2+M116</f>
        <v>-0.20916666666666667</v>
      </c>
      <c r="N118" s="3" t="s">
        <v>321</v>
      </c>
    </row>
    <row r="119" spans="3:14" x14ac:dyDescent="0.25">
      <c r="E119" s="1">
        <f t="shared" ca="1" si="9"/>
        <v>48944</v>
      </c>
      <c r="F119" s="3">
        <f ca="1">_xll.BDP(J119,"PX_LAST")+M119</f>
        <v>0.37249999999999994</v>
      </c>
      <c r="J119" s="3" t="s">
        <v>195</v>
      </c>
      <c r="M119" s="3">
        <f ca="1">_xll.BDP(N119,"PX_LAST")/100</f>
        <v>-0.19750000000000001</v>
      </c>
      <c r="N119" s="3" t="s">
        <v>322</v>
      </c>
    </row>
    <row r="120" spans="3:14" x14ac:dyDescent="0.25">
      <c r="E120" s="1">
        <f ca="1">EDATE(E119,60)</f>
        <v>50770</v>
      </c>
      <c r="F120" s="3">
        <f ca="1">_xll.BDP(J120,"PX_LAST")+M120</f>
        <v>0.53499999999999992</v>
      </c>
      <c r="J120" s="3" t="s">
        <v>196</v>
      </c>
      <c r="M120" s="3">
        <f ca="1">_xll.BDP(N120,"PX_LAST")/100</f>
        <v>-0.17</v>
      </c>
      <c r="N120" s="3" t="s">
        <v>323</v>
      </c>
    </row>
    <row r="121" spans="3:14" x14ac:dyDescent="0.25">
      <c r="E121" s="1">
        <f ca="1">EDATE(E120,60)</f>
        <v>52596</v>
      </c>
      <c r="F121" s="3">
        <f ca="1">_xll.BDP(J121,"PX_LAST")+M121</f>
        <v>0.62875000000000003</v>
      </c>
      <c r="J121" s="3" t="s">
        <v>197</v>
      </c>
      <c r="M121" s="18">
        <f ca="1">(M120+M122)/2</f>
        <v>-0.14624999999999999</v>
      </c>
      <c r="N121" s="3" t="s">
        <v>324</v>
      </c>
    </row>
    <row r="122" spans="3:14" x14ac:dyDescent="0.25">
      <c r="E122" s="1">
        <f ca="1">EDATE(E121,60)</f>
        <v>54423</v>
      </c>
      <c r="F122" s="3">
        <f ca="1">_xll.BDP(J122,"PX_LAST")+M122</f>
        <v>0.65500000000000003</v>
      </c>
      <c r="J122" s="3" t="s">
        <v>198</v>
      </c>
      <c r="M122" s="3">
        <f ca="1">_xll.BDP(N122,"PX_LAST")/100</f>
        <v>-0.1225</v>
      </c>
      <c r="N122" s="3" t="s">
        <v>325</v>
      </c>
    </row>
    <row r="123" spans="3:14" x14ac:dyDescent="0.25">
      <c r="E123" s="1">
        <f ca="1">EDATE(E122,120)</f>
        <v>58075</v>
      </c>
      <c r="F123" s="3">
        <f ca="1">_xll.BDP(J123,"PX_LAST")+M123</f>
        <v>0.70500000000000007</v>
      </c>
      <c r="J123" s="3" t="s">
        <v>199</v>
      </c>
      <c r="M123" s="18">
        <f ca="1">$M$122</f>
        <v>-0.1225</v>
      </c>
      <c r="N123" s="3" t="s">
        <v>326</v>
      </c>
    </row>
    <row r="124" spans="3:14" x14ac:dyDescent="0.25">
      <c r="E124" s="1">
        <f ca="1">EDATE(E123,12)</f>
        <v>58440</v>
      </c>
      <c r="F124" s="3">
        <f ca="1">$F$123</f>
        <v>0.70500000000000007</v>
      </c>
    </row>
    <row r="125" spans="3:14" x14ac:dyDescent="0.25">
      <c r="E125" s="1"/>
    </row>
    <row r="129" spans="1:17" x14ac:dyDescent="0.25">
      <c r="A129" s="8" t="s">
        <v>21</v>
      </c>
      <c r="B129" s="9">
        <v>7</v>
      </c>
      <c r="C129" s="9"/>
      <c r="D129" s="9">
        <v>7</v>
      </c>
      <c r="E129" s="9"/>
      <c r="F129" s="9">
        <v>100</v>
      </c>
    </row>
    <row r="130" spans="1:17" x14ac:dyDescent="0.25">
      <c r="A130" s="3" t="s">
        <v>29</v>
      </c>
      <c r="B130" s="3" t="s">
        <v>30</v>
      </c>
      <c r="C130" s="3" t="s">
        <v>31</v>
      </c>
      <c r="D130" s="3" t="s">
        <v>32</v>
      </c>
      <c r="E130" s="3" t="s">
        <v>33</v>
      </c>
      <c r="F130" s="3" t="s">
        <v>34</v>
      </c>
      <c r="M130" s="5" t="s">
        <v>248</v>
      </c>
      <c r="N130" s="5" t="s">
        <v>35</v>
      </c>
    </row>
    <row r="131" spans="1:17" x14ac:dyDescent="0.25">
      <c r="A131" s="1">
        <f ca="1">WORKDAY(Swap_Date,1)</f>
        <v>43466</v>
      </c>
      <c r="B131" s="3">
        <f ca="1">_xll.BDP(H131,"PX_LAST")+$P$131</f>
        <v>1.5449999999999999</v>
      </c>
      <c r="C131" s="1">
        <f ca="1">nextimm(Swap_Date)</f>
        <v>43544</v>
      </c>
      <c r="D131" s="3">
        <f ca="1">100-IF(ISNUMBER(_xll.BDP(I131,"PX_LAST")),_xll.BDP(I131,"PX_LAST")+$P$131,100-B134)</f>
        <v>2.105000000000004</v>
      </c>
      <c r="E131" s="1">
        <f ca="1">EDATE(Swap_Date,24)</f>
        <v>44196</v>
      </c>
      <c r="F131" s="3">
        <f ca="1">_xll.BDP(J131,"PX_LAST")+M131</f>
        <v>2.0960999999999999</v>
      </c>
      <c r="H131" s="3" t="s">
        <v>200</v>
      </c>
      <c r="I131" s="3" t="s">
        <v>206</v>
      </c>
      <c r="J131" s="3" t="s">
        <v>214</v>
      </c>
      <c r="M131" s="3">
        <f ca="1">_xll.BDP(N131,"PX_LAST")/100</f>
        <v>-0.16250000000000001</v>
      </c>
      <c r="N131" s="3" t="s">
        <v>327</v>
      </c>
      <c r="P131" s="3">
        <f ca="1">_xll.BDP(Q131,"PX_LAST")/100</f>
        <v>-0.20499999999999999</v>
      </c>
      <c r="Q131" s="3" t="s">
        <v>365</v>
      </c>
    </row>
    <row r="132" spans="1:17" x14ac:dyDescent="0.25">
      <c r="A132" s="1">
        <f ca="1">EDATE(Swap_Date,1)</f>
        <v>43496</v>
      </c>
      <c r="B132" s="3">
        <f ca="1">_xll.BDP(H132,"PX_LAST")+$P$131</f>
        <v>2.0924999999999998</v>
      </c>
      <c r="C132" s="1">
        <f ca="1">nextimm(C131+1)</f>
        <v>43635</v>
      </c>
      <c r="D132" s="3" t="e">
        <f ca="1">$P$131+100-_xll.BDP(I132,"PX_LAST")</f>
        <v>#VALUE!</v>
      </c>
      <c r="E132" s="1">
        <f ca="1">EDATE(E131,12)</f>
        <v>44561</v>
      </c>
      <c r="F132" s="3">
        <f ca="1">_xll.BDP(J132,"PX_LAST")+M132</f>
        <v>2.11435</v>
      </c>
      <c r="H132" s="3" t="s">
        <v>201</v>
      </c>
      <c r="I132" s="3" t="s">
        <v>207</v>
      </c>
      <c r="J132" s="3" t="s">
        <v>215</v>
      </c>
      <c r="M132" s="18">
        <f ca="1">(M131+M133)/2</f>
        <v>-0.13125000000000001</v>
      </c>
      <c r="N132" s="3" t="s">
        <v>328</v>
      </c>
    </row>
    <row r="133" spans="1:17" x14ac:dyDescent="0.25">
      <c r="A133" s="1">
        <f ca="1">EDATE(Swap_Date,2)</f>
        <v>43524</v>
      </c>
      <c r="B133" s="3">
        <f ca="1">_xll.BDP(H133,"PX_LAST")+$P$131</f>
        <v>2.09</v>
      </c>
      <c r="C133" s="1">
        <f t="shared" ref="C133:C138" ca="1" si="10">nextimm(C132+1)</f>
        <v>43726</v>
      </c>
      <c r="D133" s="3">
        <f ca="1">$P$131+100-_xll.BDP(I133,"PX_LAST")</f>
        <v>2.0550000000000068</v>
      </c>
      <c r="E133" s="1">
        <f t="shared" ref="E133:E139" ca="1" si="11">EDATE(E132,12)</f>
        <v>44926</v>
      </c>
      <c r="F133" s="3">
        <f ca="1">_xll.BDP(J133,"PX_LAST")+M133</f>
        <v>2.1526999999999998</v>
      </c>
      <c r="H133" s="3" t="s">
        <v>202</v>
      </c>
      <c r="I133" s="3" t="s">
        <v>208</v>
      </c>
      <c r="J133" s="3" t="s">
        <v>216</v>
      </c>
      <c r="M133" s="3">
        <f ca="1">_xll.BDP(N133,"PX_LAST")/100</f>
        <v>-0.1</v>
      </c>
      <c r="N133" s="3" t="s">
        <v>329</v>
      </c>
    </row>
    <row r="134" spans="1:17" x14ac:dyDescent="0.25">
      <c r="A134" s="1">
        <f ca="1">EDATE(Swap_Date,3)</f>
        <v>43555</v>
      </c>
      <c r="B134" s="3">
        <f ca="1">_xll.BDP(H134,"PX_LAST")+$P$131</f>
        <v>2.105</v>
      </c>
      <c r="C134" s="1">
        <f t="shared" ca="1" si="10"/>
        <v>43817</v>
      </c>
      <c r="D134" s="3">
        <f ca="1">$P$131+100-_xll.BDP(I134,"PX_LAST")</f>
        <v>2.0450000000000017</v>
      </c>
      <c r="E134" s="1">
        <f t="shared" ca="1" si="11"/>
        <v>45291</v>
      </c>
      <c r="F134" s="3">
        <f ca="1">_xll.BDP(J134,"PX_LAST")+M134</f>
        <v>2.2007999999999996</v>
      </c>
      <c r="H134" s="3" t="s">
        <v>203</v>
      </c>
      <c r="I134" s="3" t="s">
        <v>209</v>
      </c>
      <c r="J134" s="3" t="s">
        <v>217</v>
      </c>
      <c r="M134" s="3">
        <f ca="1">_xll.BDP(N134,"PX_LAST")/100</f>
        <v>-7.4999999999999997E-2</v>
      </c>
      <c r="N134" s="3" t="s">
        <v>330</v>
      </c>
    </row>
    <row r="135" spans="1:17" x14ac:dyDescent="0.25">
      <c r="A135" s="1">
        <f ca="1">EDATE(Swap_Date,6)</f>
        <v>43646</v>
      </c>
      <c r="B135" s="3">
        <f ca="1">_xll.BDP(H135,"PX_LAST")+$P$131</f>
        <v>2.1349999999999998</v>
      </c>
      <c r="C135" s="1">
        <f t="shared" ca="1" si="10"/>
        <v>43908</v>
      </c>
      <c r="D135" s="3">
        <f ca="1">$P$131+100-_xll.BDP(I135,"PX_LAST")</f>
        <v>2.0550000000000068</v>
      </c>
      <c r="E135" s="1">
        <f t="shared" ca="1" si="11"/>
        <v>45657</v>
      </c>
      <c r="F135" s="3">
        <f ca="1">_xll.BDP(J135,"PX_LAST")+M135</f>
        <v>2.2382</v>
      </c>
      <c r="H135" s="3" t="s">
        <v>204</v>
      </c>
      <c r="I135" s="3" t="s">
        <v>210</v>
      </c>
      <c r="J135" s="3" t="s">
        <v>218</v>
      </c>
      <c r="M135" s="3">
        <f ca="1">_xll.BDP(N135,"PX_LAST")/100</f>
        <v>-6.5000000000000002E-2</v>
      </c>
      <c r="N135" s="3" t="s">
        <v>331</v>
      </c>
    </row>
    <row r="136" spans="1:17" x14ac:dyDescent="0.25">
      <c r="A136" s="1">
        <f ca="1">EDATE(Swap_Date,12)</f>
        <v>43830</v>
      </c>
      <c r="B136" s="3">
        <f ca="1">_xll.BDP(H136,"PX_LAST")+$P$131</f>
        <v>2.3362499999999997</v>
      </c>
      <c r="C136" s="1">
        <f t="shared" ca="1" si="10"/>
        <v>43999</v>
      </c>
      <c r="D136" s="3">
        <f ca="1">$P$131+100-_xll.BDP(I136,"PX_LAST")</f>
        <v>2.0649999999999977</v>
      </c>
      <c r="E136" s="1">
        <f t="shared" ca="1" si="11"/>
        <v>46022</v>
      </c>
      <c r="F136" s="3">
        <f ca="1">_xll.BDP(J136,"PX_LAST")+M136</f>
        <v>2.2842500000000001</v>
      </c>
      <c r="H136" s="3" t="s">
        <v>205</v>
      </c>
      <c r="I136" s="3" t="s">
        <v>211</v>
      </c>
      <c r="J136" s="3" t="s">
        <v>219</v>
      </c>
      <c r="M136" s="3">
        <f ca="1">_xll.BDP(N136,"PX_LAST")/100</f>
        <v>-5.3749999999999999E-2</v>
      </c>
      <c r="N136" s="3" t="s">
        <v>332</v>
      </c>
    </row>
    <row r="137" spans="1:17" x14ac:dyDescent="0.25">
      <c r="A137" s="11">
        <f ca="1">EDATE(A136,10)</f>
        <v>44135</v>
      </c>
      <c r="B137" s="12">
        <f ca="1">$B$136</f>
        <v>2.3362499999999997</v>
      </c>
      <c r="C137" s="1">
        <f t="shared" ca="1" si="10"/>
        <v>44090</v>
      </c>
      <c r="D137" s="3">
        <f ca="1">$P$131+100-_xll.BDP(I137,"PX_LAST")</f>
        <v>2.0499999999999972</v>
      </c>
      <c r="E137" s="1">
        <f t="shared" ca="1" si="11"/>
        <v>46387</v>
      </c>
      <c r="F137" s="3">
        <f ca="1">_xll.BDP(J137,"PX_LAST")+M137</f>
        <v>2.3248500000000001</v>
      </c>
      <c r="I137" s="3" t="s">
        <v>212</v>
      </c>
      <c r="J137" s="3" t="s">
        <v>220</v>
      </c>
      <c r="M137" s="3">
        <f ca="1">_xll.BDP(N137,"PX_LAST")/100</f>
        <v>-5.1249999999999997E-2</v>
      </c>
      <c r="N137" s="3" t="s">
        <v>333</v>
      </c>
    </row>
    <row r="138" spans="1:17" x14ac:dyDescent="0.25">
      <c r="C138" s="1">
        <f t="shared" ca="1" si="10"/>
        <v>44181</v>
      </c>
      <c r="D138" s="3">
        <f ca="1">$P$131+100-_xll.BDP(I138,"PX_LAST")</f>
        <v>2.0300000000000011</v>
      </c>
      <c r="E138" s="1">
        <f t="shared" ca="1" si="11"/>
        <v>46752</v>
      </c>
      <c r="F138" s="3">
        <f ca="1">_xll.BDP(J138,"PX_LAST")+M138</f>
        <v>2.3667499999999997</v>
      </c>
      <c r="I138" s="3" t="s">
        <v>213</v>
      </c>
      <c r="J138" s="3" t="s">
        <v>221</v>
      </c>
      <c r="M138" s="3">
        <f ca="1">_xll.BDP(N138,"PX_LAST")/100</f>
        <v>-4.6249999999999999E-2</v>
      </c>
      <c r="N138" s="3" t="s">
        <v>334</v>
      </c>
    </row>
    <row r="139" spans="1:17" x14ac:dyDescent="0.25">
      <c r="E139" s="1">
        <f t="shared" ca="1" si="11"/>
        <v>47118</v>
      </c>
      <c r="F139" s="3">
        <f ca="1">_xll.BDP(J139,"PX_LAST")+M139</f>
        <v>2.403</v>
      </c>
      <c r="J139" s="3" t="s">
        <v>222</v>
      </c>
      <c r="M139" s="3">
        <f ca="1">_xll.BDP(N139,"PX_LAST")/100</f>
        <v>-4.2500000000000003E-2</v>
      </c>
      <c r="N139" s="3" t="s">
        <v>335</v>
      </c>
    </row>
    <row r="140" spans="1:17" x14ac:dyDescent="0.25">
      <c r="E140" s="1">
        <f ca="1">EDATE(E139,24)</f>
        <v>47848</v>
      </c>
      <c r="F140" s="3">
        <f ca="1">_xll.BDP(J140,"PX_LAST")+M140</f>
        <v>2.4782999999999999</v>
      </c>
      <c r="J140" s="3" t="s">
        <v>223</v>
      </c>
      <c r="M140" s="3">
        <f ca="1">_xll.BDP(N140,"PX_LAST")/100</f>
        <v>-3.85E-2</v>
      </c>
      <c r="N140" s="3" t="s">
        <v>336</v>
      </c>
    </row>
    <row r="141" spans="1:17" x14ac:dyDescent="0.25">
      <c r="E141" s="1">
        <f ca="1">EDATE(E140,36)</f>
        <v>48944</v>
      </c>
      <c r="F141" s="3">
        <f ca="1">_xll.BDP(J141,"PX_LAST")+M141</f>
        <v>2.5340500000000001</v>
      </c>
      <c r="J141" s="3" t="s">
        <v>224</v>
      </c>
      <c r="M141" s="3">
        <f ca="1">_xll.BDP(N141,"PX_LAST")/100</f>
        <v>-5.4749999999999993E-2</v>
      </c>
      <c r="N141" s="3" t="s">
        <v>337</v>
      </c>
    </row>
    <row r="142" spans="1:17" x14ac:dyDescent="0.25">
      <c r="E142" s="1">
        <f ca="1">EDATE(E141,60)</f>
        <v>50770</v>
      </c>
      <c r="F142" s="3">
        <f ca="1">_xll.BDP(J142,"PX_LAST")+M142</f>
        <v>2.5612000000000004</v>
      </c>
      <c r="J142" s="3" t="s">
        <v>225</v>
      </c>
      <c r="M142" s="3">
        <f ca="1">_xll.BDP(N142,"PX_LAST")/100</f>
        <v>-8.5999999999999993E-2</v>
      </c>
      <c r="N142" s="3" t="s">
        <v>338</v>
      </c>
    </row>
    <row r="143" spans="1:17" x14ac:dyDescent="0.25">
      <c r="E143" s="1">
        <f ca="1">EDATE(E142,60)</f>
        <v>52596</v>
      </c>
      <c r="F143" s="3">
        <f ca="1">_xll.BDP(J143,"PX_LAST")+M143</f>
        <v>2.5305999999999997</v>
      </c>
      <c r="J143" s="3" t="s">
        <v>226</v>
      </c>
      <c r="M143" s="18">
        <f ca="1">$M$122</f>
        <v>-0.1225</v>
      </c>
      <c r="N143" s="3" t="s">
        <v>339</v>
      </c>
    </row>
    <row r="144" spans="1:17" x14ac:dyDescent="0.25">
      <c r="E144" s="1">
        <f ca="1">EDATE(E143,60)</f>
        <v>54423</v>
      </c>
      <c r="F144" s="3">
        <f ca="1">_xll.BDP(J144,"PX_LAST")+M144</f>
        <v>2.5289000000000001</v>
      </c>
      <c r="J144" s="3" t="s">
        <v>227</v>
      </c>
      <c r="M144" s="18">
        <f ca="1">$M$122</f>
        <v>-0.1225</v>
      </c>
      <c r="N144" s="3" t="s">
        <v>340</v>
      </c>
    </row>
    <row r="145" spans="1:22" x14ac:dyDescent="0.25">
      <c r="E145" s="1">
        <f ca="1">EDATE(E144,120)</f>
        <v>58075</v>
      </c>
      <c r="F145" s="3">
        <f ca="1">_xll.BDP(J145,"PX_LAST")+M145</f>
        <v>2.5238999999999998</v>
      </c>
      <c r="J145" s="3" t="s">
        <v>228</v>
      </c>
      <c r="M145" s="18">
        <f ca="1">$M$122</f>
        <v>-0.1225</v>
      </c>
      <c r="N145" s="3" t="s">
        <v>341</v>
      </c>
    </row>
    <row r="146" spans="1:22" x14ac:dyDescent="0.25">
      <c r="E146" s="1">
        <f ca="1">EDATE(E145,12)</f>
        <v>58440</v>
      </c>
      <c r="F146" s="3">
        <f ca="1">$F$145</f>
        <v>2.5238999999999998</v>
      </c>
    </row>
    <row r="154" spans="1:22" ht="15.75" x14ac:dyDescent="0.25">
      <c r="A154" s="8" t="s">
        <v>230</v>
      </c>
      <c r="B154" s="9">
        <v>7</v>
      </c>
      <c r="C154" s="9"/>
      <c r="D154" s="9">
        <v>0</v>
      </c>
      <c r="E154" s="9"/>
      <c r="F154" s="9">
        <v>100</v>
      </c>
      <c r="M154" s="2">
        <v>43430</v>
      </c>
      <c r="S154" s="21" t="s">
        <v>482</v>
      </c>
    </row>
    <row r="155" spans="1:22" ht="15.75" x14ac:dyDescent="0.25">
      <c r="A155" s="3" t="s">
        <v>29</v>
      </c>
      <c r="B155" s="3" t="s">
        <v>30</v>
      </c>
      <c r="C155" s="3" t="s">
        <v>31</v>
      </c>
      <c r="D155" s="3" t="s">
        <v>32</v>
      </c>
      <c r="E155" s="3" t="s">
        <v>33</v>
      </c>
      <c r="F155" s="3" t="s">
        <v>34</v>
      </c>
      <c r="M155" s="5" t="s">
        <v>248</v>
      </c>
      <c r="N155" s="5" t="s">
        <v>35</v>
      </c>
      <c r="S155" s="21" t="s">
        <v>481</v>
      </c>
    </row>
    <row r="156" spans="1:22" x14ac:dyDescent="0.25">
      <c r="A156" s="1">
        <f ca="1">WORKDAY(Swap_Date,1)</f>
        <v>43466</v>
      </c>
      <c r="B156" s="3">
        <f ca="1">B157</f>
        <v>5.5632000000000001</v>
      </c>
      <c r="C156" s="1">
        <f ca="1">nextimm(Swap_Date)</f>
        <v>43544</v>
      </c>
      <c r="D156" s="3" t="s">
        <v>246</v>
      </c>
      <c r="E156" s="1">
        <f ca="1">EDATE(Swap_Date,12)</f>
        <v>43830</v>
      </c>
      <c r="F156" s="3">
        <f>T156</f>
        <v>5.7073999999999998</v>
      </c>
      <c r="I156" s="3">
        <f ca="1">_xll.BDP(J156,"PX_LAST",Pre_Date_BRL,Pre_Date_BRL)</f>
        <v>6.5488</v>
      </c>
      <c r="J156" s="3" t="s">
        <v>236</v>
      </c>
      <c r="M156" s="3" t="e">
        <f ca="1">_xll.BDP(N156,"PX_LAST",M154,M154)/100</f>
        <v>#VALUE!</v>
      </c>
      <c r="N156" s="3" t="s">
        <v>342</v>
      </c>
      <c r="P156" s="3" t="e">
        <f ca="1">_xll.BDP(Q156,"PX_LAST")/100</f>
        <v>#VALUE!</v>
      </c>
      <c r="Q156" s="3" t="s">
        <v>367</v>
      </c>
      <c r="R156" s="3">
        <f ca="1">I156-F156</f>
        <v>0.84140000000000015</v>
      </c>
      <c r="S156" s="12">
        <v>5.7073999999999998</v>
      </c>
      <c r="T156" s="3">
        <f>S156</f>
        <v>5.7073999999999998</v>
      </c>
    </row>
    <row r="157" spans="1:22" x14ac:dyDescent="0.25">
      <c r="A157" s="1">
        <f ca="1">EDATE(Swap_Date,1)</f>
        <v>43496</v>
      </c>
      <c r="B157" s="3">
        <f t="shared" ref="B157:B162" ca="1" si="12">U157</f>
        <v>5.5632000000000001</v>
      </c>
      <c r="C157" s="1">
        <f ca="1">nextimm(C156+1)</f>
        <v>43635</v>
      </c>
      <c r="D157" s="3" t="s">
        <v>246</v>
      </c>
      <c r="E157" s="1">
        <f ca="1">EDATE(E156,12)</f>
        <v>44196</v>
      </c>
      <c r="F157" s="3">
        <f t="shared" ref="F157:F172" si="13">T157</f>
        <v>6.5526</v>
      </c>
      <c r="G157" s="3">
        <f t="shared" ref="G157:G164" si="14">100*(F157-F156)</f>
        <v>84.52000000000001</v>
      </c>
      <c r="H157" s="3" t="s">
        <v>231</v>
      </c>
      <c r="I157" s="3">
        <f ca="1">_xll.BDP(J157,"PX_LAST",Pre_Date_BRL,Pre_Date_BRL)</f>
        <v>7.3567999999999998</v>
      </c>
      <c r="J157" s="3" t="s">
        <v>237</v>
      </c>
      <c r="M157" s="3" t="e">
        <f ca="1">_xll.BDP(N157,"PX_LAST",M155,M155)/100</f>
        <v>#VALUE!</v>
      </c>
      <c r="N157" s="3" t="s">
        <v>343</v>
      </c>
      <c r="S157" s="12">
        <v>6.5526</v>
      </c>
      <c r="T157" s="3">
        <f t="shared" ref="T157:T164" si="15">S157</f>
        <v>6.5526</v>
      </c>
      <c r="U157" s="3">
        <f ca="1">V157-$R$156</f>
        <v>5.5632000000000001</v>
      </c>
      <c r="V157" s="3">
        <f ca="1">_xll.BDP(H157,"PX_LAST")</f>
        <v>6.4046000000000003</v>
      </c>
    </row>
    <row r="158" spans="1:22" x14ac:dyDescent="0.25">
      <c r="A158" s="1">
        <f ca="1">EDATE(Swap_Date,2)</f>
        <v>43524</v>
      </c>
      <c r="B158" s="3">
        <f t="shared" ca="1" si="12"/>
        <v>5.5632000000000001</v>
      </c>
      <c r="C158" s="1">
        <f t="shared" ref="C158:C163" ca="1" si="16">nextimm(C157+1)</f>
        <v>43726</v>
      </c>
      <c r="D158" s="3" t="s">
        <v>246</v>
      </c>
      <c r="E158" s="1">
        <f ca="1">EDATE(E157,12)</f>
        <v>44561</v>
      </c>
      <c r="F158" s="3">
        <f t="shared" si="13"/>
        <v>7.1788999999999996</v>
      </c>
      <c r="G158" s="3">
        <f t="shared" si="14"/>
        <v>62.629999999999967</v>
      </c>
      <c r="H158" s="3" t="s">
        <v>232</v>
      </c>
      <c r="I158" s="3">
        <f ca="1">_xll.BDP(J158,"PX_LAST",Pre_Date_BRL,Pre_Date_BRL)</f>
        <v>8.0782000000000007</v>
      </c>
      <c r="J158" s="3" t="s">
        <v>238</v>
      </c>
      <c r="M158" s="3" t="e">
        <f ca="1">_xll.BDP(N158,"PX_LAST",M156,M156)/100</f>
        <v>#VALUE!</v>
      </c>
      <c r="N158" s="3" t="s">
        <v>344</v>
      </c>
      <c r="S158" s="12">
        <v>7.1788999999999996</v>
      </c>
      <c r="T158" s="3">
        <f t="shared" si="15"/>
        <v>7.1788999999999996</v>
      </c>
      <c r="U158" s="3">
        <f t="shared" ref="U158:U162" ca="1" si="17">V158-$R$156</f>
        <v>5.5632000000000001</v>
      </c>
      <c r="V158" s="3">
        <f ca="1">V157</f>
        <v>6.4046000000000003</v>
      </c>
    </row>
    <row r="159" spans="1:22" x14ac:dyDescent="0.25">
      <c r="A159" s="1">
        <f ca="1">EDATE(Swap_Date,3)</f>
        <v>43555</v>
      </c>
      <c r="B159" s="3">
        <f t="shared" ca="1" si="12"/>
        <v>5.5885999999999996</v>
      </c>
      <c r="C159" s="1">
        <f t="shared" ca="1" si="16"/>
        <v>43817</v>
      </c>
      <c r="D159" s="3" t="s">
        <v>246</v>
      </c>
      <c r="E159" s="1">
        <f t="shared" ref="E159:E165" ca="1" si="18">EDATE(E158,12)</f>
        <v>44926</v>
      </c>
      <c r="F159" s="3">
        <f t="shared" si="13"/>
        <v>7.5522999999999998</v>
      </c>
      <c r="G159" s="3">
        <f t="shared" si="14"/>
        <v>37.340000000000018</v>
      </c>
      <c r="H159" s="3" t="s">
        <v>233</v>
      </c>
      <c r="I159" s="3">
        <f ca="1">_xll.BDP(J159,"PX_LAST",Pre_Date_BRL,Pre_Date_BRL)</f>
        <v>8.5319000000000003</v>
      </c>
      <c r="J159" s="3" t="s">
        <v>239</v>
      </c>
      <c r="M159" s="3" t="e">
        <f ca="1">_xll.BDP(N159,"PX_LAST",M157,M157)/100</f>
        <v>#VALUE!</v>
      </c>
      <c r="N159" s="3" t="s">
        <v>345</v>
      </c>
      <c r="S159" s="12">
        <v>7.5522999999999998</v>
      </c>
      <c r="T159" s="3">
        <f t="shared" si="15"/>
        <v>7.5522999999999998</v>
      </c>
      <c r="U159" s="3">
        <f t="shared" ca="1" si="17"/>
        <v>5.5885999999999996</v>
      </c>
      <c r="V159" s="3">
        <f ca="1">_xll.BDP(H159,"PX_LAST")</f>
        <v>6.43</v>
      </c>
    </row>
    <row r="160" spans="1:22" x14ac:dyDescent="0.25">
      <c r="A160" s="1">
        <f ca="1">EDATE(Swap_Date,6)</f>
        <v>43646</v>
      </c>
      <c r="B160" s="3">
        <f t="shared" ca="1" si="12"/>
        <v>5.6135999999999999</v>
      </c>
      <c r="C160" s="1">
        <f t="shared" ca="1" si="16"/>
        <v>43908</v>
      </c>
      <c r="D160" s="3" t="s">
        <v>246</v>
      </c>
      <c r="E160" s="1">
        <f t="shared" ca="1" si="18"/>
        <v>45291</v>
      </c>
      <c r="F160" s="3">
        <f t="shared" si="13"/>
        <v>7.8151999999999999</v>
      </c>
      <c r="G160" s="3">
        <f t="shared" si="14"/>
        <v>26.290000000000013</v>
      </c>
      <c r="H160" s="3" t="s">
        <v>234</v>
      </c>
      <c r="I160" s="3">
        <f ca="1">_xll.BDP(J160,"PX_LAST",Pre_Date_BRL,Pre_Date_BRL)</f>
        <v>8.86</v>
      </c>
      <c r="J160" s="3" t="s">
        <v>240</v>
      </c>
      <c r="M160" s="3" t="e">
        <f ca="1">_xll.BDP(N160,"PX_LAST",M158,M158)/100</f>
        <v>#VALUE!</v>
      </c>
      <c r="N160" s="3" t="s">
        <v>346</v>
      </c>
      <c r="S160" s="12">
        <v>7.8151999999999999</v>
      </c>
      <c r="T160" s="3">
        <f t="shared" si="15"/>
        <v>7.8151999999999999</v>
      </c>
      <c r="U160" s="3">
        <f t="shared" ca="1" si="17"/>
        <v>5.6135999999999999</v>
      </c>
      <c r="V160" s="3">
        <f ca="1">_xll.BDP(H160,"PX_LAST")</f>
        <v>6.4550000000000001</v>
      </c>
    </row>
    <row r="161" spans="1:22" x14ac:dyDescent="0.25">
      <c r="A161" s="1">
        <f ca="1">EDATE(Swap_Date,12)</f>
        <v>43830</v>
      </c>
      <c r="B161" s="3">
        <f t="shared" ca="1" si="12"/>
        <v>5.6468999999999996</v>
      </c>
      <c r="C161" s="1">
        <f t="shared" ca="1" si="16"/>
        <v>43999</v>
      </c>
      <c r="D161" s="3" t="s">
        <v>246</v>
      </c>
      <c r="E161" s="1">
        <f t="shared" ca="1" si="18"/>
        <v>45657</v>
      </c>
      <c r="F161" s="3">
        <f t="shared" si="13"/>
        <v>8.0724999999999998</v>
      </c>
      <c r="G161" s="3">
        <f t="shared" si="14"/>
        <v>25.729999999999986</v>
      </c>
      <c r="H161" s="3" t="s">
        <v>235</v>
      </c>
      <c r="I161" s="3">
        <f ca="1">_xll.BDP(J161,"PX_LAST",Pre_Date_BRL,Pre_Date_BRL)</f>
        <v>9.0991</v>
      </c>
      <c r="J161" s="3" t="s">
        <v>241</v>
      </c>
      <c r="M161" s="3" t="e">
        <f ca="1">_xll.BDP(N161,"PX_LAST",M159,M159)/100</f>
        <v>#VALUE!</v>
      </c>
      <c r="N161" s="3" t="s">
        <v>347</v>
      </c>
      <c r="S161" s="12">
        <v>8.0724999999999998</v>
      </c>
      <c r="T161" s="3">
        <f t="shared" si="15"/>
        <v>8.0724999999999998</v>
      </c>
      <c r="U161" s="3">
        <f t="shared" ca="1" si="17"/>
        <v>5.6468999999999996</v>
      </c>
      <c r="V161" s="3">
        <f ca="1">_xll.BDP(H161,"PX_LAST")</f>
        <v>6.4882999999999997</v>
      </c>
    </row>
    <row r="162" spans="1:22" x14ac:dyDescent="0.25">
      <c r="A162" s="11">
        <f ca="1">EDATE(A161,10)</f>
        <v>44135</v>
      </c>
      <c r="B162" s="12">
        <f t="shared" ca="1" si="12"/>
        <v>5.6468999999999996</v>
      </c>
      <c r="C162" s="1">
        <f t="shared" ca="1" si="16"/>
        <v>44090</v>
      </c>
      <c r="D162" s="3" t="s">
        <v>246</v>
      </c>
      <c r="E162" s="1">
        <f t="shared" ca="1" si="18"/>
        <v>46022</v>
      </c>
      <c r="F162" s="3">
        <f t="shared" si="13"/>
        <v>8.2072000000000003</v>
      </c>
      <c r="G162" s="3">
        <f t="shared" si="14"/>
        <v>13.470000000000049</v>
      </c>
      <c r="I162" s="3">
        <f ca="1">_xll.BDP(J162,"PX_LAST",Pre_Date_BRL,Pre_Date_BRL)</f>
        <v>9.2792999999999992</v>
      </c>
      <c r="J162" s="3" t="s">
        <v>242</v>
      </c>
      <c r="M162" s="3" t="e">
        <f ca="1">_xll.BDP(N162,"PX_LAST",M160,M160)/100</f>
        <v>#VALUE!</v>
      </c>
      <c r="N162" s="3" t="s">
        <v>348</v>
      </c>
      <c r="S162" s="12">
        <v>8.2072000000000003</v>
      </c>
      <c r="T162" s="3">
        <f t="shared" si="15"/>
        <v>8.2072000000000003</v>
      </c>
      <c r="U162" s="3">
        <f t="shared" ca="1" si="17"/>
        <v>5.6468999999999996</v>
      </c>
      <c r="V162" s="3">
        <f ca="1">V161</f>
        <v>6.4882999999999997</v>
      </c>
    </row>
    <row r="163" spans="1:22" x14ac:dyDescent="0.25">
      <c r="C163" s="1">
        <f t="shared" ca="1" si="16"/>
        <v>44181</v>
      </c>
      <c r="D163" s="3" t="s">
        <v>246</v>
      </c>
      <c r="E163" s="1">
        <f t="shared" ca="1" si="18"/>
        <v>46387</v>
      </c>
      <c r="F163" s="3">
        <f t="shared" si="13"/>
        <v>8.3289000000000009</v>
      </c>
      <c r="G163" s="3">
        <f t="shared" si="14"/>
        <v>12.170000000000059</v>
      </c>
      <c r="I163" s="3">
        <f ca="1">_xll.BDP(J163,"PX_LAST",Pre_Date_BRL,Pre_Date_BRL)</f>
        <v>9.4097000000000008</v>
      </c>
      <c r="J163" s="3" t="s">
        <v>243</v>
      </c>
      <c r="M163" s="3" t="e">
        <f ca="1">_xll.BDP(N163,"PX_LAST",M161,M161)/100</f>
        <v>#VALUE!</v>
      </c>
      <c r="N163" s="3" t="s">
        <v>349</v>
      </c>
      <c r="S163" s="12">
        <v>8.3289000000000009</v>
      </c>
      <c r="T163" s="3">
        <f t="shared" si="15"/>
        <v>8.3289000000000009</v>
      </c>
    </row>
    <row r="164" spans="1:22" x14ac:dyDescent="0.25">
      <c r="E164" s="1">
        <f t="shared" ca="1" si="18"/>
        <v>46752</v>
      </c>
      <c r="F164" s="3">
        <f t="shared" si="13"/>
        <v>8.3926999999999996</v>
      </c>
      <c r="G164" s="3">
        <f t="shared" si="14"/>
        <v>6.3799999999998747</v>
      </c>
      <c r="I164" s="3">
        <f ca="1">_xll.BDP(J164,"PX_LAST",Pre_Date_BRL,Pre_Date_BRL)</f>
        <v>9.4747000000000003</v>
      </c>
      <c r="J164" s="3" t="s">
        <v>244</v>
      </c>
      <c r="M164" s="3" t="e">
        <f ca="1">_xll.BDP(N164,"PX_LAST",M162,M162)/100</f>
        <v>#VALUE!</v>
      </c>
      <c r="N164" s="3" t="s">
        <v>350</v>
      </c>
      <c r="S164" s="12">
        <v>8.3926999999999996</v>
      </c>
      <c r="T164" s="3">
        <f t="shared" si="15"/>
        <v>8.3926999999999996</v>
      </c>
    </row>
    <row r="165" spans="1:22" x14ac:dyDescent="0.25">
      <c r="E165" s="1">
        <f t="shared" ca="1" si="18"/>
        <v>47118</v>
      </c>
      <c r="F165" s="3">
        <f t="shared" ca="1" si="13"/>
        <v>8.4879999999999995</v>
      </c>
      <c r="G165" s="3">
        <f ca="1">100*(F165-F164)</f>
        <v>9.529999999999994</v>
      </c>
      <c r="I165" s="3">
        <f ca="1">_xll.BDP(J165,"PX_LAST",Pre_Date_BRL,Pre_Date_BRL)</f>
        <v>9.57</v>
      </c>
      <c r="J165" s="3" t="s">
        <v>245</v>
      </c>
      <c r="M165" s="3" t="e">
        <f ca="1">_xll.BDP(N165,"PX_LAST",M163,M163)/100</f>
        <v>#VALUE!</v>
      </c>
      <c r="N165" s="3" t="s">
        <v>351</v>
      </c>
      <c r="T165" s="3">
        <f ca="1">I165-($I$164-$S$164)</f>
        <v>8.4879999999999995</v>
      </c>
    </row>
    <row r="166" spans="1:22" x14ac:dyDescent="0.25">
      <c r="E166" s="1">
        <f ca="1">EDATE(E165,24)</f>
        <v>47848</v>
      </c>
      <c r="F166" s="3">
        <f t="shared" ca="1" si="13"/>
        <v>8.6299222343921134</v>
      </c>
      <c r="I166" s="3">
        <f ca="1">I165+(E166-E165)/(E167-E165)*(I167-I165)</f>
        <v>9.7119222343921141</v>
      </c>
      <c r="J166" s="3" t="s">
        <v>245</v>
      </c>
      <c r="M166" s="3" t="e">
        <f ca="1">_xll.BDP(N166,"PX_LAST",M164,M164)/100</f>
        <v>#VALUE!</v>
      </c>
      <c r="N166" s="3" t="s">
        <v>352</v>
      </c>
      <c r="T166" s="3">
        <f t="shared" ref="T166:T172" ca="1" si="19">I166-($I$164-$S$164)</f>
        <v>8.6299222343921134</v>
      </c>
    </row>
    <row r="167" spans="1:22" x14ac:dyDescent="0.25">
      <c r="E167" s="1">
        <f ca="1">EDATE(E166,36)</f>
        <v>48944</v>
      </c>
      <c r="F167" s="3">
        <f t="shared" ca="1" si="13"/>
        <v>8.843</v>
      </c>
      <c r="I167" s="3">
        <f ca="1">I165+(I165-I160)/2</f>
        <v>9.9250000000000007</v>
      </c>
      <c r="J167" s="3" t="s">
        <v>245</v>
      </c>
      <c r="M167" s="3" t="e">
        <f ca="1">_xll.BDP(N167,"PX_LAST",M165,M165)/100</f>
        <v>#VALUE!</v>
      </c>
      <c r="N167" s="3" t="s">
        <v>353</v>
      </c>
      <c r="T167" s="3">
        <f t="shared" ca="1" si="19"/>
        <v>8.843</v>
      </c>
    </row>
    <row r="168" spans="1:22" x14ac:dyDescent="0.25">
      <c r="E168" s="1">
        <f ca="1">EDATE(E167,60)</f>
        <v>50770</v>
      </c>
      <c r="F168" s="3">
        <f t="shared" ca="1" si="13"/>
        <v>9.0205000000000002</v>
      </c>
      <c r="I168" s="3">
        <f ca="1">I167+(I165-I160)/4</f>
        <v>10.102500000000001</v>
      </c>
      <c r="J168" s="3" t="s">
        <v>245</v>
      </c>
      <c r="M168" s="3" t="e">
        <f ca="1">_xll.BDP(N168,"PX_LAST",M166,M166)/100</f>
        <v>#VALUE!</v>
      </c>
      <c r="N168" s="3" t="s">
        <v>354</v>
      </c>
      <c r="T168" s="3">
        <f t="shared" ca="1" si="19"/>
        <v>9.0205000000000002</v>
      </c>
    </row>
    <row r="169" spans="1:22" x14ac:dyDescent="0.25">
      <c r="E169" s="1">
        <f ca="1">EDATE(E168,60)</f>
        <v>52596</v>
      </c>
      <c r="F169" s="3">
        <f t="shared" ca="1" si="13"/>
        <v>9.1092499999999994</v>
      </c>
      <c r="I169" s="3">
        <f ca="1">I168+(I165-I160)/8</f>
        <v>10.19125</v>
      </c>
      <c r="J169" s="3" t="s">
        <v>245</v>
      </c>
      <c r="M169" s="3" t="e">
        <f ca="1">_xll.BDP(N169,"PX_LAST",M167,M167)/100</f>
        <v>#VALUE!</v>
      </c>
      <c r="N169" s="3" t="s">
        <v>355</v>
      </c>
      <c r="T169" s="3">
        <f t="shared" ca="1" si="19"/>
        <v>9.1092499999999994</v>
      </c>
    </row>
    <row r="170" spans="1:22" x14ac:dyDescent="0.25">
      <c r="E170" s="1">
        <f ca="1">EDATE(E169,60)</f>
        <v>54423</v>
      </c>
      <c r="F170" s="3">
        <f t="shared" ca="1" si="13"/>
        <v>9.1536249999999999</v>
      </c>
      <c r="I170" s="3">
        <f ca="1">I169+(I165-I160)/16</f>
        <v>10.235625000000001</v>
      </c>
      <c r="J170" s="3" t="s">
        <v>245</v>
      </c>
      <c r="M170" s="3" t="e">
        <f ca="1">_xll.BDP(N170,"PX_LAST",M168,M168)/100</f>
        <v>#VALUE!</v>
      </c>
      <c r="N170" s="3" t="s">
        <v>356</v>
      </c>
      <c r="T170" s="3">
        <f t="shared" ca="1" si="19"/>
        <v>9.1536249999999999</v>
      </c>
    </row>
    <row r="171" spans="1:22" x14ac:dyDescent="0.25">
      <c r="E171" s="1">
        <f ca="1">EDATE(E170,120)</f>
        <v>58075</v>
      </c>
      <c r="F171" s="3">
        <f t="shared" ca="1" si="13"/>
        <v>9.1647187500000005</v>
      </c>
      <c r="I171" s="3">
        <f ca="1">I170+(I165-I160)/64</f>
        <v>10.246718750000001</v>
      </c>
      <c r="J171" s="3" t="s">
        <v>245</v>
      </c>
      <c r="M171" s="3" t="e">
        <f ca="1">_xll.BDP(N171,"PX_LAST",M169,M169)/100</f>
        <v>#VALUE!</v>
      </c>
      <c r="N171" s="3" t="s">
        <v>357</v>
      </c>
      <c r="T171" s="3">
        <f t="shared" ca="1" si="19"/>
        <v>9.1647187500000005</v>
      </c>
    </row>
    <row r="172" spans="1:22" x14ac:dyDescent="0.25">
      <c r="E172" s="1">
        <f ca="1">EDATE(E171,12)</f>
        <v>58440</v>
      </c>
      <c r="F172" s="3">
        <f t="shared" ca="1" si="13"/>
        <v>9.1647187500000005</v>
      </c>
      <c r="I172" s="3">
        <f ca="1">I171</f>
        <v>10.246718750000001</v>
      </c>
      <c r="J172" s="3" t="s">
        <v>245</v>
      </c>
      <c r="M172" s="3" t="e">
        <f ca="1">_xll.BDP(N172,"PX_LAST",M170,M170)/100</f>
        <v>#VALUE!</v>
      </c>
      <c r="N172" s="3" t="s">
        <v>358</v>
      </c>
      <c r="T172" s="3">
        <f t="shared" ca="1" si="19"/>
        <v>9.1647187500000005</v>
      </c>
    </row>
    <row r="173" spans="1:22" x14ac:dyDescent="0.25">
      <c r="N173" s="3" t="s">
        <v>359</v>
      </c>
    </row>
    <row r="174" spans="1:22" x14ac:dyDescent="0.25">
      <c r="N174" s="3" t="s">
        <v>360</v>
      </c>
    </row>
    <row r="175" spans="1:22" x14ac:dyDescent="0.25">
      <c r="N175" s="3" t="s">
        <v>361</v>
      </c>
    </row>
    <row r="179" spans="1:10" x14ac:dyDescent="0.25">
      <c r="A179" s="3" t="s">
        <v>510</v>
      </c>
      <c r="B179" s="3">
        <v>8</v>
      </c>
      <c r="D179" s="3">
        <v>0</v>
      </c>
      <c r="F179" s="3">
        <v>100</v>
      </c>
    </row>
    <row r="180" spans="1:10" x14ac:dyDescent="0.25">
      <c r="A180" s="3" t="s">
        <v>29</v>
      </c>
      <c r="B180" s="3" t="s">
        <v>30</v>
      </c>
      <c r="C180" s="3" t="s">
        <v>31</v>
      </c>
      <c r="D180" s="3" t="s">
        <v>32</v>
      </c>
      <c r="E180" s="3" t="s">
        <v>33</v>
      </c>
      <c r="F180" s="3" t="s">
        <v>34</v>
      </c>
    </row>
    <row r="181" spans="1:10" x14ac:dyDescent="0.25">
      <c r="A181" s="1">
        <f ca="1">WORKDAY(Swap_Date,1)</f>
        <v>43466</v>
      </c>
      <c r="B181" s="3">
        <f ca="1">_xll.BDP(H181,"PX_LAST")</f>
        <v>4.25</v>
      </c>
      <c r="C181" s="1">
        <f ca="1">nextimm(Swap_Date)</f>
        <v>43544</v>
      </c>
      <c r="D181" s="3" t="s">
        <v>246</v>
      </c>
      <c r="E181" s="1">
        <f ca="1">EDATE(Swap_Date,24)</f>
        <v>44196</v>
      </c>
      <c r="F181" s="3">
        <f ca="1">_xll.BDP(J181,"PX_LAST")</f>
        <v>4.62</v>
      </c>
      <c r="H181" s="3" t="s">
        <v>511</v>
      </c>
      <c r="I181" s="3" t="s">
        <v>141</v>
      </c>
      <c r="J181" s="3" t="s">
        <v>512</v>
      </c>
    </row>
    <row r="182" spans="1:10" x14ac:dyDescent="0.25">
      <c r="A182" s="1">
        <f ca="1">EDATE(Swap_Date,1)</f>
        <v>43496</v>
      </c>
      <c r="B182" s="3">
        <f ca="1">_xll.BDP(H182,"PX_LAST")</f>
        <v>4.125</v>
      </c>
      <c r="C182" s="1">
        <f ca="1">nextimm(C181+1)</f>
        <v>43635</v>
      </c>
      <c r="D182" s="3" t="s">
        <v>246</v>
      </c>
      <c r="E182" s="1">
        <f ca="1">EDATE(E181,12)</f>
        <v>44561</v>
      </c>
      <c r="F182" s="3">
        <f ca="1">_xll.BDP(J182,"PX_LAST")</f>
        <v>4.9000000000000004</v>
      </c>
      <c r="H182" s="3" t="s">
        <v>531</v>
      </c>
      <c r="I182" s="3" t="s">
        <v>142</v>
      </c>
      <c r="J182" s="3" t="s">
        <v>513</v>
      </c>
    </row>
    <row r="183" spans="1:10" x14ac:dyDescent="0.25">
      <c r="A183" s="1">
        <f ca="1">EDATE(Swap_Date,2)</f>
        <v>43524</v>
      </c>
      <c r="B183" s="3">
        <f ca="1">0.5*(B182+B184)</f>
        <v>4.1349999999999998</v>
      </c>
      <c r="C183" s="1">
        <f t="shared" ref="C183:C188" ca="1" si="20">nextimm(C182+1)</f>
        <v>43726</v>
      </c>
      <c r="D183" s="3" t="s">
        <v>246</v>
      </c>
      <c r="E183" s="1">
        <f t="shared" ref="E183:E196" ca="1" si="21">EDATE(E182,12)</f>
        <v>44926</v>
      </c>
      <c r="F183" s="3">
        <f ca="1">_xll.BDP(J183,"PX_LAST")</f>
        <v>5.14</v>
      </c>
      <c r="I183" s="3" t="s">
        <v>143</v>
      </c>
      <c r="J183" s="3" t="s">
        <v>514</v>
      </c>
    </row>
    <row r="184" spans="1:10" x14ac:dyDescent="0.25">
      <c r="A184" s="1">
        <f ca="1">EDATE(Swap_Date,3)</f>
        <v>43555</v>
      </c>
      <c r="B184" s="3">
        <f ca="1">_xll.BDP(H184,"PX_LAST")</f>
        <v>4.1449999999999996</v>
      </c>
      <c r="C184" s="1">
        <f t="shared" ca="1" si="20"/>
        <v>43817</v>
      </c>
      <c r="D184" s="3" t="s">
        <v>246</v>
      </c>
      <c r="E184" s="1">
        <f t="shared" ca="1" si="21"/>
        <v>45291</v>
      </c>
      <c r="F184" s="3">
        <f ca="1">_xll.BDP(J184,"PX_LAST")</f>
        <v>5.36</v>
      </c>
      <c r="H184" s="3" t="s">
        <v>532</v>
      </c>
      <c r="I184" s="3" t="s">
        <v>144</v>
      </c>
      <c r="J184" s="3" t="s">
        <v>515</v>
      </c>
    </row>
    <row r="185" spans="1:10" x14ac:dyDescent="0.25">
      <c r="A185" s="1">
        <f ca="1">EDATE(Swap_Date,6)</f>
        <v>43646</v>
      </c>
      <c r="B185" s="3">
        <f ca="1">_xll.BDP(H185,"PX_LAST")</f>
        <v>4.29</v>
      </c>
      <c r="C185" s="1">
        <f t="shared" ca="1" si="20"/>
        <v>43908</v>
      </c>
      <c r="D185" s="3" t="s">
        <v>246</v>
      </c>
      <c r="E185" s="1">
        <f t="shared" ca="1" si="21"/>
        <v>45657</v>
      </c>
      <c r="F185" s="3">
        <f ca="1">_xll.BDP(J185,"PX_LAST")</f>
        <v>5.54</v>
      </c>
      <c r="H185" s="3" t="s">
        <v>533</v>
      </c>
      <c r="I185" s="3" t="s">
        <v>145</v>
      </c>
      <c r="J185" s="3" t="s">
        <v>516</v>
      </c>
    </row>
    <row r="186" spans="1:10" x14ac:dyDescent="0.25">
      <c r="A186" s="1">
        <f ca="1">EDATE(Swap_Date,12)</f>
        <v>43830</v>
      </c>
      <c r="B186" s="3">
        <f ca="1">_xll.BDP(H186,"PX_LAST")</f>
        <v>4.4000000000000004</v>
      </c>
      <c r="C186" s="1">
        <f t="shared" ca="1" si="20"/>
        <v>43999</v>
      </c>
      <c r="D186" s="3" t="s">
        <v>246</v>
      </c>
      <c r="E186" s="1">
        <f t="shared" ca="1" si="21"/>
        <v>46022</v>
      </c>
      <c r="F186" s="3">
        <f ca="1">_xll.BDP(J186,"PX_LAST")</f>
        <v>5.71</v>
      </c>
      <c r="H186" s="3" t="s">
        <v>534</v>
      </c>
      <c r="I186" s="3" t="s">
        <v>146</v>
      </c>
      <c r="J186" s="3" t="s">
        <v>517</v>
      </c>
    </row>
    <row r="187" spans="1:10" x14ac:dyDescent="0.25">
      <c r="A187" s="11">
        <f ca="1">EDATE(Swap_Date,18)</f>
        <v>44012</v>
      </c>
      <c r="B187" s="3">
        <f ca="1">_xll.BDP(H187,"PX_LAST")</f>
        <v>4.58</v>
      </c>
      <c r="C187" s="1">
        <f t="shared" ca="1" si="20"/>
        <v>44090</v>
      </c>
      <c r="D187" s="3" t="s">
        <v>246</v>
      </c>
      <c r="E187" s="1">
        <f t="shared" ca="1" si="21"/>
        <v>46387</v>
      </c>
      <c r="F187" s="3">
        <f ca="1">_xll.BDP(J187,"PX_LAST")</f>
        <v>5.9</v>
      </c>
      <c r="H187" s="3" t="s">
        <v>535</v>
      </c>
      <c r="I187" s="3" t="s">
        <v>147</v>
      </c>
      <c r="J187" s="3" t="s">
        <v>518</v>
      </c>
    </row>
    <row r="188" spans="1:10" x14ac:dyDescent="0.25">
      <c r="A188" s="11">
        <f ca="1">EDATE(Swap_Date,24)</f>
        <v>44196</v>
      </c>
      <c r="B188" s="12">
        <f ca="1">B187+(B187-B186)</f>
        <v>4.76</v>
      </c>
      <c r="C188" s="1">
        <f t="shared" ca="1" si="20"/>
        <v>44181</v>
      </c>
      <c r="D188" s="3" t="s">
        <v>246</v>
      </c>
      <c r="E188" s="1">
        <f t="shared" ca="1" si="21"/>
        <v>46752</v>
      </c>
      <c r="F188" s="3">
        <f ca="1">_xll.BDP(J188,"PX_LAST")</f>
        <v>6.02</v>
      </c>
      <c r="I188" s="3" t="s">
        <v>148</v>
      </c>
      <c r="J188" s="3" t="s">
        <v>519</v>
      </c>
    </row>
    <row r="189" spans="1:10" x14ac:dyDescent="0.25">
      <c r="E189" s="1">
        <f t="shared" ca="1" si="21"/>
        <v>47118</v>
      </c>
      <c r="F189" s="3">
        <f ca="1">_xll.BDP(J189,"PX_LAST")</f>
        <v>6.1150000000000002</v>
      </c>
      <c r="J189" s="3" t="s">
        <v>520</v>
      </c>
    </row>
    <row r="190" spans="1:10" x14ac:dyDescent="0.25">
      <c r="E190" s="1">
        <f t="shared" ca="1" si="21"/>
        <v>47483</v>
      </c>
      <c r="F190" s="3">
        <f ca="1">0.5*(F189+F191)</f>
        <v>6.1750000000000007</v>
      </c>
      <c r="J190" s="3" t="s">
        <v>521</v>
      </c>
    </row>
    <row r="191" spans="1:10" x14ac:dyDescent="0.25">
      <c r="E191" s="1">
        <f t="shared" ca="1" si="21"/>
        <v>47848</v>
      </c>
      <c r="F191" s="3">
        <f ca="1">_xll.BDP(J191,"PX_LAST")</f>
        <v>6.2350000000000003</v>
      </c>
      <c r="J191" s="3" t="s">
        <v>522</v>
      </c>
    </row>
    <row r="192" spans="1:10" x14ac:dyDescent="0.25">
      <c r="E192" s="1">
        <f t="shared" ca="1" si="21"/>
        <v>48213</v>
      </c>
      <c r="F192" s="3">
        <f ca="1">1/3*(F194-F191)+F191</f>
        <v>6.3050000000000006</v>
      </c>
      <c r="J192" s="3" t="s">
        <v>523</v>
      </c>
    </row>
    <row r="193" spans="5:10" x14ac:dyDescent="0.25">
      <c r="E193" s="1">
        <f t="shared" ca="1" si="21"/>
        <v>48579</v>
      </c>
      <c r="F193" s="3">
        <f ca="1">2/3*(F194-F191)+F191</f>
        <v>6.375</v>
      </c>
      <c r="J193" s="3" t="s">
        <v>524</v>
      </c>
    </row>
    <row r="194" spans="5:10" x14ac:dyDescent="0.25">
      <c r="E194" s="1">
        <f t="shared" ca="1" si="21"/>
        <v>48944</v>
      </c>
      <c r="F194" s="3">
        <f ca="1">_xll.BDP(J194,"PX_LAST")</f>
        <v>6.4450000000000003</v>
      </c>
      <c r="J194" s="3" t="s">
        <v>525</v>
      </c>
    </row>
    <row r="195" spans="5:10" x14ac:dyDescent="0.25">
      <c r="E195" s="1">
        <f t="shared" ca="1" si="21"/>
        <v>49309</v>
      </c>
      <c r="F195" s="3">
        <f ca="1">1/5*(F197-F194)+F194</f>
        <v>6.4930000000000003</v>
      </c>
      <c r="J195" s="3" t="s">
        <v>526</v>
      </c>
    </row>
    <row r="196" spans="5:10" x14ac:dyDescent="0.25">
      <c r="E196" s="1">
        <f t="shared" ca="1" si="21"/>
        <v>49674</v>
      </c>
      <c r="F196" s="3">
        <f ca="1">2/5*(F197-F194)+F194</f>
        <v>6.5410000000000004</v>
      </c>
      <c r="J196" s="3" t="s">
        <v>527</v>
      </c>
    </row>
    <row r="197" spans="5:10" x14ac:dyDescent="0.25">
      <c r="E197" s="1">
        <f ca="1">EDATE(E196,36)</f>
        <v>50770</v>
      </c>
      <c r="F197" s="3">
        <f ca="1">_xll.BDP(J197,"PX_LAST")</f>
        <v>6.6849999999999996</v>
      </c>
      <c r="J197" s="3" t="s">
        <v>528</v>
      </c>
    </row>
    <row r="198" spans="5:10" x14ac:dyDescent="0.25">
      <c r="E198" s="1">
        <f ca="1">EDATE(E197,60)</f>
        <v>52596</v>
      </c>
      <c r="F198" s="3">
        <f ca="1">F197</f>
        <v>6.6849999999999996</v>
      </c>
    </row>
    <row r="199" spans="5:10" x14ac:dyDescent="0.25">
      <c r="E199" s="1">
        <f ca="1">EDATE(E198,60)</f>
        <v>54423</v>
      </c>
      <c r="F199" s="3">
        <f t="shared" ref="F199:F201" ca="1" si="22">F198</f>
        <v>6.6849999999999996</v>
      </c>
    </row>
    <row r="200" spans="5:10" x14ac:dyDescent="0.25">
      <c r="E200" s="1">
        <f ca="1">EDATE(E199,120)</f>
        <v>58075</v>
      </c>
      <c r="F200" s="3">
        <f t="shared" ca="1" si="22"/>
        <v>6.6849999999999996</v>
      </c>
    </row>
    <row r="201" spans="5:10" x14ac:dyDescent="0.25">
      <c r="E201" s="1">
        <f ca="1">EDATE(E200,12)</f>
        <v>58440</v>
      </c>
      <c r="F201" s="3">
        <f t="shared" ca="1" si="22"/>
        <v>6.6849999999999996</v>
      </c>
    </row>
  </sheetData>
  <mergeCells count="3">
    <mergeCell ref="A1:B1"/>
    <mergeCell ref="A2:B2"/>
    <mergeCell ref="A3:B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40611-7EC3-43D4-BB87-11C6CC7656E0}">
  <sheetPr codeName="Sheet36"/>
  <dimension ref="A1:V201"/>
  <sheetViews>
    <sheetView topLeftCell="A88" zoomScale="60" zoomScaleNormal="60" workbookViewId="0">
      <selection activeCell="O146" sqref="O146"/>
    </sheetView>
  </sheetViews>
  <sheetFormatPr defaultColWidth="8.85546875" defaultRowHeight="15" x14ac:dyDescent="0.25"/>
  <cols>
    <col min="1" max="2" width="8.85546875" style="3"/>
    <col min="3" max="3" width="10.28515625" style="3" customWidth="1"/>
    <col min="4" max="4" width="12" style="3" bestFit="1" customWidth="1"/>
    <col min="5" max="5" width="9.5703125" style="3" bestFit="1" customWidth="1"/>
    <col min="6" max="6" width="9.85546875" style="3" customWidth="1"/>
    <col min="7" max="12" width="8.85546875" style="3"/>
    <col min="13" max="13" width="11.7109375" style="3" customWidth="1"/>
    <col min="14" max="15" width="8.85546875" style="3"/>
    <col min="16" max="16" width="10.5703125" style="3" customWidth="1"/>
    <col min="17" max="20" width="8.85546875" style="3"/>
    <col min="21" max="21" width="12.85546875" style="3" customWidth="1"/>
    <col min="22" max="16384" width="8.85546875" style="3"/>
  </cols>
  <sheetData>
    <row r="1" spans="1:10" x14ac:dyDescent="0.25">
      <c r="A1" s="64" t="s">
        <v>69</v>
      </c>
      <c r="B1" s="64"/>
    </row>
    <row r="2" spans="1:10" x14ac:dyDescent="0.25">
      <c r="A2" s="64" t="s">
        <v>70</v>
      </c>
      <c r="B2" s="64"/>
    </row>
    <row r="3" spans="1:10" x14ac:dyDescent="0.25">
      <c r="A3" s="64" t="s">
        <v>71</v>
      </c>
      <c r="B3" s="64"/>
      <c r="C3" s="1"/>
      <c r="E3" s="2"/>
    </row>
    <row r="4" spans="1:10" x14ac:dyDescent="0.25">
      <c r="A4" s="3" t="s">
        <v>12</v>
      </c>
      <c r="B4" s="3">
        <v>7</v>
      </c>
      <c r="D4" s="3">
        <v>7</v>
      </c>
      <c r="F4" s="3">
        <v>100</v>
      </c>
      <c r="H4" s="3" t="s">
        <v>35</v>
      </c>
    </row>
    <row r="5" spans="1:10" x14ac:dyDescent="0.25">
      <c r="A5" s="3" t="s">
        <v>29</v>
      </c>
      <c r="B5" s="3" t="s">
        <v>30</v>
      </c>
      <c r="C5" s="3" t="s">
        <v>31</v>
      </c>
      <c r="D5" s="3" t="s">
        <v>32</v>
      </c>
      <c r="E5" s="3" t="s">
        <v>33</v>
      </c>
      <c r="F5" s="3" t="s">
        <v>34</v>
      </c>
    </row>
    <row r="6" spans="1:10" x14ac:dyDescent="0.25">
      <c r="A6" s="1">
        <f ca="1">WORKDAY(Swap_Date,1)</f>
        <v>43466</v>
      </c>
      <c r="B6" s="3">
        <f ca="1">_xll.BDH(H6,"PX_LAST",Cash_Date,Cash_Date)</f>
        <v>2.37825</v>
      </c>
      <c r="C6" s="1">
        <f ca="1">nextimm(Swap_Date)</f>
        <v>43544</v>
      </c>
      <c r="D6" s="3">
        <f ca="1">100-IF(ISNUMBER(_xll.BDH(I6,"PX_LAST",Future_Date,Future_Date)),_xll.BDH(I6,"PX_LAST",Future_Date,Future_Date),100-B9)</f>
        <v>3.2249999999999943</v>
      </c>
      <c r="E6" s="1">
        <f ca="1">EDATE(Swap_Date,24)</f>
        <v>44196</v>
      </c>
      <c r="F6" s="3">
        <f ca="1">_xll.BDH(J6,"PX_LAST",Swap_Date,Swap_Date)</f>
        <v>2.657</v>
      </c>
      <c r="H6" s="3" t="s">
        <v>36</v>
      </c>
      <c r="I6" s="3" t="s">
        <v>42</v>
      </c>
      <c r="J6" s="3" t="s">
        <v>50</v>
      </c>
    </row>
    <row r="7" spans="1:10" x14ac:dyDescent="0.25">
      <c r="A7" s="1">
        <f ca="1">EDATE(Swap_Date,1)</f>
        <v>43496</v>
      </c>
      <c r="B7" s="3">
        <f ca="1">_xll.BDH(H7,"PX_LAST",Cash_Date,Cash_Date)</f>
        <v>2.5026899999999999</v>
      </c>
      <c r="C7" s="1">
        <f ca="1">nextimm(C6+1)</f>
        <v>43635</v>
      </c>
      <c r="D7" s="3">
        <f ca="1">100-_xll.BDH(I7,"PX_LAST",Future_Date,Future_Date)</f>
        <v>3.230000000000004</v>
      </c>
      <c r="E7" s="1">
        <f ca="1">EDATE(E6,12)</f>
        <v>44561</v>
      </c>
      <c r="F7" s="3">
        <f ca="1">_xll.BDH(J7,"PX_LAST",Swap_Date,Swap_Date)</f>
        <v>2.59</v>
      </c>
      <c r="H7" s="3" t="s">
        <v>37</v>
      </c>
      <c r="I7" s="3" t="s">
        <v>43</v>
      </c>
      <c r="J7" s="3" t="s">
        <v>51</v>
      </c>
    </row>
    <row r="8" spans="1:10" x14ac:dyDescent="0.25">
      <c r="A8" s="1">
        <f ca="1">EDATE(Swap_Date,2)</f>
        <v>43524</v>
      </c>
      <c r="B8" s="3">
        <f ca="1">_xll.BDH(H8,"PX_LAST",Cash_Date,Cash_Date)</f>
        <v>2.61375</v>
      </c>
      <c r="C8" s="1">
        <f t="shared" ref="C8:C13" ca="1" si="0">nextimm(C7+1)</f>
        <v>43726</v>
      </c>
      <c r="D8" s="3">
        <f ca="1">100-_xll.BDH(I8,"PX_LAST",Future_Date,Future_Date)</f>
        <v>2.7099999999999937</v>
      </c>
      <c r="E8" s="1">
        <f t="shared" ref="E8:E21" ca="1" si="1">EDATE(E7,12)</f>
        <v>44926</v>
      </c>
      <c r="F8" s="3">
        <f ca="1">_xll.BDH(J8,"PX_LAST",Swap_Date,Swap_Date)</f>
        <v>2.5682999999999998</v>
      </c>
      <c r="H8" s="3" t="s">
        <v>38</v>
      </c>
      <c r="I8" s="3" t="s">
        <v>44</v>
      </c>
      <c r="J8" s="3" t="s">
        <v>52</v>
      </c>
    </row>
    <row r="9" spans="1:10" x14ac:dyDescent="0.25">
      <c r="A9" s="1">
        <f ca="1">EDATE(Swap_Date,3)</f>
        <v>43555</v>
      </c>
      <c r="B9" s="3">
        <f ca="1">_xll.BDH(H9,"PX_LAST",Cash_Date,Cash_Date)</f>
        <v>2.8076300000000001</v>
      </c>
      <c r="C9" s="1">
        <f t="shared" ca="1" si="0"/>
        <v>43817</v>
      </c>
      <c r="D9" s="3">
        <f ca="1">100-_xll.BDH(I9,"PX_LAST",Future_Date,Future_Date)</f>
        <v>2.6850000000000023</v>
      </c>
      <c r="E9" s="1">
        <f t="shared" ca="1" si="1"/>
        <v>45291</v>
      </c>
      <c r="F9" s="3">
        <f ca="1">_xll.BDH(J9,"PX_LAST",Swap_Date,Swap_Date)</f>
        <v>2.57</v>
      </c>
      <c r="H9" s="3" t="s">
        <v>39</v>
      </c>
      <c r="I9" s="3" t="s">
        <v>45</v>
      </c>
      <c r="J9" s="3" t="s">
        <v>53</v>
      </c>
    </row>
    <row r="10" spans="1:10" x14ac:dyDescent="0.25">
      <c r="A10" s="1">
        <f ca="1">EDATE(Swap_Date,6)</f>
        <v>43646</v>
      </c>
      <c r="B10" s="3">
        <f ca="1">_xll.BDH(H10,"PX_LAST",Cash_Date,Cash_Date)</f>
        <v>2.8756300000000001</v>
      </c>
      <c r="C10" s="1">
        <f t="shared" ca="1" si="0"/>
        <v>43908</v>
      </c>
      <c r="D10" s="3">
        <f ca="1">100-_xll.BDH(I10,"PX_LAST",Future_Date,Future_Date)</f>
        <v>2.6599999999999966</v>
      </c>
      <c r="E10" s="1">
        <f t="shared" ca="1" si="1"/>
        <v>45657</v>
      </c>
      <c r="F10" s="3">
        <f ca="1">_xll.BDH(J10,"PX_LAST",Swap_Date,Swap_Date)</f>
        <v>2.5922999999999998</v>
      </c>
      <c r="H10" s="3" t="s">
        <v>40</v>
      </c>
      <c r="I10" s="3" t="s">
        <v>46</v>
      </c>
      <c r="J10" s="3" t="s">
        <v>54</v>
      </c>
    </row>
    <row r="11" spans="1:10" x14ac:dyDescent="0.25">
      <c r="A11" s="1">
        <f ca="1">EDATE(Swap_Date,12)</f>
        <v>43830</v>
      </c>
      <c r="B11" s="3">
        <f ca="1">_xll.BDH(H11,"PX_LAST",Cash_Date,Cash_Date)</f>
        <v>3.0054400000000001</v>
      </c>
      <c r="C11" s="1">
        <f t="shared" ca="1" si="0"/>
        <v>43999</v>
      </c>
      <c r="D11" s="3">
        <f ca="1">100-_xll.BDH(I11,"PX_LAST",Future_Date,Future_Date)</f>
        <v>2.6500000000000057</v>
      </c>
      <c r="E11" s="1">
        <f t="shared" ca="1" si="1"/>
        <v>46022</v>
      </c>
      <c r="F11" s="3">
        <f ca="1">_xll.BDH(J11,"PX_LAST",Swap_Date,Swap_Date)</f>
        <v>2.6240999999999999</v>
      </c>
      <c r="H11" s="3" t="s">
        <v>41</v>
      </c>
      <c r="I11" s="3" t="s">
        <v>47</v>
      </c>
      <c r="J11" s="3" t="s">
        <v>55</v>
      </c>
    </row>
    <row r="12" spans="1:10" x14ac:dyDescent="0.25">
      <c r="A12" s="11">
        <f ca="1">EDATE(A11,10)</f>
        <v>44135</v>
      </c>
      <c r="B12" s="12">
        <f ca="1">B11</f>
        <v>3.0054400000000001</v>
      </c>
      <c r="C12" s="1">
        <f t="shared" ca="1" si="0"/>
        <v>44090</v>
      </c>
      <c r="D12" s="3">
        <f ca="1">100-_xll.BDH(I12,"PX_LAST",Future_Date,Future_Date)</f>
        <v>2.5550000000000068</v>
      </c>
      <c r="E12" s="1">
        <f t="shared" ca="1" si="1"/>
        <v>46387</v>
      </c>
      <c r="F12" s="3">
        <f ca="1">_xll.BDH(J12,"PX_LAST",Swap_Date,Swap_Date)</f>
        <v>2.6520000000000001</v>
      </c>
      <c r="I12" s="3" t="s">
        <v>48</v>
      </c>
      <c r="J12" s="3" t="s">
        <v>56</v>
      </c>
    </row>
    <row r="13" spans="1:10" x14ac:dyDescent="0.25">
      <c r="C13" s="1">
        <f t="shared" ca="1" si="0"/>
        <v>44181</v>
      </c>
      <c r="D13" s="3">
        <f ca="1">100-_xll.BDH(I13,"PX_LAST",Future_Date,Future_Date)</f>
        <v>2.4950000000000045</v>
      </c>
      <c r="E13" s="1">
        <f t="shared" ca="1" si="1"/>
        <v>46752</v>
      </c>
      <c r="F13" s="3">
        <f ca="1">_xll.BDH(J13,"PX_LAST",Swap_Date,Swap_Date)</f>
        <v>2.6829999999999998</v>
      </c>
      <c r="I13" s="3" t="s">
        <v>49</v>
      </c>
      <c r="J13" s="3" t="s">
        <v>57</v>
      </c>
    </row>
    <row r="14" spans="1:10" x14ac:dyDescent="0.25">
      <c r="E14" s="1">
        <f t="shared" ca="1" si="1"/>
        <v>47118</v>
      </c>
      <c r="F14" s="3">
        <f ca="1">_xll.BDH(J14,"PX_LAST",Swap_Date,Swap_Date)</f>
        <v>2.7053000000000003</v>
      </c>
      <c r="J14" s="3" t="s">
        <v>26</v>
      </c>
    </row>
    <row r="15" spans="1:10" x14ac:dyDescent="0.25">
      <c r="E15" s="1">
        <f t="shared" ca="1" si="1"/>
        <v>47483</v>
      </c>
      <c r="F15" s="3">
        <f ca="1">_xll.BDH(J15,"PX_LAST",Swap_Date,Swap_Date)</f>
        <v>2.7362000000000002</v>
      </c>
      <c r="J15" s="3" t="s">
        <v>58</v>
      </c>
    </row>
    <row r="16" spans="1:10" x14ac:dyDescent="0.25">
      <c r="E16" s="1">
        <f t="shared" ca="1" si="1"/>
        <v>47848</v>
      </c>
      <c r="F16" s="3">
        <f ca="1">_xll.BDH(J16,"PX_LAST",Swap_Date,Swap_Date)</f>
        <v>2.7498</v>
      </c>
      <c r="J16" s="3" t="s">
        <v>59</v>
      </c>
    </row>
    <row r="17" spans="1:17" x14ac:dyDescent="0.25">
      <c r="E17" s="1">
        <f t="shared" ca="1" si="1"/>
        <v>48213</v>
      </c>
      <c r="F17" s="3">
        <f ca="1">_xll.BDH(J17,"PX_LAST",Swap_Date,Swap_Date)</f>
        <v>2.7774999999999999</v>
      </c>
      <c r="J17" s="3" t="s">
        <v>60</v>
      </c>
    </row>
    <row r="18" spans="1:17" x14ac:dyDescent="0.25">
      <c r="E18" s="1">
        <f t="shared" ca="1" si="1"/>
        <v>48579</v>
      </c>
      <c r="F18" s="3">
        <f ca="1">_xll.BDH(J18,"PX_LAST",Swap_Date,Swap_Date)</f>
        <v>2.7835000000000001</v>
      </c>
      <c r="J18" s="3" t="s">
        <v>61</v>
      </c>
    </row>
    <row r="19" spans="1:17" x14ac:dyDescent="0.25">
      <c r="E19" s="1">
        <f t="shared" ca="1" si="1"/>
        <v>48944</v>
      </c>
      <c r="F19" s="3">
        <f ca="1">_xll.BDH(J19,"PX_LAST",Swap_Date,Swap_Date)</f>
        <v>2.8005</v>
      </c>
      <c r="J19" s="3" t="s">
        <v>62</v>
      </c>
    </row>
    <row r="20" spans="1:17" x14ac:dyDescent="0.25">
      <c r="E20" s="1">
        <f t="shared" ca="1" si="1"/>
        <v>49309</v>
      </c>
      <c r="F20" s="3">
        <f ca="1">IF(ISNUMBER(_xll.BDH(J20,"PX_LAST",Swap_Date,Swap_Date)),_xll.BDH(J20,"PX_LAST",Swap_Date,Swap_Date),0.2*(F22-F19)+F19)</f>
        <v>2.8079999999999998</v>
      </c>
      <c r="J20" s="3" t="s">
        <v>63</v>
      </c>
    </row>
    <row r="21" spans="1:17" x14ac:dyDescent="0.25">
      <c r="E21" s="1">
        <f t="shared" ca="1" si="1"/>
        <v>49674</v>
      </c>
      <c r="F21" s="3">
        <f ca="1">IF(ISNUMBER(_xll.BDH(J21,"PX_LAST",Swap_Date,Swap_Date)),_xll.BDH(J21,"PX_LAST",Swap_Date,Swap_Date),0.4*(F22-F19)+F19)</f>
        <v>2.8149999999999999</v>
      </c>
      <c r="J21" s="3" t="s">
        <v>64</v>
      </c>
    </row>
    <row r="22" spans="1:17" x14ac:dyDescent="0.25">
      <c r="E22" s="1">
        <f ca="1">EDATE(E21,36)</f>
        <v>50770</v>
      </c>
      <c r="F22" s="3">
        <f ca="1">_xll.BDH(J22,"PX_LAST",Swap_Date,Swap_Date)</f>
        <v>2.8359000000000001</v>
      </c>
      <c r="J22" s="3" t="s">
        <v>65</v>
      </c>
    </row>
    <row r="23" spans="1:17" x14ac:dyDescent="0.25">
      <c r="E23" s="1">
        <f ca="1">EDATE(E22,60)</f>
        <v>52596</v>
      </c>
      <c r="F23" s="3">
        <f ca="1">_xll.BDH(J23,"PX_LAST",Swap_Date,Swap_Date)</f>
        <v>2.8393000000000002</v>
      </c>
      <c r="J23" s="3" t="s">
        <v>66</v>
      </c>
    </row>
    <row r="24" spans="1:17" x14ac:dyDescent="0.25">
      <c r="E24" s="1">
        <f ca="1">EDATE(E23,60)</f>
        <v>54423</v>
      </c>
      <c r="F24" s="3">
        <f ca="1">_xll.BDH(J24,"PX_LAST",Swap_Date,Swap_Date)</f>
        <v>2.8380999999999998</v>
      </c>
      <c r="J24" s="3" t="s">
        <v>67</v>
      </c>
    </row>
    <row r="25" spans="1:17" x14ac:dyDescent="0.25">
      <c r="E25" s="1">
        <f ca="1">EDATE(E24,120)</f>
        <v>58075</v>
      </c>
      <c r="F25" s="3">
        <f ca="1">_xll.BDH(J25,"PX_LAST",Swap_Date,Swap_Date)</f>
        <v>2.8048999999999999</v>
      </c>
      <c r="J25" s="3" t="s">
        <v>68</v>
      </c>
    </row>
    <row r="26" spans="1:17" x14ac:dyDescent="0.25">
      <c r="E26" s="1">
        <f ca="1">EDATE(E25,12)</f>
        <v>58440</v>
      </c>
      <c r="F26" s="3">
        <f ca="1">F25</f>
        <v>2.8048999999999999</v>
      </c>
    </row>
    <row r="29" spans="1:17" x14ac:dyDescent="0.25">
      <c r="A29" s="3" t="s">
        <v>13</v>
      </c>
      <c r="B29" s="3">
        <v>7</v>
      </c>
      <c r="D29" s="3">
        <v>7</v>
      </c>
      <c r="F29" s="3">
        <v>100</v>
      </c>
    </row>
    <row r="30" spans="1:17" x14ac:dyDescent="0.25">
      <c r="A30" s="3" t="s">
        <v>29</v>
      </c>
      <c r="B30" s="3" t="s">
        <v>30</v>
      </c>
      <c r="C30" s="3" t="s">
        <v>31</v>
      </c>
      <c r="D30" s="3" t="s">
        <v>32</v>
      </c>
      <c r="E30" s="3" t="s">
        <v>33</v>
      </c>
      <c r="F30" s="3" t="s">
        <v>34</v>
      </c>
      <c r="M30" s="5" t="s">
        <v>248</v>
      </c>
      <c r="N30" s="5" t="s">
        <v>35</v>
      </c>
    </row>
    <row r="31" spans="1:17" x14ac:dyDescent="0.25">
      <c r="A31" s="1">
        <f ca="1">WORKDAY(Swap_Date,1)</f>
        <v>43466</v>
      </c>
      <c r="B31" s="3">
        <f ca="1">_xll.BDH(H31,"PX_LAST",Cash_Date,Cash_Date)+$P$31</f>
        <v>-0.44624999999999998</v>
      </c>
      <c r="C31" s="1">
        <f ca="1">nextimm(Swap_Date)</f>
        <v>43544</v>
      </c>
      <c r="D31" s="3">
        <f ca="1">100-IF(ISNUMBER(_xll.BDH(I31,"PX_LAST",Future_Date,Future_Date)),_xll.BDH(I31,"PX_LAST",Future_Date,Future_Date)+$P$31,100-B34)</f>
        <v>-0.40524999999999523</v>
      </c>
      <c r="E31" s="1">
        <f ca="1">EDATE(Swap_Date,24)</f>
        <v>44196</v>
      </c>
      <c r="F31" s="3">
        <f ca="1">_xll.BDH(J31,"PX_LAST",Swap_Date,Swap_Date)+M31</f>
        <v>-0.28562500000000002</v>
      </c>
      <c r="H31" s="3" t="s">
        <v>6</v>
      </c>
      <c r="I31" s="3" t="s">
        <v>77</v>
      </c>
      <c r="J31" s="3" t="s">
        <v>85</v>
      </c>
      <c r="M31" s="3">
        <f ca="1">_xll.BDP(N31,"PX_LAST")/100</f>
        <v>-0.110625</v>
      </c>
      <c r="N31" s="3" t="s">
        <v>249</v>
      </c>
      <c r="P31" s="3">
        <f ca="1">_xll.BDP(Q31,"PX_LAST")/100</f>
        <v>-9.6250000000000002E-2</v>
      </c>
      <c r="Q31" s="3" t="s">
        <v>362</v>
      </c>
    </row>
    <row r="32" spans="1:17" x14ac:dyDescent="0.25">
      <c r="A32" s="1">
        <f ca="1">EDATE(Swap_Date,1)</f>
        <v>43496</v>
      </c>
      <c r="B32" s="3">
        <f ca="1">_xll.BDH(H32,"PX_LAST",Cash_Date,Cash_Date)+$P$31</f>
        <v>-0.45924999999999999</v>
      </c>
      <c r="C32" s="1">
        <f ca="1">nextimm(C31+1)</f>
        <v>43635</v>
      </c>
      <c r="D32" s="3" t="e">
        <f ca="1">$P$31+100-_xll.BDH(I32,"PX_LAST",Future_Date,Future_Date)</f>
        <v>#VALUE!</v>
      </c>
      <c r="E32" s="1">
        <f ca="1">EDATE(E31,12)</f>
        <v>44561</v>
      </c>
      <c r="F32" s="3">
        <f ca="1">_xll.BDH(J32,"PX_LAST",Swap_Date,Swap_Date)+M32</f>
        <v>-0.19637499999999999</v>
      </c>
      <c r="H32" s="3" t="s">
        <v>72</v>
      </c>
      <c r="I32" s="3" t="s">
        <v>78</v>
      </c>
      <c r="J32" s="3" t="s">
        <v>86</v>
      </c>
      <c r="M32" s="3">
        <f ca="1">_xll.BDP(N32,"PX_LAST")/100</f>
        <v>-0.119375</v>
      </c>
      <c r="N32" s="3" t="s">
        <v>250</v>
      </c>
    </row>
    <row r="33" spans="1:14" x14ac:dyDescent="0.25">
      <c r="A33" s="1">
        <f ca="1">EDATE(Swap_Date,2)</f>
        <v>43524</v>
      </c>
      <c r="B33" s="3">
        <f ca="1">IF(ISNUMBER(_xll.BDH(H33,"PX_LAST",Cash_Date,Cash_Date)),_xll.BDH(H33,"PX_LAST",Cash_Date,Cash_Date),0.5*(B32+B34))+$P$31</f>
        <v>-0.52849999999999997</v>
      </c>
      <c r="C33" s="1">
        <f t="shared" ref="C33:C38" ca="1" si="2">nextimm(C32+1)</f>
        <v>43726</v>
      </c>
      <c r="D33" s="3">
        <f ca="1">$P$31+100-_xll.BDH(I33,"PX_LAST",Future_Date,Future_Date)</f>
        <v>-0.39124999999999943</v>
      </c>
      <c r="E33" s="1">
        <f t="shared" ref="E33:E46" ca="1" si="3">EDATE(E32,12)</f>
        <v>44926</v>
      </c>
      <c r="F33" s="3">
        <f ca="1">_xll.BDH(J33,"PX_LAST",Swap_Date,Swap_Date)+M33</f>
        <v>-6.8599999999999994E-2</v>
      </c>
      <c r="H33" s="3" t="s">
        <v>73</v>
      </c>
      <c r="I33" s="3" t="s">
        <v>79</v>
      </c>
      <c r="J33" s="3" t="s">
        <v>89</v>
      </c>
      <c r="M33" s="3">
        <f ca="1">_xll.BDP(N33,"PX_LAST")/100</f>
        <v>-0.1225</v>
      </c>
      <c r="N33" s="3" t="s">
        <v>251</v>
      </c>
    </row>
    <row r="34" spans="1:14" x14ac:dyDescent="0.25">
      <c r="A34" s="1">
        <f ca="1">EDATE(Swap_Date,3)</f>
        <v>43555</v>
      </c>
      <c r="B34" s="3">
        <f ca="1">_xll.BDH(H34,"PX_LAST",Cash_Date,Cash_Date)+$P$31</f>
        <v>-0.40525</v>
      </c>
      <c r="C34" s="1">
        <f t="shared" ca="1" si="2"/>
        <v>43817</v>
      </c>
      <c r="D34" s="3">
        <f ca="1">$P$31+100-_xll.BDH(I34,"PX_LAST",Future_Date,Future_Date)</f>
        <v>-0.38625000000000398</v>
      </c>
      <c r="E34" s="1">
        <f t="shared" ca="1" si="3"/>
        <v>45291</v>
      </c>
      <c r="F34" s="3">
        <f ca="1">_xll.BDH(J34,"PX_LAST",Swap_Date,Swap_Date)+M34</f>
        <v>7.3000000000000009E-2</v>
      </c>
      <c r="H34" s="3" t="s">
        <v>74</v>
      </c>
      <c r="I34" s="3" t="s">
        <v>80</v>
      </c>
      <c r="J34" s="3" t="s">
        <v>87</v>
      </c>
      <c r="M34" s="3">
        <f ca="1">_xll.BDP(N34,"PX_LAST")/100</f>
        <v>-0.125</v>
      </c>
      <c r="N34" s="3" t="s">
        <v>252</v>
      </c>
    </row>
    <row r="35" spans="1:14" x14ac:dyDescent="0.25">
      <c r="A35" s="1">
        <f ca="1">EDATE(Swap_Date,6)</f>
        <v>43646</v>
      </c>
      <c r="B35" s="3">
        <f ca="1">_xll.BDH(H35,"PX_LAST",Cash_Date,Cash_Date)+$P$31</f>
        <v>-0.33324999999999999</v>
      </c>
      <c r="C35" s="1">
        <f t="shared" ca="1" si="2"/>
        <v>43908</v>
      </c>
      <c r="D35" s="3">
        <f ca="1">$P$31+100-_xll.BDH(I35,"PX_LAST",Future_Date,Future_Date)</f>
        <v>-0.37125000000000341</v>
      </c>
      <c r="E35" s="1">
        <f t="shared" ca="1" si="3"/>
        <v>45657</v>
      </c>
      <c r="F35" s="3">
        <f ca="1">_xll.BDH(J35,"PX_LAST",Swap_Date,Swap_Date)+M35</f>
        <v>0.20650000000000002</v>
      </c>
      <c r="H35" s="3" t="s">
        <v>75</v>
      </c>
      <c r="I35" s="3" t="s">
        <v>81</v>
      </c>
      <c r="J35" s="3" t="s">
        <v>90</v>
      </c>
      <c r="M35" s="3">
        <f ca="1">_xll.BDP(N35,"PX_LAST")/100</f>
        <v>-0.13</v>
      </c>
      <c r="N35" s="3" t="s">
        <v>253</v>
      </c>
    </row>
    <row r="36" spans="1:14" x14ac:dyDescent="0.25">
      <c r="A36" s="1">
        <f ca="1">EDATE(Swap_Date,12)</f>
        <v>43830</v>
      </c>
      <c r="B36" s="3">
        <f ca="1">_xll.BDH(H36,"PX_LAST",Cash_Date,Cash_Date)+$P$31</f>
        <v>-0.21325</v>
      </c>
      <c r="C36" s="1">
        <f t="shared" ca="1" si="2"/>
        <v>43999</v>
      </c>
      <c r="D36" s="3">
        <f ca="1">$P$31+100-_xll.BDH(I36,"PX_LAST",Future_Date,Future_Date)</f>
        <v>-0.34624999999999773</v>
      </c>
      <c r="E36" s="1">
        <f t="shared" ca="1" si="3"/>
        <v>46022</v>
      </c>
      <c r="F36" s="3">
        <f ca="1">_xll.BDH(J36,"PX_LAST",Swap_Date,Swap_Date)+M36</f>
        <v>0.33600000000000002</v>
      </c>
      <c r="H36" s="3" t="s">
        <v>76</v>
      </c>
      <c r="I36" s="3" t="s">
        <v>82</v>
      </c>
      <c r="J36" s="3" t="s">
        <v>88</v>
      </c>
      <c r="M36" s="3">
        <f ca="1">_xll.BDP(N36,"PX_LAST")/100</f>
        <v>-0.13250000000000001</v>
      </c>
      <c r="N36" s="3" t="s">
        <v>254</v>
      </c>
    </row>
    <row r="37" spans="1:14" x14ac:dyDescent="0.25">
      <c r="A37" s="11">
        <f ca="1">EDATE(A36,10)</f>
        <v>44135</v>
      </c>
      <c r="B37" s="3">
        <f ca="1">B36</f>
        <v>-0.21325</v>
      </c>
      <c r="C37" s="1">
        <f t="shared" ca="1" si="2"/>
        <v>44090</v>
      </c>
      <c r="D37" s="3">
        <f ca="1">$P$31+100-_xll.BDH(I37,"PX_LAST",Future_Date,Future_Date)</f>
        <v>-0.31624999999999659</v>
      </c>
      <c r="E37" s="1">
        <f t="shared" ca="1" si="3"/>
        <v>46387</v>
      </c>
      <c r="F37" s="3">
        <f ca="1">_xll.BDH(J37,"PX_LAST",Swap_Date,Swap_Date)+M37</f>
        <v>0.45874999999999999</v>
      </c>
      <c r="I37" s="3" t="s">
        <v>83</v>
      </c>
      <c r="J37" s="3" t="s">
        <v>91</v>
      </c>
      <c r="M37" s="3">
        <f ca="1">_xll.BDP(N37,"PX_LAST")/100</f>
        <v>-0.13375000000000001</v>
      </c>
      <c r="N37" s="3" t="s">
        <v>255</v>
      </c>
    </row>
    <row r="38" spans="1:14" x14ac:dyDescent="0.25">
      <c r="C38" s="1">
        <f t="shared" ca="1" si="2"/>
        <v>44181</v>
      </c>
      <c r="D38" s="3">
        <f ca="1">$P$31+100-_xll.BDH(I38,"PX_LAST",Future_Date,Future_Date)</f>
        <v>-0.26624999999999943</v>
      </c>
      <c r="E38" s="1">
        <f t="shared" ca="1" si="3"/>
        <v>46752</v>
      </c>
      <c r="F38" s="3">
        <f ca="1">_xll.BDH(J38,"PX_LAST",Swap_Date,Swap_Date)+M38</f>
        <v>0.57529999999999992</v>
      </c>
      <c r="I38" s="3" t="s">
        <v>84</v>
      </c>
      <c r="J38" s="3" t="s">
        <v>92</v>
      </c>
      <c r="M38" s="3">
        <f ca="1">_xll.BDP(N38,"PX_LAST")/100</f>
        <v>-0.13250000000000001</v>
      </c>
      <c r="N38" s="3" t="s">
        <v>256</v>
      </c>
    </row>
    <row r="39" spans="1:14" x14ac:dyDescent="0.25">
      <c r="E39" s="1">
        <f t="shared" ca="1" si="3"/>
        <v>47118</v>
      </c>
      <c r="F39" s="3">
        <f ca="1">_xll.BDH(J39,"PX_LAST",Swap_Date,Swap_Date)+M39</f>
        <v>0.68130000000000002</v>
      </c>
      <c r="J39" s="3" t="s">
        <v>27</v>
      </c>
      <c r="M39" s="3">
        <f ca="1">_xll.BDP(N39,"PX_LAST")/100</f>
        <v>-0.13</v>
      </c>
      <c r="N39" s="3" t="s">
        <v>257</v>
      </c>
    </row>
    <row r="40" spans="1:14" x14ac:dyDescent="0.25">
      <c r="E40" s="1">
        <f t="shared" ca="1" si="3"/>
        <v>47483</v>
      </c>
      <c r="F40" s="3">
        <f ca="1">_xll.BDH(J40,"PX_LAST",Swap_Date,Swap_Date)+M40</f>
        <v>0.77749999999999997</v>
      </c>
      <c r="J40" s="3" t="s">
        <v>93</v>
      </c>
      <c r="M40" s="3">
        <f ca="1">_xll.BDP(N40,"PX_LAST")/100</f>
        <v>-0.125</v>
      </c>
      <c r="N40" s="3" t="s">
        <v>258</v>
      </c>
    </row>
    <row r="41" spans="1:14" x14ac:dyDescent="0.25">
      <c r="E41" s="1">
        <f t="shared" ca="1" si="3"/>
        <v>47848</v>
      </c>
      <c r="F41" s="3" t="e">
        <f ca="1">_xll.BDH(J41,"PX_LAST",Swap_Date,Swap_Date)+M41</f>
        <v>#VALUE!</v>
      </c>
      <c r="J41" s="3" t="s">
        <v>94</v>
      </c>
      <c r="M41" s="3">
        <f ca="1">_xll.BDP(N41,"PX_LAST")/100</f>
        <v>-0.12</v>
      </c>
      <c r="N41" s="3" t="s">
        <v>259</v>
      </c>
    </row>
    <row r="42" spans="1:14" x14ac:dyDescent="0.25">
      <c r="E42" s="1">
        <f t="shared" ca="1" si="3"/>
        <v>48213</v>
      </c>
      <c r="F42" s="3">
        <f ca="1">_xll.BDH(J42,"PX_LAST",Swap_Date,Swap_Date)+M42</f>
        <v>0.94198333333333328</v>
      </c>
      <c r="J42" s="3" t="s">
        <v>95</v>
      </c>
      <c r="M42" s="18">
        <f ca="1">(M44-M41)/3+M41</f>
        <v>-0.11291666666666667</v>
      </c>
      <c r="N42" s="3" t="s">
        <v>260</v>
      </c>
    </row>
    <row r="43" spans="1:14" x14ac:dyDescent="0.25">
      <c r="E43" s="1">
        <f t="shared" ca="1" si="3"/>
        <v>48579</v>
      </c>
      <c r="F43" s="3">
        <f ca="1">_xll.BDH(J43,"PX_LAST",Swap_Date,Swap_Date)+M43</f>
        <v>1.0113666666666665</v>
      </c>
      <c r="J43" s="3" t="s">
        <v>96</v>
      </c>
      <c r="M43" s="18">
        <f ca="1">(M44-M41)/3*2+M41</f>
        <v>-0.10583333333333333</v>
      </c>
      <c r="N43" s="3" t="s">
        <v>261</v>
      </c>
    </row>
    <row r="44" spans="1:14" x14ac:dyDescent="0.25">
      <c r="E44" s="1">
        <f t="shared" ca="1" si="3"/>
        <v>48944</v>
      </c>
      <c r="F44" s="3">
        <f ca="1">_xll.BDH(J44,"PX_LAST",Swap_Date,Swap_Date)+M44</f>
        <v>1.0710500000000001</v>
      </c>
      <c r="J44" s="3" t="s">
        <v>97</v>
      </c>
      <c r="M44" s="3">
        <f ca="1">_xll.BDP(N44,"PX_LAST")/100</f>
        <v>-9.8750000000000004E-2</v>
      </c>
      <c r="N44" s="3" t="s">
        <v>262</v>
      </c>
    </row>
    <row r="45" spans="1:14" x14ac:dyDescent="0.25">
      <c r="E45" s="1">
        <f t="shared" ca="1" si="3"/>
        <v>49309</v>
      </c>
      <c r="F45" s="3">
        <f ca="1">_xll.BDH(J45,"PX_LAST",Swap_Date,Swap_Date)+M45</f>
        <v>1.11975</v>
      </c>
      <c r="J45" s="3" t="s">
        <v>98</v>
      </c>
      <c r="M45" s="18">
        <f ca="1">(M47-M44)/5+M44</f>
        <v>-8.7250000000000008E-2</v>
      </c>
      <c r="N45" s="3" t="s">
        <v>263</v>
      </c>
    </row>
    <row r="46" spans="1:14" x14ac:dyDescent="0.25">
      <c r="E46" s="1">
        <f t="shared" ca="1" si="3"/>
        <v>49674</v>
      </c>
      <c r="F46" s="3" t="e">
        <f ca="1">_xll.BDH(J46,"PX_LAST",Swap_Date,Swap_Date)+M46</f>
        <v>#VALUE!</v>
      </c>
      <c r="J46" s="3" t="s">
        <v>99</v>
      </c>
      <c r="M46" s="18">
        <f ca="1">(M47-M44)/5*2+M44</f>
        <v>-7.5750000000000012E-2</v>
      </c>
      <c r="N46" s="3" t="s">
        <v>264</v>
      </c>
    </row>
    <row r="47" spans="1:14" x14ac:dyDescent="0.25">
      <c r="E47" s="1">
        <f ca="1">EDATE(E46,36)</f>
        <v>50770</v>
      </c>
      <c r="F47" s="3">
        <f ca="1">_xll.BDH(J47,"PX_LAST",Swap_Date,Swap_Date)+M47</f>
        <v>1.28555</v>
      </c>
      <c r="J47" s="3" t="s">
        <v>100</v>
      </c>
      <c r="M47" s="3">
        <f ca="1">_xll.BDP(N47,"PX_LAST")/100</f>
        <v>-4.1250000000000002E-2</v>
      </c>
      <c r="N47" s="3" t="s">
        <v>265</v>
      </c>
    </row>
    <row r="48" spans="1:14" x14ac:dyDescent="0.25">
      <c r="E48" s="1">
        <f ca="1">EDATE(E47,60)</f>
        <v>52596</v>
      </c>
      <c r="F48" s="3">
        <f ca="1">_xll.BDH(J48,"PX_LAST",Swap_Date,Swap_Date)+M48</f>
        <v>1.3853</v>
      </c>
      <c r="J48" s="3" t="s">
        <v>101</v>
      </c>
      <c r="M48" s="3">
        <f ca="1">_xll.BDP(N48,"PX_LAST")/100</f>
        <v>1.2500000000000001E-2</v>
      </c>
      <c r="N48" s="3" t="s">
        <v>266</v>
      </c>
    </row>
    <row r="49" spans="1:17" x14ac:dyDescent="0.25">
      <c r="E49" s="1">
        <f ca="1">EDATE(E48,60)</f>
        <v>54423</v>
      </c>
      <c r="F49" s="3" t="e">
        <f ca="1">_xll.BDH(J49,"PX_LAST",Swap_Date,Swap_Date)+M49</f>
        <v>#VALUE!</v>
      </c>
      <c r="J49" s="3" t="s">
        <v>102</v>
      </c>
      <c r="M49" s="3">
        <f ca="1">_xll.BDP(N49,"PX_LAST")/100</f>
        <v>4.3749999999999997E-2</v>
      </c>
      <c r="N49" s="3" t="s">
        <v>267</v>
      </c>
    </row>
    <row r="50" spans="1:17" x14ac:dyDescent="0.25">
      <c r="E50" s="1">
        <f ca="1">EDATE(E49,120)</f>
        <v>58075</v>
      </c>
      <c r="F50" s="3">
        <f ca="1">_xll.BDH(J50,"PX_LAST",Swap_Date,Swap_Date)+M50</f>
        <v>1.4235499999999999</v>
      </c>
      <c r="J50" s="3" t="s">
        <v>103</v>
      </c>
      <c r="M50" s="3">
        <f ca="1">_xll.BDP(N50,"PX_LAST")/100</f>
        <v>4.3749999999999997E-2</v>
      </c>
      <c r="N50" s="3" t="s">
        <v>268</v>
      </c>
    </row>
    <row r="51" spans="1:17" x14ac:dyDescent="0.25">
      <c r="E51" s="1">
        <f ca="1">EDATE(E50,12)</f>
        <v>58440</v>
      </c>
      <c r="F51" s="3">
        <f ca="1">F50</f>
        <v>1.4235499999999999</v>
      </c>
    </row>
    <row r="54" spans="1:17" x14ac:dyDescent="0.25">
      <c r="A54" s="3" t="s">
        <v>19</v>
      </c>
      <c r="B54" s="3">
        <v>7</v>
      </c>
      <c r="D54" s="3">
        <v>7</v>
      </c>
      <c r="F54" s="3">
        <v>100</v>
      </c>
    </row>
    <row r="55" spans="1:17" x14ac:dyDescent="0.25">
      <c r="A55" s="3" t="s">
        <v>29</v>
      </c>
      <c r="B55" s="3" t="s">
        <v>30</v>
      </c>
      <c r="C55" s="3" t="s">
        <v>31</v>
      </c>
      <c r="D55" s="3" t="s">
        <v>32</v>
      </c>
      <c r="E55" s="3" t="s">
        <v>33</v>
      </c>
      <c r="F55" s="3" t="s">
        <v>34</v>
      </c>
      <c r="M55" s="5" t="s">
        <v>248</v>
      </c>
      <c r="N55" s="5" t="s">
        <v>35</v>
      </c>
    </row>
    <row r="56" spans="1:17" ht="15.6" customHeight="1" x14ac:dyDescent="0.25">
      <c r="A56" s="1">
        <f ca="1">WORKDAY(Swap_Date,1)</f>
        <v>43466</v>
      </c>
      <c r="B56" s="3">
        <f ca="1">_xll.BDH(H56,"PX_LAST",Cash_Date,Cash_Date)+$P$56</f>
        <v>-0.38766999999999996</v>
      </c>
      <c r="C56" s="1">
        <f ca="1">nextimm(Swap_Date)</f>
        <v>43544</v>
      </c>
      <c r="D56" s="3">
        <f ca="1">100-IF(ISNUMBER(_xll.BDH(I56,"PX_LAST",Future_Date,Future_Date)),_xll.BDH(I56,"PX_LAST",Future_Date,Future_Date)+$P$56,100-B59)</f>
        <v>-0.36266999999999427</v>
      </c>
      <c r="E56" s="1">
        <f ca="1">EDATE(Swap_Date,24)</f>
        <v>44196</v>
      </c>
      <c r="F56" s="3">
        <f ca="1">_xll.BDH(J56,"PX_LAST",Swap_Date,Swap_Date)+M56</f>
        <v>-0.33374999999999999</v>
      </c>
      <c r="H56" s="3" t="s">
        <v>0</v>
      </c>
      <c r="I56" s="3" t="s">
        <v>104</v>
      </c>
      <c r="J56" s="3" t="s">
        <v>112</v>
      </c>
      <c r="M56" s="3">
        <f ca="1">_xll.BDP(N56,"PX_LAST")/100</f>
        <v>-0.34125</v>
      </c>
      <c r="N56" s="3" t="s">
        <v>269</v>
      </c>
      <c r="P56" s="3">
        <f ca="1">_xll.BDP(Q56,"PX_LAST")/100</f>
        <v>-0.28999999999999998</v>
      </c>
      <c r="Q56" s="3" t="s">
        <v>363</v>
      </c>
    </row>
    <row r="57" spans="1:17" ht="15.6" customHeight="1" x14ac:dyDescent="0.25">
      <c r="A57" s="1">
        <f ca="1">EDATE(Swap_Date,1)</f>
        <v>43496</v>
      </c>
      <c r="B57" s="3">
        <f ca="1">_xll.BDH(H57,"PX_LAST",Cash_Date,Cash_Date)+$P$56</f>
        <v>-0.39766999999999997</v>
      </c>
      <c r="C57" s="1">
        <f ca="1">nextimm(C56+1)</f>
        <v>43635</v>
      </c>
      <c r="D57" s="3" t="e">
        <f ca="1">100-_xll.BDH(I57,"PX_LAST",Future_Date,Future_Date)+$M$56</f>
        <v>#VALUE!</v>
      </c>
      <c r="E57" s="1">
        <f ca="1">EDATE(E56,12)</f>
        <v>44561</v>
      </c>
      <c r="F57" s="3">
        <f ca="1">_xll.BDH(J57,"PX_LAST",Swap_Date,Swap_Date)+M57</f>
        <v>-0.37874999999999998</v>
      </c>
      <c r="H57" s="3" t="s">
        <v>1</v>
      </c>
      <c r="I57" s="3" t="s">
        <v>105</v>
      </c>
      <c r="J57" s="3" t="s">
        <v>113</v>
      </c>
      <c r="M57" s="3">
        <f ca="1">_xll.BDP(N57,"PX_LAST")/100</f>
        <v>-0.38624999999999998</v>
      </c>
      <c r="N57" s="3" t="s">
        <v>270</v>
      </c>
    </row>
    <row r="58" spans="1:17" ht="15.6" customHeight="1" x14ac:dyDescent="0.25">
      <c r="A58" s="1">
        <f ca="1">EDATE(Swap_Date,2)</f>
        <v>43524</v>
      </c>
      <c r="B58" s="3">
        <f ca="1">_xll.BDH(H58,"PX_LAST",Cash_Date,Cash_Date)+$P$56</f>
        <v>-0.36832999999999999</v>
      </c>
      <c r="C58" s="1">
        <f t="shared" ref="C58:C63" ca="1" si="4">nextimm(C57+1)</f>
        <v>43726</v>
      </c>
      <c r="D58" s="3" t="e">
        <f ca="1">100-_xll.BDH(I58,"PX_LAST",Future_Date,Future_Date)+$M$56</f>
        <v>#VALUE!</v>
      </c>
      <c r="E58" s="1">
        <f t="shared" ref="E58:E71" ca="1" si="5">EDATE(E57,12)</f>
        <v>44926</v>
      </c>
      <c r="F58" s="3">
        <f ca="1">_xll.BDH(J58,"PX_LAST",Swap_Date,Swap_Date)+M58</f>
        <v>-0.41311999999999999</v>
      </c>
      <c r="H58" s="3" t="s">
        <v>2</v>
      </c>
      <c r="I58" s="3" t="s">
        <v>106</v>
      </c>
      <c r="J58" s="3" t="s">
        <v>114</v>
      </c>
      <c r="M58" s="3">
        <f ca="1">_xll.BDP(N58,"PX_LAST")/100</f>
        <v>-0.42499999999999999</v>
      </c>
      <c r="N58" s="3" t="s">
        <v>271</v>
      </c>
    </row>
    <row r="59" spans="1:17" x14ac:dyDescent="0.25">
      <c r="A59" s="1">
        <f ca="1">EDATE(Swap_Date,3)</f>
        <v>43555</v>
      </c>
      <c r="B59" s="3">
        <f ca="1">_xll.BDH(H59,"PX_LAST",Cash_Date,Cash_Date)+$P$56</f>
        <v>-0.36266999999999999</v>
      </c>
      <c r="C59" s="1">
        <f t="shared" ca="1" si="4"/>
        <v>43817</v>
      </c>
      <c r="D59" s="3" t="e">
        <f ca="1">100-_xll.BDH(I59,"PX_LAST",Future_Date,Future_Date)+$M$56</f>
        <v>#VALUE!</v>
      </c>
      <c r="E59" s="1">
        <f t="shared" ca="1" si="5"/>
        <v>45291</v>
      </c>
      <c r="F59" s="3">
        <f ca="1">_xll.BDH(J59,"PX_LAST",Swap_Date,Swap_Date)+M59</f>
        <v>-0.4425</v>
      </c>
      <c r="H59" s="3" t="s">
        <v>3</v>
      </c>
      <c r="I59" s="3" t="s">
        <v>107</v>
      </c>
      <c r="J59" s="3" t="s">
        <v>115</v>
      </c>
      <c r="M59" s="3">
        <f ca="1">_xll.BDP(N59,"PX_LAST")/100</f>
        <v>-0.46625</v>
      </c>
      <c r="N59" s="3" t="s">
        <v>272</v>
      </c>
    </row>
    <row r="60" spans="1:17" x14ac:dyDescent="0.25">
      <c r="A60" s="1">
        <f ca="1">EDATE(Swap_Date,6)</f>
        <v>43646</v>
      </c>
      <c r="B60" s="3">
        <f ca="1">_xll.BDH(H60,"PX_LAST",Cash_Date,Cash_Date)+$P$56</f>
        <v>-0.28016999999999997</v>
      </c>
      <c r="C60" s="1">
        <f t="shared" ca="1" si="4"/>
        <v>43908</v>
      </c>
      <c r="D60" s="3" t="e">
        <f ca="1">100-_xll.BDH(I60,"PX_LAST",Future_Date,Future_Date)+$M$56</f>
        <v>#VALUE!</v>
      </c>
      <c r="E60" s="1">
        <f t="shared" ca="1" si="5"/>
        <v>45657</v>
      </c>
      <c r="F60" s="3" t="e">
        <f ca="1">_xll.BDH(J60,"PX_LAST",Swap_Date,Swap_Date)+M60</f>
        <v>#VALUE!</v>
      </c>
      <c r="H60" s="3" t="s">
        <v>4</v>
      </c>
      <c r="I60" s="3" t="s">
        <v>108</v>
      </c>
      <c r="J60" s="3" t="s">
        <v>116</v>
      </c>
      <c r="M60" s="3">
        <f ca="1">_xll.BDP(N60,"PX_LAST")/100</f>
        <v>-0.48875000000000002</v>
      </c>
      <c r="N60" s="3" t="s">
        <v>273</v>
      </c>
    </row>
    <row r="61" spans="1:17" x14ac:dyDescent="0.25">
      <c r="A61" s="1">
        <f ca="1">EDATE(Swap_Date,12)</f>
        <v>43830</v>
      </c>
      <c r="B61" s="3">
        <f ca="1">_xll.BDH(H61,"PX_LAST",Cash_Date,Cash_Date)+$P$56</f>
        <v>-0.18367</v>
      </c>
      <c r="C61" s="1">
        <f t="shared" ca="1" si="4"/>
        <v>43999</v>
      </c>
      <c r="D61" s="3" t="e">
        <f ca="1">100-_xll.BDH(I61,"PX_LAST",Future_Date,Future_Date)+$M$56</f>
        <v>#VALUE!</v>
      </c>
      <c r="E61" s="1">
        <f t="shared" ca="1" si="5"/>
        <v>46022</v>
      </c>
      <c r="F61" s="3" t="e">
        <f ca="1">_xll.BDH(J61,"PX_LAST",Swap_Date,Swap_Date)+M61</f>
        <v>#VALUE!</v>
      </c>
      <c r="H61" s="3" t="s">
        <v>5</v>
      </c>
      <c r="I61" s="3" t="s">
        <v>109</v>
      </c>
      <c r="J61" s="3" t="s">
        <v>117</v>
      </c>
      <c r="M61" s="3">
        <f ca="1">_xll.BDP(N61,"PX_LAST")/100</f>
        <v>-0.495</v>
      </c>
      <c r="N61" s="3" t="s">
        <v>274</v>
      </c>
    </row>
    <row r="62" spans="1:17" x14ac:dyDescent="0.25">
      <c r="A62" s="11">
        <f ca="1">EDATE(A61,10)</f>
        <v>44135</v>
      </c>
      <c r="B62" s="3">
        <f ca="1">B61</f>
        <v>-0.18367</v>
      </c>
      <c r="C62" s="1">
        <f t="shared" ca="1" si="4"/>
        <v>44090</v>
      </c>
      <c r="D62" s="3" t="e">
        <f ca="1">100-_xll.BDH(I62,"PX_LAST",Future_Date,Future_Date)+$M$56</f>
        <v>#VALUE!</v>
      </c>
      <c r="E62" s="1">
        <f t="shared" ca="1" si="5"/>
        <v>46387</v>
      </c>
      <c r="F62" s="3" t="e">
        <f ca="1">_xll.BDH(J62,"PX_LAST",Swap_Date,Swap_Date)+M62</f>
        <v>#VALUE!</v>
      </c>
      <c r="I62" s="3" t="s">
        <v>110</v>
      </c>
      <c r="J62" s="3" t="s">
        <v>118</v>
      </c>
      <c r="M62" s="3">
        <f ca="1">_xll.BDP(N62,"PX_LAST")/100</f>
        <v>-0.50124999999999997</v>
      </c>
      <c r="N62" s="3" t="s">
        <v>275</v>
      </c>
    </row>
    <row r="63" spans="1:17" x14ac:dyDescent="0.25">
      <c r="C63" s="1">
        <f t="shared" ca="1" si="4"/>
        <v>44181</v>
      </c>
      <c r="D63" s="3" t="e">
        <f ca="1">100-_xll.BDH(I63,"PX_LAST",Future_Date,Future_Date)+$M$56</f>
        <v>#VALUE!</v>
      </c>
      <c r="E63" s="1">
        <f t="shared" ca="1" si="5"/>
        <v>46752</v>
      </c>
      <c r="F63" s="3" t="e">
        <f ca="1">_xll.BDH(J63,"PX_LAST",Swap_Date,Swap_Date)+M63</f>
        <v>#VALUE!</v>
      </c>
      <c r="I63" s="3" t="s">
        <v>111</v>
      </c>
      <c r="J63" s="3" t="s">
        <v>119</v>
      </c>
      <c r="M63" s="3">
        <f ca="1">_xll.BDP(N63,"PX_LAST")/100</f>
        <v>-0.50375000000000003</v>
      </c>
      <c r="N63" s="3" t="s">
        <v>276</v>
      </c>
    </row>
    <row r="64" spans="1:17" x14ac:dyDescent="0.25">
      <c r="E64" s="1">
        <f t="shared" ca="1" si="5"/>
        <v>47118</v>
      </c>
      <c r="F64" s="3" t="e">
        <f ca="1">_xll.BDH(J64,"PX_LAST",Swap_Date,Swap_Date)+M64</f>
        <v>#VALUE!</v>
      </c>
      <c r="J64" s="3" t="s">
        <v>120</v>
      </c>
      <c r="M64" s="3">
        <f ca="1">_xll.BDP(N64,"PX_LAST")/100</f>
        <v>-0.50124999999999997</v>
      </c>
      <c r="N64" s="3" t="s">
        <v>277</v>
      </c>
    </row>
    <row r="65" spans="1:14" x14ac:dyDescent="0.25">
      <c r="E65" s="1">
        <f t="shared" ca="1" si="5"/>
        <v>47483</v>
      </c>
      <c r="F65" s="3">
        <f ca="1">_xll.BDH(J65,"PX_LAST",Swap_Date,Swap_Date)+M65</f>
        <v>-0.28500000000000003</v>
      </c>
      <c r="J65" s="3" t="s">
        <v>121</v>
      </c>
      <c r="M65" s="3">
        <f ca="1">_xll.BDP(N65,"PX_LAST")/100</f>
        <v>-0.50375000000000003</v>
      </c>
      <c r="N65" s="3" t="s">
        <v>278</v>
      </c>
    </row>
    <row r="66" spans="1:14" x14ac:dyDescent="0.25">
      <c r="E66" s="1">
        <f t="shared" ca="1" si="5"/>
        <v>47848</v>
      </c>
      <c r="F66" s="3">
        <f ca="1">_xll.BDH(J66,"PX_LAST",Swap_Date,Swap_Date)+M66</f>
        <v>-0.23249999999999998</v>
      </c>
      <c r="J66" s="3" t="s">
        <v>122</v>
      </c>
      <c r="M66" s="3">
        <f ca="1">_xll.BDP(N66,"PX_LAST")/100</f>
        <v>-0.49249999999999999</v>
      </c>
      <c r="N66" s="3" t="s">
        <v>279</v>
      </c>
    </row>
    <row r="67" spans="1:14" x14ac:dyDescent="0.25">
      <c r="E67" s="1">
        <f t="shared" ca="1" si="5"/>
        <v>48213</v>
      </c>
      <c r="F67" s="3" t="e">
        <f ca="1">_xll.BDH(J67,"PX_LAST",Swap_Date,Swap_Date)+M67</f>
        <v>#VALUE!</v>
      </c>
      <c r="J67" s="3" t="s">
        <v>123</v>
      </c>
      <c r="M67" s="18">
        <f ca="1">(M69-M66)/3+M66</f>
        <v>-0.47541666666666665</v>
      </c>
      <c r="N67" s="3" t="s">
        <v>280</v>
      </c>
    </row>
    <row r="68" spans="1:14" x14ac:dyDescent="0.25">
      <c r="E68" s="1">
        <f t="shared" ca="1" si="5"/>
        <v>48579</v>
      </c>
      <c r="F68" s="3" t="e">
        <f ca="1">_xll.BDH(J68,"PX_LAST",Swap_Date,Swap_Date)+M68</f>
        <v>#VALUE!</v>
      </c>
      <c r="J68" s="3" t="s">
        <v>124</v>
      </c>
      <c r="M68" s="18">
        <f ca="1">(M69-M66)/3*2+M66</f>
        <v>-0.45833333333333331</v>
      </c>
      <c r="N68" s="3" t="s">
        <v>281</v>
      </c>
    </row>
    <row r="69" spans="1:14" x14ac:dyDescent="0.25">
      <c r="E69" s="1">
        <f t="shared" ca="1" si="5"/>
        <v>48944</v>
      </c>
      <c r="F69" s="3">
        <f ca="1">_xll.BDH(J69,"PX_LAST",Swap_Date,Swap_Date)+M69</f>
        <v>-6.1249999999999971E-2</v>
      </c>
      <c r="J69" s="3" t="s">
        <v>125</v>
      </c>
      <c r="M69" s="3">
        <f ca="1">_xll.BDP(N69,"PX_LAST")/100</f>
        <v>-0.44124999999999998</v>
      </c>
      <c r="N69" s="3" t="s">
        <v>282</v>
      </c>
    </row>
    <row r="70" spans="1:14" x14ac:dyDescent="0.25">
      <c r="E70" s="1">
        <f t="shared" ca="1" si="5"/>
        <v>49309</v>
      </c>
      <c r="F70" s="3" t="e">
        <f ca="1">_xll.BDH(J70,"PX_LAST",Swap_Date,Swap_Date)+M70</f>
        <v>#VALUE!</v>
      </c>
      <c r="J70" s="3" t="s">
        <v>126</v>
      </c>
      <c r="M70" s="18">
        <f ca="1">(M72-M69)/5+M69</f>
        <v>-0.43024999999999997</v>
      </c>
      <c r="N70" s="3" t="s">
        <v>283</v>
      </c>
    </row>
    <row r="71" spans="1:14" x14ac:dyDescent="0.25">
      <c r="E71" s="1">
        <f t="shared" ca="1" si="5"/>
        <v>49674</v>
      </c>
      <c r="F71" s="3">
        <f ca="1">_xll.BDH(J71,"PX_LAST",Swap_Date,Swap_Date)+M71</f>
        <v>3.5000000000000031E-2</v>
      </c>
      <c r="J71" s="3" t="s">
        <v>127</v>
      </c>
      <c r="M71" s="18">
        <f ca="1">(M72-M69)/5*2+M69</f>
        <v>-0.41924999999999996</v>
      </c>
      <c r="N71" s="3" t="s">
        <v>284</v>
      </c>
    </row>
    <row r="72" spans="1:14" x14ac:dyDescent="0.25">
      <c r="E72" s="1">
        <f ca="1">EDATE(E71,36)</f>
        <v>50770</v>
      </c>
      <c r="F72" s="3">
        <f ca="1">_xll.BDH(J72,"PX_LAST",Swap_Date,Swap_Date)+M72</f>
        <v>0.16249999999999998</v>
      </c>
      <c r="J72" s="3" t="s">
        <v>128</v>
      </c>
      <c r="M72" s="3">
        <f ca="1">_xll.BDP(N72,"PX_LAST")/100</f>
        <v>-0.38624999999999998</v>
      </c>
      <c r="N72" s="3" t="s">
        <v>285</v>
      </c>
    </row>
    <row r="73" spans="1:14" x14ac:dyDescent="0.25">
      <c r="E73" s="1">
        <f ca="1">EDATE(E72,60)</f>
        <v>52596</v>
      </c>
      <c r="F73" s="3">
        <f ca="1">_xll.BDH(J73,"PX_LAST",Swap_Date,Swap_Date)+M73</f>
        <v>0.31624999999999998</v>
      </c>
      <c r="J73" s="3" t="s">
        <v>129</v>
      </c>
      <c r="M73" s="3">
        <f ca="1">_xll.BDP(N73,"PX_LAST")/100</f>
        <v>-0.34125</v>
      </c>
      <c r="N73" s="3" t="s">
        <v>286</v>
      </c>
    </row>
    <row r="74" spans="1:14" x14ac:dyDescent="0.25">
      <c r="E74" s="1">
        <f ca="1">EDATE(E73,60)</f>
        <v>54423</v>
      </c>
      <c r="F74" s="3">
        <f ca="1">_xll.BDH(J74,"PX_LAST",Swap_Date,Swap_Date)+M74</f>
        <v>0.42249999999999999</v>
      </c>
      <c r="J74" s="3" t="s">
        <v>130</v>
      </c>
      <c r="M74" s="3">
        <f ca="1">_xll.BDP(N74,"PX_LAST")/100</f>
        <v>-0.30125000000000002</v>
      </c>
      <c r="N74" s="3" t="s">
        <v>287</v>
      </c>
    </row>
    <row r="75" spans="1:14" x14ac:dyDescent="0.25">
      <c r="E75" s="1">
        <f ca="1">EDATE(E74,120)</f>
        <v>58075</v>
      </c>
      <c r="F75" s="3">
        <f ca="1">_xll.BDH(J75,"PX_LAST",Swap_Date,Swap_Date)+M75</f>
        <v>0.55125000000000002</v>
      </c>
      <c r="J75" s="3" t="s">
        <v>131</v>
      </c>
      <c r="M75" s="3">
        <f ca="1">_xll.BDP(N75,"PX_LAST")/100</f>
        <v>-0.24249999999999999</v>
      </c>
      <c r="N75" s="3" t="s">
        <v>288</v>
      </c>
    </row>
    <row r="76" spans="1:14" x14ac:dyDescent="0.25">
      <c r="E76" s="1">
        <f ca="1">EDATE(E75,12)</f>
        <v>58440</v>
      </c>
      <c r="F76" s="3">
        <f ca="1">F75</f>
        <v>0.55125000000000002</v>
      </c>
    </row>
    <row r="79" spans="1:14" x14ac:dyDescent="0.25">
      <c r="A79" s="3" t="s">
        <v>14</v>
      </c>
      <c r="B79" s="3">
        <v>7</v>
      </c>
      <c r="D79" s="3">
        <v>7</v>
      </c>
      <c r="F79" s="3">
        <v>100</v>
      </c>
    </row>
    <row r="80" spans="1:14" x14ac:dyDescent="0.25">
      <c r="A80" s="3" t="s">
        <v>29</v>
      </c>
      <c r="B80" s="3" t="s">
        <v>30</v>
      </c>
      <c r="C80" s="3" t="s">
        <v>31</v>
      </c>
      <c r="D80" s="3" t="s">
        <v>32</v>
      </c>
      <c r="E80" s="3" t="s">
        <v>33</v>
      </c>
      <c r="F80" s="3" t="s">
        <v>34</v>
      </c>
      <c r="M80" s="5" t="s">
        <v>248</v>
      </c>
      <c r="N80" s="5" t="s">
        <v>35</v>
      </c>
    </row>
    <row r="81" spans="1:17" x14ac:dyDescent="0.25">
      <c r="A81" s="1">
        <f ca="1">WORKDAY(Swap_Date,1)</f>
        <v>43466</v>
      </c>
      <c r="B81" s="3">
        <f ca="1">_xll.BDH(H81,"PX_LAST",Cash_Date,Cash_Date)+$P$81</f>
        <v>0.74150000000000005</v>
      </c>
      <c r="C81" s="1">
        <f ca="1">nextimm(Swap_Date)</f>
        <v>43544</v>
      </c>
      <c r="D81" s="3">
        <f ca="1">100-IF(ISNUMBER(_xll.BDH(I81,"PX_LAST",Future_Date,Future_Date)),_xll.BDH(I81,"PX_LAST",Future_Date,Future_Date)+$P$81,100-B84)</f>
        <v>0.98368999999999573</v>
      </c>
      <c r="E81" s="1">
        <f ca="1">EDATE(Swap_Date,24)</f>
        <v>44196</v>
      </c>
      <c r="F81" s="3">
        <f ca="1">_xll.BDH(J81,"PX_LAST",Swap_Date,Swap_Date)+M81</f>
        <v>1.2497500000000001</v>
      </c>
      <c r="H81" s="3" t="s">
        <v>135</v>
      </c>
      <c r="I81" s="3" t="s">
        <v>141</v>
      </c>
      <c r="J81" s="3" t="s">
        <v>149</v>
      </c>
      <c r="M81" s="3">
        <f ca="1">_xll.BDP(N81,"PX_LAST")/100</f>
        <v>9.1249999999999998E-2</v>
      </c>
      <c r="N81" s="3" t="s">
        <v>308</v>
      </c>
      <c r="P81" s="3">
        <f ca="1">_xll.BDP(Q81,"PX_LAST")/100</f>
        <v>7.1249999999999994E-2</v>
      </c>
      <c r="Q81" s="3" t="s">
        <v>366</v>
      </c>
    </row>
    <row r="82" spans="1:17" x14ac:dyDescent="0.25">
      <c r="A82" s="1">
        <f ca="1">EDATE(Swap_Date,1)</f>
        <v>43496</v>
      </c>
      <c r="B82" s="3">
        <f ca="1">_xll.BDH(H82,"PX_LAST",Cash_Date,Cash_Date)+$P$81</f>
        <v>0.80149999999999999</v>
      </c>
      <c r="C82" s="1">
        <f ca="1">nextimm(C81+1)</f>
        <v>43635</v>
      </c>
      <c r="D82" s="3" t="e">
        <f ca="1">$P$81+100-_xll.BDH(I82,"PX_LAST",Future_Date,Future_Date)</f>
        <v>#VALUE!</v>
      </c>
      <c r="E82" s="1">
        <f ca="1">EDATE(E81,12)</f>
        <v>44561</v>
      </c>
      <c r="F82" s="3">
        <f ca="1">_xll.BDH(J82,"PX_LAST",Swap_Date,Swap_Date)+M82</f>
        <v>1.3295000000000001</v>
      </c>
      <c r="H82" s="3" t="s">
        <v>136</v>
      </c>
      <c r="I82" s="3" t="s">
        <v>142</v>
      </c>
      <c r="J82" s="3" t="s">
        <v>150</v>
      </c>
      <c r="M82" s="18">
        <f ca="1">(M81+M83)/2</f>
        <v>0.11</v>
      </c>
      <c r="N82" s="3" t="s">
        <v>289</v>
      </c>
    </row>
    <row r="83" spans="1:17" x14ac:dyDescent="0.25">
      <c r="A83" s="1">
        <f ca="1">EDATE(Swap_Date,2)</f>
        <v>43524</v>
      </c>
      <c r="B83" s="3">
        <f ca="1">_xll.BDH(H83,"PX_LAST",Cash_Date,Cash_Date)+$P$81</f>
        <v>0.86463000000000001</v>
      </c>
      <c r="C83" s="1">
        <f t="shared" ref="C83:C88" ca="1" si="6">nextimm(C82+1)</f>
        <v>43726</v>
      </c>
      <c r="D83" s="3">
        <f ca="1">$P$81+100-_xll.BDH(I83,"PX_LAST",Future_Date,Future_Date)</f>
        <v>1.011250000000004</v>
      </c>
      <c r="E83" s="1">
        <f t="shared" ref="E83:E96" ca="1" si="7">EDATE(E82,12)</f>
        <v>44926</v>
      </c>
      <c r="F83" s="3">
        <f ca="1">_xll.BDH(J83,"PX_LAST",Swap_Date,Swap_Date)+M83</f>
        <v>1.39375</v>
      </c>
      <c r="H83" s="3" t="s">
        <v>137</v>
      </c>
      <c r="I83" s="3" t="s">
        <v>143</v>
      </c>
      <c r="J83" s="3" t="s">
        <v>151</v>
      </c>
      <c r="M83" s="3">
        <f ca="1">_xll.BDP(N83,"PX_LAST")/100</f>
        <v>0.12875</v>
      </c>
      <c r="N83" s="3" t="s">
        <v>290</v>
      </c>
    </row>
    <row r="84" spans="1:17" x14ac:dyDescent="0.25">
      <c r="A84" s="1">
        <f ca="1">EDATE(Swap_Date,3)</f>
        <v>43555</v>
      </c>
      <c r="B84" s="3">
        <f ca="1">_xll.BDH(H84,"PX_LAST",Cash_Date,Cash_Date)+$P$81</f>
        <v>0.98369000000000006</v>
      </c>
      <c r="C84" s="1">
        <f t="shared" ca="1" si="6"/>
        <v>43817</v>
      </c>
      <c r="D84" s="3">
        <f ca="1">$P$81+100-_xll.BDH(I84,"PX_LAST",Future_Date,Future_Date)</f>
        <v>1.0812500000000114</v>
      </c>
      <c r="E84" s="1">
        <f t="shared" ca="1" si="7"/>
        <v>45291</v>
      </c>
      <c r="F84" s="3">
        <f ca="1">_xll.BDH(J84,"PX_LAST",Swap_Date,Swap_Date)+M84</f>
        <v>1.448</v>
      </c>
      <c r="H84" s="3" t="s">
        <v>138</v>
      </c>
      <c r="I84" s="3" t="s">
        <v>144</v>
      </c>
      <c r="J84" s="3" t="s">
        <v>152</v>
      </c>
      <c r="M84" s="3">
        <f ca="1">_xll.BDP(N84,"PX_LAST")/100</f>
        <v>0.15</v>
      </c>
      <c r="N84" s="3" t="s">
        <v>291</v>
      </c>
    </row>
    <row r="85" spans="1:17" x14ac:dyDescent="0.25">
      <c r="A85" s="1">
        <f ca="1">EDATE(Swap_Date,6)</f>
        <v>43646</v>
      </c>
      <c r="B85" s="3">
        <f ca="1">_xll.BDH(H85,"PX_LAST",Cash_Date,Cash_Date)+$P$81</f>
        <v>1.1059399999999999</v>
      </c>
      <c r="C85" s="1">
        <f t="shared" ca="1" si="6"/>
        <v>43908</v>
      </c>
      <c r="D85" s="3">
        <f ca="1">$P$81+100-_xll.BDH(I85,"PX_LAST",Future_Date,Future_Date)</f>
        <v>1.1262500000000131</v>
      </c>
      <c r="E85" s="1">
        <f t="shared" ca="1" si="7"/>
        <v>45657</v>
      </c>
      <c r="F85" s="3">
        <f ca="1">_xll.BDH(J85,"PX_LAST",Swap_Date,Swap_Date)+M85</f>
        <v>1.5002499999999999</v>
      </c>
      <c r="H85" s="3" t="s">
        <v>139</v>
      </c>
      <c r="I85" s="3" t="s">
        <v>145</v>
      </c>
      <c r="J85" s="3" t="s">
        <v>153</v>
      </c>
      <c r="M85" s="3">
        <f ca="1">_xll.BDP(N85,"PX_LAST")/100</f>
        <v>0.17125000000000001</v>
      </c>
      <c r="N85" s="3" t="s">
        <v>292</v>
      </c>
    </row>
    <row r="86" spans="1:17" x14ac:dyDescent="0.25">
      <c r="A86" s="1">
        <f ca="1">EDATE(Swap_Date,12)</f>
        <v>43830</v>
      </c>
      <c r="B86" s="3">
        <f ca="1">_xll.BDH(H86,"PX_LAST",Cash_Date,Cash_Date)+$P$81</f>
        <v>1.24156</v>
      </c>
      <c r="C86" s="1">
        <f t="shared" ca="1" si="6"/>
        <v>43999</v>
      </c>
      <c r="D86" s="3">
        <f ca="1">$P$81+100-_xll.BDH(I86,"PX_LAST",Future_Date,Future_Date)</f>
        <v>1.1812500000000057</v>
      </c>
      <c r="E86" s="1">
        <f t="shared" ca="1" si="7"/>
        <v>46022</v>
      </c>
      <c r="F86" s="3">
        <f ca="1">_xll.BDH(J86,"PX_LAST",Swap_Date,Swap_Date)+M86</f>
        <v>1.5474999999999999</v>
      </c>
      <c r="H86" s="3" t="s">
        <v>140</v>
      </c>
      <c r="I86" s="3" t="s">
        <v>146</v>
      </c>
      <c r="J86" s="3" t="s">
        <v>154</v>
      </c>
      <c r="M86" s="3">
        <f ca="1">_xll.BDP(N86,"PX_LAST")/100</f>
        <v>0.1925</v>
      </c>
      <c r="N86" s="3" t="s">
        <v>293</v>
      </c>
    </row>
    <row r="87" spans="1:17" x14ac:dyDescent="0.25">
      <c r="A87" s="11">
        <f ca="1">EDATE(A86,10)</f>
        <v>44135</v>
      </c>
      <c r="B87" s="3">
        <f ca="1">B86</f>
        <v>1.24156</v>
      </c>
      <c r="C87" s="1">
        <f t="shared" ca="1" si="6"/>
        <v>44090</v>
      </c>
      <c r="D87" s="3">
        <f ca="1">$P$81+100-_xll.BDH(I87,"PX_LAST",Future_Date,Future_Date)</f>
        <v>1.2062500000000114</v>
      </c>
      <c r="E87" s="1">
        <f t="shared" ca="1" si="7"/>
        <v>46387</v>
      </c>
      <c r="F87" s="3">
        <f ca="1">_xll.BDH(J87,"PX_LAST",Swap_Date,Swap_Date)+M87</f>
        <v>1.589375</v>
      </c>
      <c r="I87" s="3" t="s">
        <v>147</v>
      </c>
      <c r="J87" s="3" t="s">
        <v>155</v>
      </c>
      <c r="M87" s="3">
        <f ca="1">_xll.BDP(N87,"PX_LAST")/100</f>
        <v>0.20937500000000001</v>
      </c>
      <c r="N87" s="3" t="s">
        <v>294</v>
      </c>
    </row>
    <row r="88" spans="1:17" x14ac:dyDescent="0.25">
      <c r="C88" s="1">
        <f t="shared" ca="1" si="6"/>
        <v>44181</v>
      </c>
      <c r="D88" s="3">
        <f ca="1">$P$81+100-_xll.BDH(I88,"PX_LAST",Future_Date,Future_Date)</f>
        <v>1.241250000000008</v>
      </c>
      <c r="E88" s="1">
        <f t="shared" ca="1" si="7"/>
        <v>46752</v>
      </c>
      <c r="F88" s="3">
        <f ca="1">_xll.BDH(J88,"PX_LAST",Swap_Date,Swap_Date)+M88</f>
        <v>1.62625</v>
      </c>
      <c r="I88" s="3" t="s">
        <v>148</v>
      </c>
      <c r="J88" s="3" t="s">
        <v>156</v>
      </c>
      <c r="M88" s="3">
        <f ca="1">_xll.BDP(N88,"PX_LAST")/100</f>
        <v>0.22125</v>
      </c>
      <c r="N88" s="3" t="s">
        <v>295</v>
      </c>
    </row>
    <row r="89" spans="1:17" x14ac:dyDescent="0.25">
      <c r="E89" s="1">
        <f t="shared" ca="1" si="7"/>
        <v>47118</v>
      </c>
      <c r="F89" s="3">
        <f ca="1">_xll.BDH(J89,"PX_LAST",Swap_Date,Swap_Date)+M89</f>
        <v>1.6597500000000001</v>
      </c>
      <c r="J89" s="3" t="s">
        <v>28</v>
      </c>
      <c r="M89" s="3">
        <f ca="1">_xll.BDP(N89,"PX_LAST")/100</f>
        <v>0.22875000000000001</v>
      </c>
      <c r="N89" s="3" t="s">
        <v>296</v>
      </c>
    </row>
    <row r="90" spans="1:17" x14ac:dyDescent="0.25">
      <c r="E90" s="1">
        <f t="shared" ca="1" si="7"/>
        <v>47483</v>
      </c>
      <c r="F90" s="3">
        <f ca="1">_xll.BDH(J90,"PX_LAST",Swap_Date,Swap_Date)+M90</f>
        <v>1.6877499999999999</v>
      </c>
      <c r="J90" s="3" t="s">
        <v>157</v>
      </c>
      <c r="M90" s="3">
        <f ca="1">_xll.BDP(N90,"PX_LAST")/100</f>
        <v>0.23375000000000001</v>
      </c>
      <c r="N90" s="3" t="s">
        <v>297</v>
      </c>
    </row>
    <row r="91" spans="1:17" x14ac:dyDescent="0.25">
      <c r="E91" s="1">
        <f t="shared" ca="1" si="7"/>
        <v>47848</v>
      </c>
      <c r="F91" s="3">
        <f ca="1">_xll.BDH(J91,"PX_LAST",Swap_Date,Swap_Date)+M91</f>
        <v>1.7098749999999998</v>
      </c>
      <c r="J91" s="3" t="s">
        <v>158</v>
      </c>
      <c r="M91" s="3">
        <f ca="1">_xll.BDP(N91,"PX_LAST")/100</f>
        <v>0.236875</v>
      </c>
      <c r="N91" s="3" t="s">
        <v>298</v>
      </c>
    </row>
    <row r="92" spans="1:17" x14ac:dyDescent="0.25">
      <c r="E92" s="1">
        <f t="shared" ca="1" si="7"/>
        <v>48213</v>
      </c>
      <c r="F92" s="3">
        <f ca="1">_xll.BDH(J92,"PX_LAST",Swap_Date,Swap_Date)+M92</f>
        <v>1.7220416666666667</v>
      </c>
      <c r="J92" s="3" t="s">
        <v>159</v>
      </c>
      <c r="M92" s="18">
        <f ca="1">(M94-M91)/3+M91</f>
        <v>0.23354166666666668</v>
      </c>
      <c r="N92" s="3" t="s">
        <v>299</v>
      </c>
    </row>
    <row r="93" spans="1:17" x14ac:dyDescent="0.25">
      <c r="E93" s="1">
        <f t="shared" ca="1" si="7"/>
        <v>48579</v>
      </c>
      <c r="F93" s="3">
        <f ca="1">_xll.BDH(J93,"PX_LAST",Swap_Date,Swap_Date)+M93</f>
        <v>1.7322083333333333</v>
      </c>
      <c r="J93" s="3" t="s">
        <v>160</v>
      </c>
      <c r="M93" s="18">
        <f ca="1">(M94-M91)/3*2+M91</f>
        <v>0.23020833333333332</v>
      </c>
      <c r="N93" s="3" t="s">
        <v>300</v>
      </c>
    </row>
    <row r="94" spans="1:17" x14ac:dyDescent="0.25">
      <c r="E94" s="1">
        <f t="shared" ca="1" si="7"/>
        <v>48944</v>
      </c>
      <c r="F94" s="3">
        <f ca="1">_xll.BDH(J94,"PX_LAST",Swap_Date,Swap_Date)+M94</f>
        <v>1.7398749999999998</v>
      </c>
      <c r="J94" s="3" t="s">
        <v>161</v>
      </c>
      <c r="M94" s="3">
        <f ca="1">_xll.BDP(N94,"PX_LAST")/100</f>
        <v>0.22687499999999999</v>
      </c>
      <c r="N94" s="3" t="s">
        <v>301</v>
      </c>
    </row>
    <row r="95" spans="1:17" x14ac:dyDescent="0.25">
      <c r="E95" s="1">
        <f t="shared" ca="1" si="7"/>
        <v>49309</v>
      </c>
      <c r="F95" s="3">
        <f ca="1">_xll.BDH(J95,"PX_LAST",Swap_Date,Swap_Date)+M95</f>
        <v>1.74475</v>
      </c>
      <c r="J95" s="3" t="s">
        <v>162</v>
      </c>
      <c r="M95" s="18">
        <f ca="1">(M97-M94)/5+M94</f>
        <v>0.22225</v>
      </c>
      <c r="N95" s="3" t="s">
        <v>302</v>
      </c>
    </row>
    <row r="96" spans="1:17" x14ac:dyDescent="0.25">
      <c r="E96" s="1">
        <f t="shared" ca="1" si="7"/>
        <v>49674</v>
      </c>
      <c r="F96" s="3">
        <f ca="1">_xll.BDH(J96,"PX_LAST",Swap_Date,Swap_Date)+M96</f>
        <v>1.7481249999999999</v>
      </c>
      <c r="J96" s="3" t="s">
        <v>163</v>
      </c>
      <c r="M96" s="18">
        <f ca="1">(M97-M94)/5*2+M94</f>
        <v>0.21762499999999999</v>
      </c>
      <c r="N96" s="3" t="s">
        <v>303</v>
      </c>
    </row>
    <row r="97" spans="1:17" x14ac:dyDescent="0.25">
      <c r="E97" s="1">
        <f ca="1">EDATE(E96,36)</f>
        <v>50770</v>
      </c>
      <c r="F97" s="3">
        <f ca="1">_xll.BDH(J97,"PX_LAST",Swap_Date,Swap_Date)+M97</f>
        <v>1.7497500000000001</v>
      </c>
      <c r="J97" s="3" t="s">
        <v>164</v>
      </c>
      <c r="M97" s="3">
        <f ca="1">_xll.BDP(N97,"PX_LAST")/100</f>
        <v>0.20374999999999999</v>
      </c>
      <c r="N97" s="3" t="s">
        <v>304</v>
      </c>
    </row>
    <row r="98" spans="1:17" x14ac:dyDescent="0.25">
      <c r="E98" s="1">
        <f ca="1">EDATE(E97,60)</f>
        <v>52596</v>
      </c>
      <c r="F98" s="3">
        <f ca="1">_xll.BDH(J98,"PX_LAST",Swap_Date,Swap_Date)+M98</f>
        <v>1.7477499999999999</v>
      </c>
      <c r="J98" s="3" t="s">
        <v>165</v>
      </c>
      <c r="M98" s="3">
        <f ca="1">_xll.BDP(N98,"PX_LAST")/100</f>
        <v>0.19875000000000001</v>
      </c>
      <c r="N98" s="3" t="s">
        <v>305</v>
      </c>
    </row>
    <row r="99" spans="1:17" x14ac:dyDescent="0.25">
      <c r="E99" s="1">
        <f ca="1">EDATE(E98,60)</f>
        <v>54423</v>
      </c>
      <c r="F99" s="3">
        <f ca="1">_xll.BDH(J99,"PX_LAST",Swap_Date,Swap_Date)+M99</f>
        <v>1.7639166666666666</v>
      </c>
      <c r="J99" s="3" t="s">
        <v>166</v>
      </c>
      <c r="M99" s="18">
        <f ca="1">(M100-M98)/3+M98</f>
        <v>0.22291666666666668</v>
      </c>
      <c r="N99" s="3" t="s">
        <v>306</v>
      </c>
    </row>
    <row r="100" spans="1:17" x14ac:dyDescent="0.25">
      <c r="E100" s="1">
        <f ca="1">EDATE(E99,120)</f>
        <v>58075</v>
      </c>
      <c r="F100" s="3">
        <f ca="1">_xll.BDH(J100,"PX_LAST",Swap_Date,Swap_Date)+M100</f>
        <v>1.78725</v>
      </c>
      <c r="J100" s="3" t="s">
        <v>167</v>
      </c>
      <c r="M100" s="3">
        <f ca="1">_xll.BDP(N100,"PX_LAST")/100</f>
        <v>0.27124999999999999</v>
      </c>
      <c r="N100" s="3" t="s">
        <v>307</v>
      </c>
    </row>
    <row r="101" spans="1:17" x14ac:dyDescent="0.25">
      <c r="E101" s="1">
        <f ca="1">EDATE(E100,12)</f>
        <v>58440</v>
      </c>
      <c r="F101" s="3">
        <f ca="1">F100</f>
        <v>1.78725</v>
      </c>
    </row>
    <row r="104" spans="1:17" x14ac:dyDescent="0.25">
      <c r="A104" s="3" t="s">
        <v>247</v>
      </c>
      <c r="B104" s="3">
        <v>7</v>
      </c>
      <c r="D104" s="3">
        <v>7</v>
      </c>
      <c r="F104" s="3">
        <v>100</v>
      </c>
    </row>
    <row r="105" spans="1:17" x14ac:dyDescent="0.25">
      <c r="A105" s="3" t="s">
        <v>29</v>
      </c>
      <c r="B105" s="3" t="s">
        <v>30</v>
      </c>
      <c r="C105" s="3" t="s">
        <v>31</v>
      </c>
      <c r="D105" s="3" t="s">
        <v>32</v>
      </c>
      <c r="E105" s="3" t="s">
        <v>33</v>
      </c>
      <c r="F105" s="3" t="s">
        <v>34</v>
      </c>
      <c r="M105" s="5" t="s">
        <v>248</v>
      </c>
      <c r="N105" s="5" t="s">
        <v>35</v>
      </c>
    </row>
    <row r="106" spans="1:17" x14ac:dyDescent="0.25">
      <c r="A106" s="1">
        <f ca="1">WORKDAY(Swap_Date,1)</f>
        <v>43466</v>
      </c>
      <c r="B106" s="3">
        <f ca="1">_xll.BDH(H106,"PX_LAST",Cash_Date,Cash_Date)+$P$106</f>
        <v>-0.87319999999999998</v>
      </c>
      <c r="C106" s="1">
        <f ca="1">nextimm(Swap_Date)</f>
        <v>43544</v>
      </c>
      <c r="D106" s="3">
        <f ca="1">100-IF(ISNUMBER(_xll.BDH(I106,"PX_LAST",Future_Date,Future_Date)),_xll.BDH(I106,"PX_LAST",Future_Date,Future_Date)+$P$106,100-B109)</f>
        <v>-0.78839999999999577</v>
      </c>
      <c r="E106" s="1">
        <f ca="1">EDATE(Swap_Date,24)</f>
        <v>44196</v>
      </c>
      <c r="F106" s="3">
        <f ca="1">_xll.BDH(J106,"PX_LAST",Swap_Date,Swap_Date)+M106</f>
        <v>-0.66499999999999992</v>
      </c>
      <c r="H106" s="3" t="s">
        <v>168</v>
      </c>
      <c r="I106" s="3" t="s">
        <v>174</v>
      </c>
      <c r="J106" s="3" t="s">
        <v>182</v>
      </c>
      <c r="M106" s="3">
        <f ca="1">_xll.BDP(N106,"PX_LAST")/100</f>
        <v>-9.5000000000000001E-2</v>
      </c>
      <c r="N106" s="3" t="s">
        <v>309</v>
      </c>
      <c r="P106" s="3">
        <f ca="1">_xll.BDP(Q106,"PX_LAST")/100</f>
        <v>-7.4999999999999997E-2</v>
      </c>
      <c r="Q106" s="3" t="s">
        <v>364</v>
      </c>
    </row>
    <row r="107" spans="1:17" x14ac:dyDescent="0.25">
      <c r="A107" s="1">
        <f ca="1">EDATE(Swap_Date,1)</f>
        <v>43496</v>
      </c>
      <c r="B107" s="3">
        <f ca="1">_xll.BDH(H107,"PX_LAST",Cash_Date,Cash_Date)+$P$106</f>
        <v>-0.87179999999999991</v>
      </c>
      <c r="C107" s="1">
        <f ca="1">nextimm(C106+1)</f>
        <v>43635</v>
      </c>
      <c r="D107" s="3" t="e">
        <f ca="1">$P$106+100-_xll.BDH(I107,"PX_LAST",Future_Date,Future_Date)</f>
        <v>#VALUE!</v>
      </c>
      <c r="E107" s="1">
        <f ca="1">EDATE(E106,12)</f>
        <v>44561</v>
      </c>
      <c r="F107" s="3">
        <f ca="1">_xll.BDH(J107,"PX_LAST",Swap_Date,Swap_Date)+M107</f>
        <v>-0.57874999999999999</v>
      </c>
      <c r="H107" s="3" t="s">
        <v>169</v>
      </c>
      <c r="I107" s="3" t="s">
        <v>175</v>
      </c>
      <c r="J107" s="3" t="s">
        <v>183</v>
      </c>
      <c r="M107" s="18">
        <f ca="1">(M106+M108)/2</f>
        <v>-0.10625</v>
      </c>
      <c r="N107" s="3" t="s">
        <v>310</v>
      </c>
    </row>
    <row r="108" spans="1:17" x14ac:dyDescent="0.25">
      <c r="A108" s="1">
        <f ca="1">EDATE(Swap_Date,2)</f>
        <v>43524</v>
      </c>
      <c r="B108" s="3">
        <f ca="1">_xll.BDH(H108,"PX_LAST",Cash_Date,Cash_Date)+$P$106</f>
        <v>-0.80579999999999996</v>
      </c>
      <c r="C108" s="1">
        <f t="shared" ref="C108:C113" ca="1" si="8">nextimm(C107+1)</f>
        <v>43726</v>
      </c>
      <c r="D108" s="3">
        <f ca="1">$P$106+100-_xll.BDH(I108,"PX_LAST",Future_Date,Future_Date)</f>
        <v>-0.79500000000000171</v>
      </c>
      <c r="E108" s="1">
        <f t="shared" ref="E108:E119" ca="1" si="9">EDATE(E107,12)</f>
        <v>44926</v>
      </c>
      <c r="F108" s="3">
        <f ca="1">_xll.BDH(J108,"PX_LAST",Swap_Date,Swap_Date)+M108</f>
        <v>-0.48249999999999998</v>
      </c>
      <c r="H108" s="3" t="s">
        <v>170</v>
      </c>
      <c r="I108" s="3" t="s">
        <v>176</v>
      </c>
      <c r="J108" s="3" t="s">
        <v>184</v>
      </c>
      <c r="M108" s="3">
        <f ca="1">_xll.BDP(N108,"PX_LAST")/100</f>
        <v>-0.11749999999999999</v>
      </c>
      <c r="N108" s="3" t="s">
        <v>311</v>
      </c>
    </row>
    <row r="109" spans="1:17" x14ac:dyDescent="0.25">
      <c r="A109" s="1">
        <f ca="1">EDATE(Swap_Date,3)</f>
        <v>43555</v>
      </c>
      <c r="B109" s="3">
        <f ca="1">_xll.BDH(H109,"PX_LAST",Cash_Date,Cash_Date)+$P$106</f>
        <v>-0.78839999999999999</v>
      </c>
      <c r="C109" s="1">
        <f t="shared" ca="1" si="8"/>
        <v>43817</v>
      </c>
      <c r="D109" s="3">
        <f ca="1">$P$106+100-_xll.BDH(I109,"PX_LAST",Future_Date,Future_Date)</f>
        <v>-0.79500000000000171</v>
      </c>
      <c r="E109" s="1">
        <f t="shared" ca="1" si="9"/>
        <v>45291</v>
      </c>
      <c r="F109" s="3">
        <f ca="1">_xll.BDH(J109,"PX_LAST",Swap_Date,Swap_Date)+M109</f>
        <v>-0.38750000000000001</v>
      </c>
      <c r="H109" s="3" t="s">
        <v>171</v>
      </c>
      <c r="I109" s="3" t="s">
        <v>177</v>
      </c>
      <c r="J109" s="3" t="s">
        <v>185</v>
      </c>
      <c r="M109" s="3">
        <f ca="1">_xll.BDP(N109,"PX_LAST")/100</f>
        <v>-0.13500000000000001</v>
      </c>
      <c r="N109" s="3" t="s">
        <v>312</v>
      </c>
    </row>
    <row r="110" spans="1:17" x14ac:dyDescent="0.25">
      <c r="A110" s="1">
        <f ca="1">EDATE(Swap_Date,6)</f>
        <v>43646</v>
      </c>
      <c r="B110" s="3">
        <f ca="1">_xll.BDH(H110,"PX_LAST",Cash_Date,Cash_Date)+$P$106</f>
        <v>-0.70719999999999994</v>
      </c>
      <c r="C110" s="1">
        <f t="shared" ca="1" si="8"/>
        <v>43908</v>
      </c>
      <c r="D110" s="3">
        <f ca="1">$P$106+100-_xll.BDH(I110,"PX_LAST",Future_Date,Future_Date)</f>
        <v>-0.78499999999999659</v>
      </c>
      <c r="E110" s="1">
        <f t="shared" ca="1" si="9"/>
        <v>45657</v>
      </c>
      <c r="F110" s="3">
        <f ca="1">_xll.BDH(J110,"PX_LAST",Swap_Date,Swap_Date)+M110</f>
        <v>-0.29249999999999998</v>
      </c>
      <c r="H110" s="3" t="s">
        <v>172</v>
      </c>
      <c r="I110" s="3" t="s">
        <v>178</v>
      </c>
      <c r="J110" s="3" t="s">
        <v>186</v>
      </c>
      <c r="M110" s="3">
        <f ca="1">_xll.BDP(N110,"PX_LAST")/100</f>
        <v>-0.1575</v>
      </c>
      <c r="N110" s="3" t="s">
        <v>313</v>
      </c>
    </row>
    <row r="111" spans="1:17" x14ac:dyDescent="0.25">
      <c r="A111" s="1">
        <f ca="1">EDATE(Swap_Date,12)</f>
        <v>43830</v>
      </c>
      <c r="B111" s="3">
        <f ca="1">_xll.BDH(H111,"PX_LAST",Cash_Date,Cash_Date)+$P$106</f>
        <v>-0.5776</v>
      </c>
      <c r="C111" s="1">
        <f t="shared" ca="1" si="8"/>
        <v>43999</v>
      </c>
      <c r="D111" s="3">
        <f ca="1">$P$106+100-_xll.BDH(I111,"PX_LAST",Future_Date,Future_Date)</f>
        <v>-0.72500000000000853</v>
      </c>
      <c r="E111" s="1">
        <f t="shared" ca="1" si="9"/>
        <v>46022</v>
      </c>
      <c r="F111" s="3">
        <f ca="1">_xll.BDH(J111,"PX_LAST",Swap_Date,Swap_Date)+M111</f>
        <v>-0.12499999999999999</v>
      </c>
      <c r="H111" s="3" t="s">
        <v>173</v>
      </c>
      <c r="I111" s="3" t="s">
        <v>179</v>
      </c>
      <c r="J111" s="3" t="s">
        <v>187</v>
      </c>
      <c r="M111" s="3">
        <f ca="1">_xll.BDP(N111,"PX_LAST")/100</f>
        <v>-0.17499999999999999</v>
      </c>
      <c r="N111" s="3" t="s">
        <v>314</v>
      </c>
    </row>
    <row r="112" spans="1:17" x14ac:dyDescent="0.25">
      <c r="A112" s="11">
        <f ca="1">EDATE(A111,10)</f>
        <v>44135</v>
      </c>
      <c r="B112" s="12">
        <f ca="1">B111</f>
        <v>-0.5776</v>
      </c>
      <c r="C112" s="1">
        <f t="shared" ca="1" si="8"/>
        <v>44090</v>
      </c>
      <c r="D112" s="3">
        <f ca="1">$P$106+100-_xll.BDH(I112,"PX_LAST",Future_Date,Future_Date)</f>
        <v>-0.68500000000000227</v>
      </c>
      <c r="E112" s="1">
        <f t="shared" ca="1" si="9"/>
        <v>46387</v>
      </c>
      <c r="F112" s="3">
        <f ca="1">_xll.BDH(J112,"PX_LAST",Swap_Date,Swap_Date)+M112</f>
        <v>-9.5000000000000001E-2</v>
      </c>
      <c r="I112" s="3" t="s">
        <v>180</v>
      </c>
      <c r="J112" s="3" t="s">
        <v>188</v>
      </c>
      <c r="M112" s="3">
        <f ca="1">_xll.BDP(N112,"PX_LAST")/100</f>
        <v>-0.1875</v>
      </c>
      <c r="N112" s="3" t="s">
        <v>315</v>
      </c>
    </row>
    <row r="113" spans="3:14" x14ac:dyDescent="0.25">
      <c r="C113" s="1">
        <f t="shared" ca="1" si="8"/>
        <v>44181</v>
      </c>
      <c r="D113" s="3">
        <f ca="1">$P$106+100-_xll.BDH(I113,"PX_LAST",Future_Date,Future_Date)</f>
        <v>-0.63500000000000512</v>
      </c>
      <c r="E113" s="1">
        <f t="shared" ca="1" si="9"/>
        <v>46752</v>
      </c>
      <c r="F113" s="3">
        <f ca="1">_xll.BDH(J113,"PX_LAST",Swap_Date,Swap_Date)+M113</f>
        <v>1.7499999999999988E-2</v>
      </c>
      <c r="I113" s="3" t="s">
        <v>181</v>
      </c>
      <c r="J113" s="3" t="s">
        <v>189</v>
      </c>
      <c r="M113" s="3">
        <f ca="1">_xll.BDP(N113,"PX_LAST")/100</f>
        <v>-0.2</v>
      </c>
      <c r="N113" s="3" t="s">
        <v>316</v>
      </c>
    </row>
    <row r="114" spans="3:14" x14ac:dyDescent="0.25">
      <c r="E114" s="1">
        <f t="shared" ca="1" si="9"/>
        <v>47118</v>
      </c>
      <c r="F114" s="3">
        <f ca="1">_xll.BDH(J114,"PX_LAST",Swap_Date,Swap_Date)+M114</f>
        <v>9.7500000000000003E-2</v>
      </c>
      <c r="J114" s="3" t="s">
        <v>190</v>
      </c>
      <c r="M114" s="3">
        <f ca="1">_xll.BDP(N114,"PX_LAST")/100</f>
        <v>-0.215</v>
      </c>
      <c r="N114" s="3" t="s">
        <v>317</v>
      </c>
    </row>
    <row r="115" spans="3:14" x14ac:dyDescent="0.25">
      <c r="E115" s="1">
        <f t="shared" ca="1" si="9"/>
        <v>47483</v>
      </c>
      <c r="F115" s="3">
        <f ca="1">_xll.BDH(J115,"PX_LAST",Swap_Date,Swap_Date)+M115</f>
        <v>0.21875</v>
      </c>
      <c r="J115" s="3" t="s">
        <v>191</v>
      </c>
      <c r="M115" s="18">
        <f ca="1">(M114+M116)/2</f>
        <v>-0.22375</v>
      </c>
      <c r="N115" s="3" t="s">
        <v>318</v>
      </c>
    </row>
    <row r="116" spans="3:14" x14ac:dyDescent="0.25">
      <c r="E116" s="1">
        <f t="shared" ca="1" si="9"/>
        <v>47848</v>
      </c>
      <c r="F116" s="3">
        <f ca="1">_xll.BDH(J116,"PX_LAST",Swap_Date,Swap_Date)+M116</f>
        <v>0.23500000000000001</v>
      </c>
      <c r="J116" s="3" t="s">
        <v>192</v>
      </c>
      <c r="M116" s="3">
        <f ca="1">_xll.BDP(N116,"PX_LAST")/100</f>
        <v>-0.23250000000000001</v>
      </c>
      <c r="N116" s="3" t="s">
        <v>319</v>
      </c>
    </row>
    <row r="117" spans="3:14" x14ac:dyDescent="0.25">
      <c r="E117" s="1">
        <f t="shared" ca="1" si="9"/>
        <v>48213</v>
      </c>
      <c r="F117" s="3">
        <f ca="1">_xll.BDH(J117,"PX_LAST",Swap_Date,Swap_Date)+M117</f>
        <v>0.35916666666666663</v>
      </c>
      <c r="J117" s="3" t="s">
        <v>193</v>
      </c>
      <c r="M117" s="18">
        <f ca="1">(M119-M116)/3+M116</f>
        <v>-0.22083333333333335</v>
      </c>
      <c r="N117" s="3" t="s">
        <v>320</v>
      </c>
    </row>
    <row r="118" spans="3:14" x14ac:dyDescent="0.25">
      <c r="E118" s="1">
        <f t="shared" ca="1" si="9"/>
        <v>48579</v>
      </c>
      <c r="F118" s="3">
        <f ca="1">_xll.BDH(J118,"PX_LAST",Swap_Date,Swap_Date)+M118</f>
        <v>0.36833333333333335</v>
      </c>
      <c r="J118" s="3" t="s">
        <v>194</v>
      </c>
      <c r="M118" s="18">
        <f ca="1">(M119-M116)/3*2+M116</f>
        <v>-0.20916666666666667</v>
      </c>
      <c r="N118" s="3" t="s">
        <v>321</v>
      </c>
    </row>
    <row r="119" spans="3:14" x14ac:dyDescent="0.25">
      <c r="E119" s="1">
        <f t="shared" ca="1" si="9"/>
        <v>48944</v>
      </c>
      <c r="F119" s="3">
        <f ca="1">_xll.BDH(J119,"PX_LAST",Swap_Date,Swap_Date)+M119</f>
        <v>0.41749999999999998</v>
      </c>
      <c r="J119" s="3" t="s">
        <v>195</v>
      </c>
      <c r="M119" s="3">
        <f ca="1">_xll.BDP(N119,"PX_LAST")/100</f>
        <v>-0.19750000000000001</v>
      </c>
      <c r="N119" s="3" t="s">
        <v>322</v>
      </c>
    </row>
    <row r="120" spans="3:14" x14ac:dyDescent="0.25">
      <c r="E120" s="1">
        <f ca="1">EDATE(E119,60)</f>
        <v>50770</v>
      </c>
      <c r="F120" s="3">
        <f ca="1">_xll.BDH(J120,"PX_LAST",Swap_Date,Swap_Date)+M120</f>
        <v>0.5988</v>
      </c>
      <c r="J120" s="3" t="s">
        <v>196</v>
      </c>
      <c r="M120" s="3">
        <f ca="1">_xll.BDP(N120,"PX_LAST")/100</f>
        <v>-0.17</v>
      </c>
      <c r="N120" s="3" t="s">
        <v>323</v>
      </c>
    </row>
    <row r="121" spans="3:14" x14ac:dyDescent="0.25">
      <c r="E121" s="1">
        <f ca="1">EDATE(E120,60)</f>
        <v>52596</v>
      </c>
      <c r="F121" s="3">
        <f ca="1">_xll.BDH(J121,"PX_LAST",Swap_Date,Swap_Date)+M121</f>
        <v>0.65375000000000005</v>
      </c>
      <c r="J121" s="3" t="s">
        <v>197</v>
      </c>
      <c r="M121" s="18">
        <f ca="1">(M120+M122)/2</f>
        <v>-0.14624999999999999</v>
      </c>
      <c r="N121" s="3" t="s">
        <v>324</v>
      </c>
    </row>
    <row r="122" spans="3:14" x14ac:dyDescent="0.25">
      <c r="E122" s="1">
        <f ca="1">EDATE(E121,60)</f>
        <v>54423</v>
      </c>
      <c r="F122" s="3">
        <f ca="1">_xll.BDH(J122,"PX_LAST",Swap_Date,Swap_Date)+M122</f>
        <v>0.69249999999999989</v>
      </c>
      <c r="J122" s="3" t="s">
        <v>198</v>
      </c>
      <c r="M122" s="3">
        <f ca="1">_xll.BDP(N122,"PX_LAST")/100</f>
        <v>-0.1225</v>
      </c>
      <c r="N122" s="3" t="s">
        <v>325</v>
      </c>
    </row>
    <row r="123" spans="3:14" x14ac:dyDescent="0.25">
      <c r="E123" s="1">
        <f ca="1">EDATE(E122,120)</f>
        <v>58075</v>
      </c>
      <c r="F123" s="3">
        <f ca="1">_xll.BDH(J123,"PX_LAST",Swap_Date,Swap_Date)+M123</f>
        <v>0.75249999999999995</v>
      </c>
      <c r="J123" s="3" t="s">
        <v>199</v>
      </c>
      <c r="M123" s="18">
        <f ca="1">$M$122</f>
        <v>-0.1225</v>
      </c>
      <c r="N123" s="3" t="s">
        <v>326</v>
      </c>
    </row>
    <row r="124" spans="3:14" x14ac:dyDescent="0.25">
      <c r="E124" s="1">
        <f ca="1">EDATE(E123,12)</f>
        <v>58440</v>
      </c>
      <c r="F124" s="3">
        <f ca="1">F123</f>
        <v>0.75249999999999995</v>
      </c>
    </row>
    <row r="125" spans="3:14" x14ac:dyDescent="0.25">
      <c r="E125" s="1"/>
    </row>
    <row r="129" spans="1:17" x14ac:dyDescent="0.25">
      <c r="A129" s="8" t="s">
        <v>21</v>
      </c>
      <c r="B129" s="9">
        <v>7</v>
      </c>
      <c r="C129" s="9"/>
      <c r="D129" s="9">
        <v>7</v>
      </c>
      <c r="E129" s="9"/>
      <c r="F129" s="9">
        <v>100</v>
      </c>
    </row>
    <row r="130" spans="1:17" x14ac:dyDescent="0.25">
      <c r="A130" s="3" t="s">
        <v>29</v>
      </c>
      <c r="B130" s="3" t="s">
        <v>30</v>
      </c>
      <c r="C130" s="3" t="s">
        <v>31</v>
      </c>
      <c r="D130" s="3" t="s">
        <v>32</v>
      </c>
      <c r="E130" s="3" t="s">
        <v>33</v>
      </c>
      <c r="F130" s="3" t="s">
        <v>34</v>
      </c>
      <c r="M130" s="5" t="s">
        <v>248</v>
      </c>
      <c r="N130" s="5" t="s">
        <v>35</v>
      </c>
    </row>
    <row r="131" spans="1:17" x14ac:dyDescent="0.25">
      <c r="A131" s="1">
        <f ca="1">WORKDAY(Swap_Date,1)</f>
        <v>43466</v>
      </c>
      <c r="B131" s="3">
        <f ca="1">_xll.BDH(H131,"PX_LAST",Cash_Date,Cash_Date)+$P$131</f>
        <v>1.5449999999999999</v>
      </c>
      <c r="C131" s="1">
        <f ca="1">nextimm(Swap_Date)</f>
        <v>43544</v>
      </c>
      <c r="D131" s="3">
        <f ca="1">100-IF(ISNUMBER(_xll.BDH(I131,"PX_LAST",Future_Date,Future_Date)),_xll.BDH(I131,"PX_LAST",Future_Date,Future_Date)+$P$131,100-B134)</f>
        <v>2.105000000000004</v>
      </c>
      <c r="E131" s="1">
        <f ca="1">EDATE(Swap_Date,24)</f>
        <v>44196</v>
      </c>
      <c r="F131" s="3">
        <f ca="1">_xll.BDH(J131,"PX_LAST",Swap_Date,Swap_Date)+M131</f>
        <v>2.0829999999999997</v>
      </c>
      <c r="H131" s="3" t="s">
        <v>200</v>
      </c>
      <c r="I131" s="3" t="s">
        <v>206</v>
      </c>
      <c r="J131" s="3" t="s">
        <v>214</v>
      </c>
      <c r="M131" s="3">
        <f ca="1">_xll.BDP(N131,"PX_LAST")/100</f>
        <v>-0.16250000000000001</v>
      </c>
      <c r="N131" s="3" t="s">
        <v>327</v>
      </c>
      <c r="P131" s="3">
        <f ca="1">_xll.BDP(Q131,"PX_LAST")/100</f>
        <v>-0.20499999999999999</v>
      </c>
      <c r="Q131" s="3" t="s">
        <v>365</v>
      </c>
    </row>
    <row r="132" spans="1:17" x14ac:dyDescent="0.25">
      <c r="A132" s="1">
        <f ca="1">EDATE(Swap_Date,1)</f>
        <v>43496</v>
      </c>
      <c r="B132" s="3">
        <f ca="1">_xll.BDH(H132,"PX_LAST",Cash_Date,Cash_Date)+$P$131</f>
        <v>2.0924999999999998</v>
      </c>
      <c r="C132" s="1">
        <f ca="1">nextimm(C131+1)</f>
        <v>43635</v>
      </c>
      <c r="D132" s="3" t="e">
        <f ca="1">$P$131+100-_xll.BDH(I132,"PX_LAST",Future_Date,Future_Date)</f>
        <v>#VALUE!</v>
      </c>
      <c r="E132" s="1">
        <f ca="1">EDATE(E131,12)</f>
        <v>44561</v>
      </c>
      <c r="F132" s="3">
        <f ca="1">_xll.BDH(J132,"PX_LAST",Swap_Date,Swap_Date)+M132</f>
        <v>2.1174499999999998</v>
      </c>
      <c r="H132" s="3" t="s">
        <v>201</v>
      </c>
      <c r="I132" s="3" t="s">
        <v>207</v>
      </c>
      <c r="J132" s="3" t="s">
        <v>215</v>
      </c>
      <c r="M132" s="18">
        <f ca="1">(M131+M133)/2</f>
        <v>-0.13125000000000001</v>
      </c>
      <c r="N132" s="3" t="s">
        <v>328</v>
      </c>
    </row>
    <row r="133" spans="1:17" x14ac:dyDescent="0.25">
      <c r="A133" s="1">
        <f ca="1">EDATE(Swap_Date,2)</f>
        <v>43524</v>
      </c>
      <c r="B133" s="3">
        <f ca="1">_xll.BDH(H133,"PX_LAST",Cash_Date,Cash_Date)+$P$131</f>
        <v>2.09</v>
      </c>
      <c r="C133" s="1">
        <f t="shared" ref="C133:C138" ca="1" si="10">nextimm(C132+1)</f>
        <v>43726</v>
      </c>
      <c r="D133" s="3">
        <f ca="1">$P$131+100-_xll.BDH(I133,"PX_LAST",Future_Date,Future_Date)</f>
        <v>2.0450000000000017</v>
      </c>
      <c r="E133" s="1">
        <f t="shared" ref="E133:E139" ca="1" si="11">EDATE(E132,12)</f>
        <v>44926</v>
      </c>
      <c r="F133" s="3">
        <f ca="1">_xll.BDH(J133,"PX_LAST",Swap_Date,Swap_Date)+M133</f>
        <v>2.1617999999999999</v>
      </c>
      <c r="H133" s="3" t="s">
        <v>202</v>
      </c>
      <c r="I133" s="3" t="s">
        <v>208</v>
      </c>
      <c r="J133" s="3" t="s">
        <v>216</v>
      </c>
      <c r="M133" s="3">
        <f ca="1">_xll.BDP(N133,"PX_LAST")/100</f>
        <v>-0.1</v>
      </c>
      <c r="N133" s="3" t="s">
        <v>329</v>
      </c>
    </row>
    <row r="134" spans="1:17" x14ac:dyDescent="0.25">
      <c r="A134" s="1">
        <f ca="1">EDATE(Swap_Date,3)</f>
        <v>43555</v>
      </c>
      <c r="B134" s="3">
        <f ca="1">_xll.BDH(H134,"PX_LAST",Cash_Date,Cash_Date)+$P$131</f>
        <v>2.105</v>
      </c>
      <c r="C134" s="1">
        <f t="shared" ca="1" si="10"/>
        <v>43817</v>
      </c>
      <c r="D134" s="3">
        <f ca="1">$P$131+100-_xll.BDH(I134,"PX_LAST",Future_Date,Future_Date)</f>
        <v>2.0300000000000011</v>
      </c>
      <c r="E134" s="1">
        <f t="shared" ca="1" si="11"/>
        <v>45291</v>
      </c>
      <c r="F134" s="3">
        <f ca="1">_xll.BDH(J134,"PX_LAST",Swap_Date,Swap_Date)+M134</f>
        <v>2.2124999999999999</v>
      </c>
      <c r="H134" s="3" t="s">
        <v>203</v>
      </c>
      <c r="I134" s="3" t="s">
        <v>209</v>
      </c>
      <c r="J134" s="3" t="s">
        <v>217</v>
      </c>
      <c r="M134" s="3">
        <f ca="1">_xll.BDP(N134,"PX_LAST")/100</f>
        <v>-7.4999999999999997E-2</v>
      </c>
      <c r="N134" s="3" t="s">
        <v>330</v>
      </c>
    </row>
    <row r="135" spans="1:17" x14ac:dyDescent="0.25">
      <c r="A135" s="1">
        <f ca="1">EDATE(Swap_Date,6)</f>
        <v>43646</v>
      </c>
      <c r="B135" s="3">
        <f ca="1">_xll.BDH(H135,"PX_LAST",Cash_Date,Cash_Date)+$P$131</f>
        <v>2.1349999999999998</v>
      </c>
      <c r="C135" s="1">
        <f t="shared" ca="1" si="10"/>
        <v>43908</v>
      </c>
      <c r="D135" s="3">
        <f ca="1">$P$131+100-_xll.BDH(I135,"PX_LAST",Future_Date,Future_Date)</f>
        <v>2.0349999999999966</v>
      </c>
      <c r="E135" s="1">
        <f t="shared" ca="1" si="11"/>
        <v>45657</v>
      </c>
      <c r="F135" s="3">
        <f ca="1">_xll.BDH(J135,"PX_LAST",Swap_Date,Swap_Date)+M135</f>
        <v>2.2559</v>
      </c>
      <c r="H135" s="3" t="s">
        <v>204</v>
      </c>
      <c r="I135" s="3" t="s">
        <v>210</v>
      </c>
      <c r="J135" s="3" t="s">
        <v>218</v>
      </c>
      <c r="M135" s="3">
        <f ca="1">_xll.BDP(N135,"PX_LAST")/100</f>
        <v>-6.5000000000000002E-2</v>
      </c>
      <c r="N135" s="3" t="s">
        <v>331</v>
      </c>
    </row>
    <row r="136" spans="1:17" x14ac:dyDescent="0.25">
      <c r="A136" s="1">
        <f ca="1">EDATE(Swap_Date,12)</f>
        <v>43830</v>
      </c>
      <c r="B136" s="3">
        <f ca="1">_xll.BDH(H136,"PX_LAST",Cash_Date,Cash_Date)+$P$131</f>
        <v>2.3362499999999997</v>
      </c>
      <c r="C136" s="1">
        <f t="shared" ca="1" si="10"/>
        <v>43999</v>
      </c>
      <c r="D136" s="3">
        <f ca="1">$P$131+100-_xll.BDH(I136,"PX_LAST",Future_Date,Future_Date)</f>
        <v>2.0400000000000063</v>
      </c>
      <c r="E136" s="1">
        <f t="shared" ca="1" si="11"/>
        <v>46022</v>
      </c>
      <c r="F136" s="3">
        <f ca="1">_xll.BDH(J136,"PX_LAST",Swap_Date,Swap_Date)+M136</f>
        <v>2.3055500000000002</v>
      </c>
      <c r="H136" s="3" t="s">
        <v>205</v>
      </c>
      <c r="I136" s="3" t="s">
        <v>211</v>
      </c>
      <c r="J136" s="3" t="s">
        <v>219</v>
      </c>
      <c r="M136" s="3">
        <f ca="1">_xll.BDP(N136,"PX_LAST")/100</f>
        <v>-5.3749999999999999E-2</v>
      </c>
      <c r="N136" s="3" t="s">
        <v>332</v>
      </c>
    </row>
    <row r="137" spans="1:17" x14ac:dyDescent="0.25">
      <c r="A137" s="11">
        <f ca="1">EDATE(A136,10)</f>
        <v>44135</v>
      </c>
      <c r="B137" s="12">
        <f ca="1">B136</f>
        <v>2.3362499999999997</v>
      </c>
      <c r="C137" s="1">
        <f t="shared" ca="1" si="10"/>
        <v>44090</v>
      </c>
      <c r="D137" s="3">
        <f ca="1">$P$131+100-_xll.BDH(I137,"PX_LAST",Future_Date,Future_Date)</f>
        <v>2.0250000000000057</v>
      </c>
      <c r="E137" s="1">
        <f t="shared" ca="1" si="11"/>
        <v>46387</v>
      </c>
      <c r="F137" s="3">
        <f ca="1">_xll.BDH(J137,"PX_LAST",Swap_Date,Swap_Date)+M137</f>
        <v>2.3464499999999999</v>
      </c>
      <c r="I137" s="3" t="s">
        <v>212</v>
      </c>
      <c r="J137" s="3" t="s">
        <v>220</v>
      </c>
      <c r="M137" s="3">
        <f ca="1">_xll.BDP(N137,"PX_LAST")/100</f>
        <v>-5.1249999999999997E-2</v>
      </c>
      <c r="N137" s="3" t="s">
        <v>333</v>
      </c>
    </row>
    <row r="138" spans="1:17" x14ac:dyDescent="0.25">
      <c r="C138" s="1">
        <f t="shared" ca="1" si="10"/>
        <v>44181</v>
      </c>
      <c r="D138" s="3">
        <f ca="1">$P$131+100-_xll.BDH(I138,"PX_LAST",Future_Date,Future_Date)</f>
        <v>2.0150000000000006</v>
      </c>
      <c r="E138" s="1">
        <f t="shared" ca="1" si="11"/>
        <v>46752</v>
      </c>
      <c r="F138" s="3">
        <f ca="1">_xll.BDH(J138,"PX_LAST",Swap_Date,Swap_Date)+M138</f>
        <v>2.3873500000000001</v>
      </c>
      <c r="I138" s="3" t="s">
        <v>213</v>
      </c>
      <c r="J138" s="3" t="s">
        <v>221</v>
      </c>
      <c r="M138" s="3">
        <f ca="1">_xll.BDP(N138,"PX_LAST")/100</f>
        <v>-4.6249999999999999E-2</v>
      </c>
      <c r="N138" s="3" t="s">
        <v>334</v>
      </c>
    </row>
    <row r="139" spans="1:17" x14ac:dyDescent="0.25">
      <c r="E139" s="1">
        <f t="shared" ca="1" si="11"/>
        <v>47118</v>
      </c>
      <c r="F139" s="3">
        <f ca="1">_xll.BDH(J139,"PX_LAST",Swap_Date,Swap_Date)+M139</f>
        <v>2.4325000000000001</v>
      </c>
      <c r="J139" s="3" t="s">
        <v>222</v>
      </c>
      <c r="M139" s="3">
        <f ca="1">_xll.BDP(N139,"PX_LAST")/100</f>
        <v>-4.2500000000000003E-2</v>
      </c>
      <c r="N139" s="3" t="s">
        <v>335</v>
      </c>
    </row>
    <row r="140" spans="1:17" x14ac:dyDescent="0.25">
      <c r="E140" s="1">
        <f ca="1">EDATE(E139,24)</f>
        <v>47848</v>
      </c>
      <c r="F140" s="3">
        <f ca="1">_xll.BDH(J140,"PX_LAST",Swap_Date,Swap_Date)+M140</f>
        <v>2.5026999999999999</v>
      </c>
      <c r="J140" s="3" t="s">
        <v>223</v>
      </c>
      <c r="M140" s="3">
        <f ca="1">_xll.BDP(N140,"PX_LAST")/100</f>
        <v>-3.85E-2</v>
      </c>
      <c r="N140" s="3" t="s">
        <v>336</v>
      </c>
    </row>
    <row r="141" spans="1:17" x14ac:dyDescent="0.25">
      <c r="E141" s="1">
        <f ca="1">EDATE(E140,36)</f>
        <v>48944</v>
      </c>
      <c r="F141" s="3">
        <f ca="1">_xll.BDH(J141,"PX_LAST",Swap_Date,Swap_Date)+M141</f>
        <v>2.5644500000000003</v>
      </c>
      <c r="J141" s="3" t="s">
        <v>224</v>
      </c>
      <c r="M141" s="3">
        <f ca="1">_xll.BDP(N141,"PX_LAST")/100</f>
        <v>-5.4749999999999993E-2</v>
      </c>
      <c r="N141" s="3" t="s">
        <v>337</v>
      </c>
    </row>
    <row r="142" spans="1:17" x14ac:dyDescent="0.25">
      <c r="E142" s="1">
        <f ca="1">EDATE(E141,60)</f>
        <v>50770</v>
      </c>
      <c r="F142" s="3">
        <f ca="1">_xll.BDH(J142,"PX_LAST",Swap_Date,Swap_Date)+M142</f>
        <v>2.5925000000000002</v>
      </c>
      <c r="J142" s="3" t="s">
        <v>225</v>
      </c>
      <c r="M142" s="3">
        <f ca="1">_xll.BDP(N142,"PX_LAST")/100</f>
        <v>-8.5999999999999993E-2</v>
      </c>
      <c r="N142" s="3" t="s">
        <v>338</v>
      </c>
    </row>
    <row r="143" spans="1:17" x14ac:dyDescent="0.25">
      <c r="E143" s="1">
        <f ca="1">EDATE(E142,60)</f>
        <v>52596</v>
      </c>
      <c r="F143" s="3">
        <f ca="1">_xll.BDH(J143,"PX_LAST",Swap_Date,Swap_Date)+M143</f>
        <v>2.5600999999999998</v>
      </c>
      <c r="J143" s="3" t="s">
        <v>226</v>
      </c>
      <c r="M143" s="18">
        <f ca="1">$M$122</f>
        <v>-0.1225</v>
      </c>
      <c r="N143" s="3" t="s">
        <v>339</v>
      </c>
    </row>
    <row r="144" spans="1:17" x14ac:dyDescent="0.25">
      <c r="E144" s="1">
        <f ca="1">EDATE(E143,60)</f>
        <v>54423</v>
      </c>
      <c r="F144" s="3">
        <f ca="1">_xll.BDH(J144,"PX_LAST",Swap_Date,Swap_Date)+M144</f>
        <v>2.5619999999999998</v>
      </c>
      <c r="J144" s="3" t="s">
        <v>227</v>
      </c>
      <c r="M144" s="18">
        <f ca="1">$M$122</f>
        <v>-0.1225</v>
      </c>
      <c r="N144" s="3" t="s">
        <v>340</v>
      </c>
    </row>
    <row r="145" spans="1:22" x14ac:dyDescent="0.25">
      <c r="E145" s="1">
        <f ca="1">EDATE(E144,120)</f>
        <v>58075</v>
      </c>
      <c r="F145" s="3">
        <f ca="1">_xll.BDH(J145,"PX_LAST",Swap_Date,Swap_Date)+M145</f>
        <v>2.5569999999999999</v>
      </c>
      <c r="J145" s="3" t="s">
        <v>228</v>
      </c>
      <c r="M145" s="18">
        <f ca="1">$M$122</f>
        <v>-0.1225</v>
      </c>
      <c r="N145" s="3" t="s">
        <v>341</v>
      </c>
    </row>
    <row r="146" spans="1:22" x14ac:dyDescent="0.25">
      <c r="E146" s="1">
        <f ca="1">EDATE(E145,12)</f>
        <v>58440</v>
      </c>
      <c r="F146" s="3">
        <f ca="1">F145</f>
        <v>2.5569999999999999</v>
      </c>
    </row>
    <row r="154" spans="1:22" ht="15.75" x14ac:dyDescent="0.25">
      <c r="A154" s="8" t="s">
        <v>230</v>
      </c>
      <c r="B154" s="9">
        <v>7</v>
      </c>
      <c r="C154" s="9"/>
      <c r="D154" s="9">
        <v>0</v>
      </c>
      <c r="E154" s="9"/>
      <c r="F154" s="9">
        <v>100</v>
      </c>
      <c r="M154" s="2">
        <v>43430</v>
      </c>
      <c r="S154" s="21" t="s">
        <v>482</v>
      </c>
    </row>
    <row r="155" spans="1:22" ht="15.75" x14ac:dyDescent="0.25">
      <c r="A155" s="3" t="s">
        <v>29</v>
      </c>
      <c r="B155" s="3" t="s">
        <v>30</v>
      </c>
      <c r="C155" s="3" t="s">
        <v>31</v>
      </c>
      <c r="D155" s="3" t="s">
        <v>32</v>
      </c>
      <c r="E155" s="3" t="s">
        <v>33</v>
      </c>
      <c r="F155" s="3" t="s">
        <v>34</v>
      </c>
      <c r="M155" s="5" t="s">
        <v>248</v>
      </c>
      <c r="N155" s="5" t="s">
        <v>35</v>
      </c>
      <c r="S155" s="21" t="s">
        <v>481</v>
      </c>
    </row>
    <row r="156" spans="1:22" x14ac:dyDescent="0.25">
      <c r="A156" s="1">
        <f ca="1">WORKDAY(Swap_Date,1)</f>
        <v>43466</v>
      </c>
      <c r="B156" s="3">
        <f ca="1">B157</f>
        <v>5.5632000000000001</v>
      </c>
      <c r="C156" s="1">
        <f ca="1">nextimm(Swap_Date)</f>
        <v>43544</v>
      </c>
      <c r="D156" s="3" t="s">
        <v>246</v>
      </c>
      <c r="E156" s="1">
        <f ca="1">EDATE(Swap_Date,12)</f>
        <v>43830</v>
      </c>
      <c r="F156" s="3">
        <f>T156</f>
        <v>5.7073999999999998</v>
      </c>
      <c r="I156" s="3">
        <f ca="1">_xll.BDH(J156,"PX_LAST",Swap_Date,Swap_Date)</f>
        <v>6.5488</v>
      </c>
      <c r="J156" s="3" t="s">
        <v>236</v>
      </c>
      <c r="M156" s="3" t="e">
        <f ca="1">_xll.BDH(N156,"PX_LAST",Swap_Date,Swap_Date)/100</f>
        <v>#VALUE!</v>
      </c>
      <c r="N156" s="3" t="s">
        <v>342</v>
      </c>
      <c r="P156" s="3" t="e">
        <f ca="1">_xll.BDH(Q156,"PX_LAST",Cash_Date,Cash_Date)/100</f>
        <v>#VALUE!</v>
      </c>
      <c r="Q156" s="3" t="s">
        <v>367</v>
      </c>
      <c r="R156" s="3">
        <f ca="1">I156-F156</f>
        <v>0.84140000000000015</v>
      </c>
      <c r="S156" s="12">
        <v>5.7073999999999998</v>
      </c>
      <c r="T156" s="12">
        <f>S156</f>
        <v>5.7073999999999998</v>
      </c>
    </row>
    <row r="157" spans="1:22" x14ac:dyDescent="0.25">
      <c r="A157" s="1">
        <f ca="1">EDATE(Swap_Date,1)</f>
        <v>43496</v>
      </c>
      <c r="B157" s="3">
        <f t="shared" ref="B157:B162" ca="1" si="12">U157</f>
        <v>5.5632000000000001</v>
      </c>
      <c r="C157" s="1">
        <f ca="1">nextimm(C156+1)</f>
        <v>43635</v>
      </c>
      <c r="D157" s="3" t="s">
        <v>246</v>
      </c>
      <c r="E157" s="1">
        <f ca="1">EDATE(E156,12)</f>
        <v>44196</v>
      </c>
      <c r="F157" s="3">
        <f t="shared" ref="F157:F172" si="13">T157</f>
        <v>6.5526</v>
      </c>
      <c r="G157" s="3">
        <f t="shared" ref="G157:G164" si="14">100*(F157-F156)</f>
        <v>84.52000000000001</v>
      </c>
      <c r="H157" s="3" t="s">
        <v>231</v>
      </c>
      <c r="I157" s="3">
        <f ca="1">_xll.BDH(J157,"PX_LAST",Swap_Date,Swap_Date)</f>
        <v>7.3567999999999998</v>
      </c>
      <c r="J157" s="3" t="s">
        <v>237</v>
      </c>
      <c r="M157" s="3" t="e">
        <f ca="1">_xll.BDH(N157,"PX_LAST",Swap_Date,Swap_Date)/100</f>
        <v>#VALUE!</v>
      </c>
      <c r="N157" s="3" t="s">
        <v>343</v>
      </c>
      <c r="S157" s="12">
        <v>6.5526</v>
      </c>
      <c r="T157" s="12">
        <f t="shared" ref="T157:T164" si="15">S157</f>
        <v>6.5526</v>
      </c>
      <c r="U157" s="3">
        <f ca="1">V157-$R$156</f>
        <v>5.5632000000000001</v>
      </c>
      <c r="V157" s="3">
        <f ca="1">_xll.BDH(H157,"PX_LAST",Cash_Date,Cash_Date)</f>
        <v>6.4046000000000003</v>
      </c>
    </row>
    <row r="158" spans="1:22" x14ac:dyDescent="0.25">
      <c r="A158" s="1">
        <f ca="1">EDATE(Swap_Date,2)</f>
        <v>43524</v>
      </c>
      <c r="B158" s="3">
        <f t="shared" ca="1" si="12"/>
        <v>5.5758999999999999</v>
      </c>
      <c r="C158" s="1">
        <f t="shared" ref="C158:C163" ca="1" si="16">nextimm(C157+1)</f>
        <v>43726</v>
      </c>
      <c r="D158" s="3" t="s">
        <v>246</v>
      </c>
      <c r="E158" s="1">
        <f ca="1">EDATE(E157,12)</f>
        <v>44561</v>
      </c>
      <c r="F158" s="3">
        <f t="shared" si="13"/>
        <v>7.1788999999999996</v>
      </c>
      <c r="G158" s="3">
        <f t="shared" si="14"/>
        <v>62.629999999999967</v>
      </c>
      <c r="H158" s="3" t="s">
        <v>232</v>
      </c>
      <c r="I158" s="3">
        <f ca="1">_xll.BDH(J158,"PX_LAST",Swap_Date,Swap_Date)</f>
        <v>8.0782000000000007</v>
      </c>
      <c r="J158" s="3" t="s">
        <v>238</v>
      </c>
      <c r="M158" s="3" t="e">
        <f ca="1">_xll.BDH(N158,"PX_LAST",Swap_Date,Swap_Date)/100</f>
        <v>#VALUE!</v>
      </c>
      <c r="N158" s="3" t="s">
        <v>344</v>
      </c>
      <c r="S158" s="12">
        <v>7.1788999999999996</v>
      </c>
      <c r="T158" s="12">
        <f t="shared" si="15"/>
        <v>7.1788999999999996</v>
      </c>
      <c r="U158" s="3">
        <f t="shared" ref="U158:U162" ca="1" si="17">V158-$R$156</f>
        <v>5.5758999999999999</v>
      </c>
      <c r="V158" s="3">
        <f ca="1">IF(ISNUMBER(_xll.BDH(H158,"PX_LAST",Cash_Date,Cash_Date)),_xll.BDH(H158,"PX_LAST",Cash_Date,Cash_Date),0.5*(V157+V159))</f>
        <v>6.4173</v>
      </c>
    </row>
    <row r="159" spans="1:22" x14ac:dyDescent="0.25">
      <c r="A159" s="1">
        <f ca="1">EDATE(Swap_Date,3)</f>
        <v>43555</v>
      </c>
      <c r="B159" s="3">
        <f t="shared" ca="1" si="12"/>
        <v>5.5885999999999996</v>
      </c>
      <c r="C159" s="1">
        <f t="shared" ca="1" si="16"/>
        <v>43817</v>
      </c>
      <c r="D159" s="3" t="s">
        <v>246</v>
      </c>
      <c r="E159" s="1">
        <f t="shared" ref="E159:E165" ca="1" si="18">EDATE(E158,12)</f>
        <v>44926</v>
      </c>
      <c r="F159" s="3">
        <f t="shared" si="13"/>
        <v>7.5522999999999998</v>
      </c>
      <c r="G159" s="3">
        <f t="shared" si="14"/>
        <v>37.340000000000018</v>
      </c>
      <c r="H159" s="3" t="s">
        <v>233</v>
      </c>
      <c r="I159" s="3">
        <f ca="1">_xll.BDH(J159,"PX_LAST",Swap_Date,Swap_Date)</f>
        <v>8.5319000000000003</v>
      </c>
      <c r="J159" s="3" t="s">
        <v>239</v>
      </c>
      <c r="M159" s="3" t="e">
        <f ca="1">_xll.BDH(N159,"PX_LAST",Swap_Date,Swap_Date)/100</f>
        <v>#VALUE!</v>
      </c>
      <c r="N159" s="3" t="s">
        <v>345</v>
      </c>
      <c r="S159" s="12">
        <v>7.5522999999999998</v>
      </c>
      <c r="T159" s="12">
        <f t="shared" si="15"/>
        <v>7.5522999999999998</v>
      </c>
      <c r="U159" s="3">
        <f t="shared" ca="1" si="17"/>
        <v>5.5885999999999996</v>
      </c>
      <c r="V159" s="3">
        <f ca="1">_xll.BDH(H159,"PX_LAST",Cash_Date,Cash_Date)</f>
        <v>6.43</v>
      </c>
    </row>
    <row r="160" spans="1:22" x14ac:dyDescent="0.25">
      <c r="A160" s="1">
        <f ca="1">EDATE(Swap_Date,6)</f>
        <v>43646</v>
      </c>
      <c r="B160" s="3">
        <f t="shared" ca="1" si="12"/>
        <v>5.6135999999999999</v>
      </c>
      <c r="C160" s="1">
        <f t="shared" ca="1" si="16"/>
        <v>43908</v>
      </c>
      <c r="D160" s="3" t="s">
        <v>246</v>
      </c>
      <c r="E160" s="1">
        <f t="shared" ca="1" si="18"/>
        <v>45291</v>
      </c>
      <c r="F160" s="3">
        <f t="shared" si="13"/>
        <v>7.8151999999999999</v>
      </c>
      <c r="G160" s="3">
        <f t="shared" si="14"/>
        <v>26.290000000000013</v>
      </c>
      <c r="H160" s="3" t="s">
        <v>234</v>
      </c>
      <c r="I160" s="3">
        <f ca="1">_xll.BDH(J160,"PX_LAST",Swap_Date,Swap_Date)</f>
        <v>8.86</v>
      </c>
      <c r="J160" s="3" t="s">
        <v>240</v>
      </c>
      <c r="M160" s="3" t="e">
        <f ca="1">_xll.BDH(N160,"PX_LAST",Swap_Date,Swap_Date)/100</f>
        <v>#VALUE!</v>
      </c>
      <c r="N160" s="3" t="s">
        <v>346</v>
      </c>
      <c r="S160" s="12">
        <v>7.8151999999999999</v>
      </c>
      <c r="T160" s="12">
        <f t="shared" si="15"/>
        <v>7.8151999999999999</v>
      </c>
      <c r="U160" s="3">
        <f t="shared" ca="1" si="17"/>
        <v>5.6135999999999999</v>
      </c>
      <c r="V160" s="3">
        <f ca="1">_xll.BDH(H160,"PX_LAST",Cash_Date,Cash_Date)</f>
        <v>6.4550000000000001</v>
      </c>
    </row>
    <row r="161" spans="1:22" x14ac:dyDescent="0.25">
      <c r="A161" s="1">
        <f ca="1">EDATE(Swap_Date,12)</f>
        <v>43830</v>
      </c>
      <c r="B161" s="3">
        <f t="shared" ca="1" si="12"/>
        <v>5.6468999999999996</v>
      </c>
      <c r="C161" s="1">
        <f t="shared" ca="1" si="16"/>
        <v>43999</v>
      </c>
      <c r="D161" s="3" t="s">
        <v>246</v>
      </c>
      <c r="E161" s="1">
        <f t="shared" ca="1" si="18"/>
        <v>45657</v>
      </c>
      <c r="F161" s="3">
        <f t="shared" si="13"/>
        <v>8.0724999999999998</v>
      </c>
      <c r="G161" s="3">
        <f t="shared" si="14"/>
        <v>25.729999999999986</v>
      </c>
      <c r="H161" s="3" t="s">
        <v>235</v>
      </c>
      <c r="I161" s="3">
        <f ca="1">_xll.BDH(J161,"PX_LAST",Swap_Date,Swap_Date)</f>
        <v>9.0991</v>
      </c>
      <c r="J161" s="3" t="s">
        <v>241</v>
      </c>
      <c r="M161" s="3" t="e">
        <f ca="1">_xll.BDH(N161,"PX_LAST",Swap_Date,Swap_Date)/100</f>
        <v>#VALUE!</v>
      </c>
      <c r="N161" s="3" t="s">
        <v>347</v>
      </c>
      <c r="S161" s="12">
        <v>8.0724999999999998</v>
      </c>
      <c r="T161" s="12">
        <f t="shared" si="15"/>
        <v>8.0724999999999998</v>
      </c>
      <c r="U161" s="3">
        <f t="shared" ca="1" si="17"/>
        <v>5.6468999999999996</v>
      </c>
      <c r="V161" s="3">
        <f ca="1">_xll.BDH(H161,"PX_LAST",Cash_Date,Cash_Date)</f>
        <v>6.4882999999999997</v>
      </c>
    </row>
    <row r="162" spans="1:22" x14ac:dyDescent="0.25">
      <c r="A162" s="11">
        <f ca="1">EDATE(A161,10)</f>
        <v>44135</v>
      </c>
      <c r="B162" s="12">
        <f t="shared" ca="1" si="12"/>
        <v>5.6468999999999996</v>
      </c>
      <c r="C162" s="1">
        <f t="shared" ca="1" si="16"/>
        <v>44090</v>
      </c>
      <c r="D162" s="3" t="s">
        <v>246</v>
      </c>
      <c r="E162" s="1">
        <f t="shared" ca="1" si="18"/>
        <v>46022</v>
      </c>
      <c r="F162" s="3">
        <f t="shared" si="13"/>
        <v>8.2072000000000003</v>
      </c>
      <c r="G162" s="3">
        <f t="shared" si="14"/>
        <v>13.470000000000049</v>
      </c>
      <c r="I162" s="3">
        <f ca="1">_xll.BDH(J162,"PX_LAST",Swap_Date,Swap_Date)</f>
        <v>9.2792999999999992</v>
      </c>
      <c r="J162" s="3" t="s">
        <v>242</v>
      </c>
      <c r="M162" s="3" t="e">
        <f ca="1">_xll.BDH(N162,"PX_LAST",Swap_Date,Swap_Date)/100</f>
        <v>#VALUE!</v>
      </c>
      <c r="N162" s="3" t="s">
        <v>348</v>
      </c>
      <c r="S162" s="12">
        <v>8.2072000000000003</v>
      </c>
      <c r="T162" s="12">
        <f t="shared" si="15"/>
        <v>8.2072000000000003</v>
      </c>
      <c r="U162" s="3">
        <f t="shared" ca="1" si="17"/>
        <v>5.6468999999999996</v>
      </c>
      <c r="V162" s="3">
        <f ca="1">IF(ISNUMBER(_xll.BDH(H162,"PX_LAST",Cash_Date,Cash_Date)),_xll.BDH(H162,"PX_LAST",Cash_Date,Cash_Date),V161)</f>
        <v>6.4882999999999997</v>
      </c>
    </row>
    <row r="163" spans="1:22" x14ac:dyDescent="0.25">
      <c r="C163" s="1">
        <f t="shared" ca="1" si="16"/>
        <v>44181</v>
      </c>
      <c r="D163" s="3" t="s">
        <v>246</v>
      </c>
      <c r="E163" s="1">
        <f t="shared" ca="1" si="18"/>
        <v>46387</v>
      </c>
      <c r="F163" s="3">
        <f t="shared" si="13"/>
        <v>8.3289000000000009</v>
      </c>
      <c r="G163" s="3">
        <f t="shared" si="14"/>
        <v>12.170000000000059</v>
      </c>
      <c r="I163" s="3">
        <f ca="1">_xll.BDH(J163,"PX_LAST",Swap_Date,Swap_Date)</f>
        <v>9.4097000000000008</v>
      </c>
      <c r="J163" s="3" t="s">
        <v>243</v>
      </c>
      <c r="M163" s="3" t="e">
        <f ca="1">_xll.BDH(N163,"PX_LAST",Swap_Date,Swap_Date)/100</f>
        <v>#VALUE!</v>
      </c>
      <c r="N163" s="3" t="s">
        <v>349</v>
      </c>
      <c r="S163" s="12">
        <v>8.3289000000000009</v>
      </c>
      <c r="T163" s="12">
        <f t="shared" si="15"/>
        <v>8.3289000000000009</v>
      </c>
    </row>
    <row r="164" spans="1:22" x14ac:dyDescent="0.25">
      <c r="E164" s="1">
        <f t="shared" ca="1" si="18"/>
        <v>46752</v>
      </c>
      <c r="F164" s="3">
        <f t="shared" si="13"/>
        <v>8.3926999999999996</v>
      </c>
      <c r="G164" s="3">
        <f t="shared" si="14"/>
        <v>6.3799999999998747</v>
      </c>
      <c r="I164" s="3">
        <f ca="1">_xll.BDH(J164,"PX_LAST",Swap_Date,Swap_Date)</f>
        <v>9.4747000000000003</v>
      </c>
      <c r="J164" s="3" t="s">
        <v>244</v>
      </c>
      <c r="M164" s="3" t="e">
        <f ca="1">_xll.BDH(N164,"PX_LAST",Swap_Date,Swap_Date)/100</f>
        <v>#VALUE!</v>
      </c>
      <c r="N164" s="3" t="s">
        <v>350</v>
      </c>
      <c r="S164" s="12">
        <v>8.3926999999999996</v>
      </c>
      <c r="T164" s="12">
        <f t="shared" si="15"/>
        <v>8.3926999999999996</v>
      </c>
    </row>
    <row r="165" spans="1:22" x14ac:dyDescent="0.25">
      <c r="E165" s="1">
        <f t="shared" ca="1" si="18"/>
        <v>47118</v>
      </c>
      <c r="F165" s="3">
        <f t="shared" ca="1" si="13"/>
        <v>8.4879999999999995</v>
      </c>
      <c r="G165" s="3">
        <f ca="1">100*(F165-F164)</f>
        <v>9.529999999999994</v>
      </c>
      <c r="I165" s="3">
        <f ca="1">_xll.BDH(J165,"PX_LAST",Swap_Date,Swap_Date)</f>
        <v>9.57</v>
      </c>
      <c r="J165" s="3" t="s">
        <v>245</v>
      </c>
      <c r="M165" s="3" t="e">
        <f ca="1">_xll.BDH(N165,"PX_LAST",Swap_Date,Swap_Date)/100</f>
        <v>#VALUE!</v>
      </c>
      <c r="N165" s="3" t="s">
        <v>351</v>
      </c>
      <c r="T165" s="12">
        <f ca="1">I165-($I$164-$S$164)</f>
        <v>8.4879999999999995</v>
      </c>
    </row>
    <row r="166" spans="1:22" x14ac:dyDescent="0.25">
      <c r="E166" s="1">
        <f ca="1">EDATE(E165,24)</f>
        <v>47848</v>
      </c>
      <c r="F166" s="3">
        <f t="shared" ca="1" si="13"/>
        <v>8.4879999999999995</v>
      </c>
      <c r="I166" s="3">
        <f ca="1">_xll.BDH(J166,"PX_LAST",Swap_Date,Swap_Date)</f>
        <v>9.57</v>
      </c>
      <c r="J166" s="3" t="s">
        <v>245</v>
      </c>
      <c r="M166" s="3" t="e">
        <f ca="1">_xll.BDH(N166,"PX_LAST",Swap_Date,Swap_Date)/100</f>
        <v>#VALUE!</v>
      </c>
      <c r="N166" s="3" t="s">
        <v>352</v>
      </c>
      <c r="T166" s="12">
        <f t="shared" ref="T166:T172" ca="1" si="19">I166-($I$164-$S$164)</f>
        <v>8.4879999999999995</v>
      </c>
    </row>
    <row r="167" spans="1:22" x14ac:dyDescent="0.25">
      <c r="E167" s="1">
        <f ca="1">EDATE(E166,36)</f>
        <v>48944</v>
      </c>
      <c r="F167" s="3">
        <f t="shared" ca="1" si="13"/>
        <v>8.4879999999999995</v>
      </c>
      <c r="I167" s="3">
        <f ca="1">_xll.BDH(J167,"PX_LAST",Swap_Date,Swap_Date)</f>
        <v>9.57</v>
      </c>
      <c r="J167" s="3" t="s">
        <v>245</v>
      </c>
      <c r="M167" s="3" t="e">
        <f ca="1">_xll.BDH(N167,"PX_LAST",Swap_Date,Swap_Date)/100</f>
        <v>#VALUE!</v>
      </c>
      <c r="N167" s="3" t="s">
        <v>353</v>
      </c>
      <c r="T167" s="12">
        <f t="shared" ca="1" si="19"/>
        <v>8.4879999999999995</v>
      </c>
    </row>
    <row r="168" spans="1:22" x14ac:dyDescent="0.25">
      <c r="E168" s="1">
        <f ca="1">EDATE(E167,60)</f>
        <v>50770</v>
      </c>
      <c r="F168" s="3">
        <f t="shared" ca="1" si="13"/>
        <v>8.4879999999999995</v>
      </c>
      <c r="I168" s="3">
        <f ca="1">_xll.BDH(J168,"PX_LAST",Swap_Date,Swap_Date)</f>
        <v>9.57</v>
      </c>
      <c r="J168" s="3" t="s">
        <v>245</v>
      </c>
      <c r="M168" s="3" t="e">
        <f ca="1">_xll.BDH(N168,"PX_LAST",Swap_Date,Swap_Date)/100</f>
        <v>#VALUE!</v>
      </c>
      <c r="N168" s="3" t="s">
        <v>354</v>
      </c>
      <c r="T168" s="12">
        <f t="shared" ca="1" si="19"/>
        <v>8.4879999999999995</v>
      </c>
    </row>
    <row r="169" spans="1:22" x14ac:dyDescent="0.25">
      <c r="E169" s="1">
        <f ca="1">EDATE(E168,60)</f>
        <v>52596</v>
      </c>
      <c r="F169" s="3">
        <f t="shared" ca="1" si="13"/>
        <v>8.4879999999999995</v>
      </c>
      <c r="I169" s="3">
        <f ca="1">_xll.BDH(J169,"PX_LAST",Swap_Date,Swap_Date)</f>
        <v>9.57</v>
      </c>
      <c r="J169" s="3" t="s">
        <v>245</v>
      </c>
      <c r="M169" s="3" t="e">
        <f ca="1">_xll.BDH(N169,"PX_LAST",Swap_Date,Swap_Date)/100</f>
        <v>#VALUE!</v>
      </c>
      <c r="N169" s="3" t="s">
        <v>355</v>
      </c>
      <c r="T169" s="12">
        <f t="shared" ca="1" si="19"/>
        <v>8.4879999999999995</v>
      </c>
    </row>
    <row r="170" spans="1:22" x14ac:dyDescent="0.25">
      <c r="E170" s="1">
        <f ca="1">EDATE(E169,60)</f>
        <v>54423</v>
      </c>
      <c r="F170" s="3">
        <f t="shared" ca="1" si="13"/>
        <v>8.4879999999999995</v>
      </c>
      <c r="I170" s="3">
        <f ca="1">_xll.BDH(J170,"PX_LAST",Swap_Date,Swap_Date)</f>
        <v>9.57</v>
      </c>
      <c r="J170" s="3" t="s">
        <v>245</v>
      </c>
      <c r="M170" s="3" t="e">
        <f ca="1">_xll.BDH(N170,"PX_LAST",Swap_Date,Swap_Date)/100</f>
        <v>#VALUE!</v>
      </c>
      <c r="N170" s="3" t="s">
        <v>356</v>
      </c>
      <c r="T170" s="12">
        <f t="shared" ca="1" si="19"/>
        <v>8.4879999999999995</v>
      </c>
    </row>
    <row r="171" spans="1:22" x14ac:dyDescent="0.25">
      <c r="E171" s="1">
        <f ca="1">EDATE(E170,120)</f>
        <v>58075</v>
      </c>
      <c r="F171" s="3">
        <f t="shared" ca="1" si="13"/>
        <v>8.4879999999999995</v>
      </c>
      <c r="I171" s="3">
        <f ca="1">_xll.BDH(J171,"PX_LAST",Swap_Date,Swap_Date)</f>
        <v>9.57</v>
      </c>
      <c r="J171" s="3" t="s">
        <v>245</v>
      </c>
      <c r="M171" s="3" t="e">
        <f ca="1">_xll.BDH(N171,"PX_LAST",Swap_Date,Swap_Date)/100</f>
        <v>#VALUE!</v>
      </c>
      <c r="N171" s="3" t="s">
        <v>357</v>
      </c>
      <c r="T171" s="12">
        <f t="shared" ca="1" si="19"/>
        <v>8.4879999999999995</v>
      </c>
    </row>
    <row r="172" spans="1:22" x14ac:dyDescent="0.25">
      <c r="E172" s="1">
        <f ca="1">EDATE(E171,12)</f>
        <v>58440</v>
      </c>
      <c r="F172" s="3">
        <f t="shared" ca="1" si="13"/>
        <v>8.4879999999999995</v>
      </c>
      <c r="I172" s="3">
        <f ca="1">_xll.BDH(J172,"PX_LAST",Swap_Date,Swap_Date)</f>
        <v>9.57</v>
      </c>
      <c r="J172" s="3" t="s">
        <v>245</v>
      </c>
      <c r="M172" s="3" t="e">
        <f ca="1">_xll.BDH(N172,"PX_LAST",Swap_Date,Swap_Date)/100</f>
        <v>#VALUE!</v>
      </c>
      <c r="N172" s="3" t="s">
        <v>358</v>
      </c>
      <c r="T172" s="12">
        <f t="shared" ca="1" si="19"/>
        <v>8.4879999999999995</v>
      </c>
    </row>
    <row r="173" spans="1:22" x14ac:dyDescent="0.25">
      <c r="N173" s="3" t="s">
        <v>359</v>
      </c>
    </row>
    <row r="174" spans="1:22" x14ac:dyDescent="0.25">
      <c r="N174" s="3" t="s">
        <v>360</v>
      </c>
    </row>
    <row r="175" spans="1:22" x14ac:dyDescent="0.25">
      <c r="N175" s="3" t="s">
        <v>361</v>
      </c>
    </row>
    <row r="179" spans="1:10" x14ac:dyDescent="0.25">
      <c r="A179" s="3" t="s">
        <v>510</v>
      </c>
      <c r="B179" s="3">
        <v>6</v>
      </c>
      <c r="D179" s="3">
        <v>0</v>
      </c>
      <c r="F179" s="3">
        <v>100</v>
      </c>
    </row>
    <row r="180" spans="1:10" x14ac:dyDescent="0.25">
      <c r="A180" s="3" t="s">
        <v>29</v>
      </c>
      <c r="B180" s="3" t="s">
        <v>30</v>
      </c>
      <c r="C180" s="3" t="s">
        <v>31</v>
      </c>
      <c r="D180" s="3" t="s">
        <v>32</v>
      </c>
      <c r="E180" s="3" t="s">
        <v>33</v>
      </c>
      <c r="F180" s="3" t="s">
        <v>34</v>
      </c>
    </row>
    <row r="181" spans="1:10" x14ac:dyDescent="0.25">
      <c r="A181" s="1">
        <f ca="1">WORKDAY(Swap_Date,1)</f>
        <v>43466</v>
      </c>
      <c r="B181" s="3" t="str">
        <f ca="1">IF(ISNUMBER(_xll.BDH(H181,"PX_LAST",Cash_Date,Cash_Date)),_xll.BDH(H181,"PX_LAST",Cash_Date,Cash_Date),B182)</f>
        <v>#N/A N/A</v>
      </c>
      <c r="C181" s="1">
        <f ca="1">nextimm(Swap_Date)</f>
        <v>43544</v>
      </c>
      <c r="D181" s="3" t="s">
        <v>246</v>
      </c>
      <c r="E181" s="1">
        <f ca="1">EDATE(Swap_Date,24)</f>
        <v>44196</v>
      </c>
      <c r="F181" s="3" t="str">
        <f ca="1">_xll.BDH(J181,"PX_LAST",Swap_Date,Swap_Date)</f>
        <v>#N/A N/A</v>
      </c>
      <c r="H181" s="3" t="s">
        <v>511</v>
      </c>
      <c r="I181" s="3" t="s">
        <v>141</v>
      </c>
      <c r="J181" s="3" t="s">
        <v>512</v>
      </c>
    </row>
    <row r="182" spans="1:10" x14ac:dyDescent="0.25">
      <c r="A182" s="1">
        <f ca="1">EDATE(Swap_Date,1)</f>
        <v>43496</v>
      </c>
      <c r="B182" s="3" t="str">
        <f ca="1">_xll.BDH(H182,"PX_LAST",Cash_Date,Cash_Date)</f>
        <v>#N/A N/A</v>
      </c>
      <c r="C182" s="1">
        <f ca="1">nextimm(C181+1)</f>
        <v>43635</v>
      </c>
      <c r="D182" s="3" t="s">
        <v>246</v>
      </c>
      <c r="E182" s="1">
        <f ca="1">EDATE(E181,12)</f>
        <v>44561</v>
      </c>
      <c r="F182" s="3" t="str">
        <f ca="1">_xll.BDH(J182,"PX_LAST",Swap_Date,Swap_Date)</f>
        <v>#N/A N/A</v>
      </c>
      <c r="H182" s="3" t="s">
        <v>531</v>
      </c>
      <c r="I182" s="3" t="s">
        <v>142</v>
      </c>
      <c r="J182" s="3" t="s">
        <v>513</v>
      </c>
    </row>
    <row r="183" spans="1:10" x14ac:dyDescent="0.25">
      <c r="A183" s="1">
        <f ca="1">EDATE(Swap_Date,2)</f>
        <v>43524</v>
      </c>
      <c r="B183" s="3" t="e">
        <f ca="1">0.5*(B182+B184)</f>
        <v>#VALUE!</v>
      </c>
      <c r="C183" s="1">
        <f t="shared" ref="C183:C188" ca="1" si="20">nextimm(C182+1)</f>
        <v>43726</v>
      </c>
      <c r="D183" s="3" t="s">
        <v>246</v>
      </c>
      <c r="E183" s="1">
        <f t="shared" ref="E183:E196" ca="1" si="21">EDATE(E182,12)</f>
        <v>44926</v>
      </c>
      <c r="F183" s="3" t="str">
        <f ca="1">_xll.BDH(J183,"PX_LAST",Swap_Date,Swap_Date)</f>
        <v>#N/A N/A</v>
      </c>
      <c r="I183" s="3" t="s">
        <v>143</v>
      </c>
      <c r="J183" s="3" t="s">
        <v>514</v>
      </c>
    </row>
    <row r="184" spans="1:10" x14ac:dyDescent="0.25">
      <c r="A184" s="1">
        <f ca="1">EDATE(Swap_Date,3)</f>
        <v>43555</v>
      </c>
      <c r="B184" s="3" t="str">
        <f ca="1">_xll.BDH(H184,"PX_LAST",Cash_Date,Cash_Date)</f>
        <v>#N/A N/A</v>
      </c>
      <c r="C184" s="1">
        <f t="shared" ca="1" si="20"/>
        <v>43817</v>
      </c>
      <c r="D184" s="3" t="s">
        <v>246</v>
      </c>
      <c r="E184" s="1">
        <f t="shared" ca="1" si="21"/>
        <v>45291</v>
      </c>
      <c r="F184" s="3">
        <f ca="1">_xll.BDH(J184,"PX_LAST",Swap_Date,Swap_Date)</f>
        <v>5.35</v>
      </c>
      <c r="H184" s="3" t="s">
        <v>532</v>
      </c>
      <c r="I184" s="3" t="s">
        <v>144</v>
      </c>
      <c r="J184" s="3" t="s">
        <v>515</v>
      </c>
    </row>
    <row r="185" spans="1:10" x14ac:dyDescent="0.25">
      <c r="A185" s="1">
        <f ca="1">EDATE(Swap_Date,6)</f>
        <v>43646</v>
      </c>
      <c r="B185" s="3" t="str">
        <f ca="1">_xll.BDH(H185,"PX_LAST",Cash_Date,Cash_Date)</f>
        <v>#N/A N/A</v>
      </c>
      <c r="C185" s="1">
        <f t="shared" ca="1" si="20"/>
        <v>43908</v>
      </c>
      <c r="D185" s="3" t="s">
        <v>246</v>
      </c>
      <c r="E185" s="1">
        <f t="shared" ca="1" si="21"/>
        <v>45657</v>
      </c>
      <c r="F185" s="3" t="str">
        <f ca="1">_xll.BDH(J185,"PX_LAST",Swap_Date,Swap_Date)</f>
        <v>#N/A N/A</v>
      </c>
      <c r="H185" s="3" t="s">
        <v>533</v>
      </c>
      <c r="I185" s="3" t="s">
        <v>145</v>
      </c>
      <c r="J185" s="3" t="s">
        <v>516</v>
      </c>
    </row>
    <row r="186" spans="1:10" x14ac:dyDescent="0.25">
      <c r="A186" s="1">
        <f ca="1">EDATE(Swap_Date,12)</f>
        <v>43830</v>
      </c>
      <c r="B186" s="3">
        <f ca="1">_xll.BDH(H186,"PX_LAST",Cash_Date,Cash_Date)</f>
        <v>4.3899999999999997</v>
      </c>
      <c r="C186" s="1">
        <f t="shared" ca="1" si="20"/>
        <v>43999</v>
      </c>
      <c r="D186" s="3" t="s">
        <v>246</v>
      </c>
      <c r="E186" s="1">
        <f t="shared" ca="1" si="21"/>
        <v>46022</v>
      </c>
      <c r="F186" s="3">
        <f ca="1">_xll.BDH(J186,"PX_LAST",Swap_Date,Swap_Date)</f>
        <v>5.71</v>
      </c>
      <c r="H186" s="3" t="s">
        <v>534</v>
      </c>
      <c r="I186" s="3" t="s">
        <v>146</v>
      </c>
      <c r="J186" s="3" t="s">
        <v>517</v>
      </c>
    </row>
    <row r="187" spans="1:10" x14ac:dyDescent="0.25">
      <c r="A187" s="11">
        <f ca="1">EDATE(Swap_Date,18)</f>
        <v>44012</v>
      </c>
      <c r="B187" s="3" t="str">
        <f ca="1">_xll.BDH(H187,"PX_LAST",Cash_Date,Cash_Date)</f>
        <v>#N/A N/A</v>
      </c>
      <c r="C187" s="1">
        <f t="shared" ca="1" si="20"/>
        <v>44090</v>
      </c>
      <c r="D187" s="3" t="s">
        <v>246</v>
      </c>
      <c r="E187" s="1">
        <f t="shared" ca="1" si="21"/>
        <v>46387</v>
      </c>
      <c r="F187" s="3" t="str">
        <f ca="1">_xll.BDH(J187,"PX_LAST",Swap_Date,Swap_Date)</f>
        <v>#N/A N/A</v>
      </c>
      <c r="H187" s="3" t="s">
        <v>535</v>
      </c>
      <c r="I187" s="3" t="s">
        <v>147</v>
      </c>
      <c r="J187" s="3" t="s">
        <v>518</v>
      </c>
    </row>
    <row r="188" spans="1:10" x14ac:dyDescent="0.25">
      <c r="A188" s="11">
        <f ca="1">EDATE(Swap_Date,24)</f>
        <v>44196</v>
      </c>
      <c r="B188" s="12" t="e">
        <f ca="1">B187+(B187-B186)</f>
        <v>#VALUE!</v>
      </c>
      <c r="C188" s="1">
        <f t="shared" ca="1" si="20"/>
        <v>44181</v>
      </c>
      <c r="D188" s="3" t="s">
        <v>246</v>
      </c>
      <c r="E188" s="1">
        <f t="shared" ca="1" si="21"/>
        <v>46752</v>
      </c>
      <c r="F188" s="3" t="str">
        <f ca="1">_xll.BDH(J188,"PX_LAST",Swap_Date,Swap_Date)</f>
        <v>#N/A N/A</v>
      </c>
      <c r="I188" s="3" t="s">
        <v>148</v>
      </c>
      <c r="J188" s="3" t="s">
        <v>519</v>
      </c>
    </row>
    <row r="189" spans="1:10" x14ac:dyDescent="0.25">
      <c r="E189" s="1">
        <f t="shared" ca="1" si="21"/>
        <v>47118</v>
      </c>
      <c r="F189" s="3">
        <f ca="1">_xll.BDH(J189,"PX_LAST",Swap_Date,Swap_Date)</f>
        <v>6.1050000000000004</v>
      </c>
      <c r="J189" s="3" t="s">
        <v>520</v>
      </c>
    </row>
    <row r="190" spans="1:10" x14ac:dyDescent="0.25">
      <c r="E190" s="1">
        <f t="shared" ca="1" si="21"/>
        <v>47483</v>
      </c>
      <c r="F190" s="3">
        <f ca="1">0.5*(F189+F191)</f>
        <v>6.17</v>
      </c>
      <c r="J190" s="3" t="s">
        <v>521</v>
      </c>
    </row>
    <row r="191" spans="1:10" x14ac:dyDescent="0.25">
      <c r="E191" s="1">
        <f t="shared" ca="1" si="21"/>
        <v>47848</v>
      </c>
      <c r="F191" s="3">
        <f ca="1">_xll.BDH(J191,"PX_LAST",Swap_Date,Swap_Date)</f>
        <v>6.2350000000000003</v>
      </c>
      <c r="J191" s="3" t="s">
        <v>522</v>
      </c>
    </row>
    <row r="192" spans="1:10" x14ac:dyDescent="0.25">
      <c r="E192" s="1">
        <f t="shared" ca="1" si="21"/>
        <v>48213</v>
      </c>
      <c r="F192" s="3">
        <f ca="1">1/3*(F194-F191)+F191</f>
        <v>6.3050000000000006</v>
      </c>
      <c r="J192" s="3" t="s">
        <v>523</v>
      </c>
    </row>
    <row r="193" spans="5:10" x14ac:dyDescent="0.25">
      <c r="E193" s="1">
        <f t="shared" ca="1" si="21"/>
        <v>48579</v>
      </c>
      <c r="F193" s="3">
        <f ca="1">2/3*(F194-F191)+F191</f>
        <v>6.375</v>
      </c>
      <c r="J193" s="3" t="s">
        <v>524</v>
      </c>
    </row>
    <row r="194" spans="5:10" x14ac:dyDescent="0.25">
      <c r="E194" s="1">
        <f t="shared" ca="1" si="21"/>
        <v>48944</v>
      </c>
      <c r="F194" s="3">
        <f ca="1">_xll.BDH(J194,"PX_LAST",Swap_Date,Swap_Date)</f>
        <v>6.4450000000000003</v>
      </c>
      <c r="J194" s="3" t="s">
        <v>525</v>
      </c>
    </row>
    <row r="195" spans="5:10" x14ac:dyDescent="0.25">
      <c r="E195" s="1">
        <f t="shared" ca="1" si="21"/>
        <v>49309</v>
      </c>
      <c r="F195" s="3">
        <f ca="1">1/5*(F197-F194)+F194</f>
        <v>6.4930000000000003</v>
      </c>
      <c r="J195" s="3" t="s">
        <v>526</v>
      </c>
    </row>
    <row r="196" spans="5:10" x14ac:dyDescent="0.25">
      <c r="E196" s="1">
        <f t="shared" ca="1" si="21"/>
        <v>49674</v>
      </c>
      <c r="F196" s="3">
        <f ca="1">2/5*(F197-F194)+F194</f>
        <v>6.5410000000000004</v>
      </c>
      <c r="J196" s="3" t="s">
        <v>527</v>
      </c>
    </row>
    <row r="197" spans="5:10" x14ac:dyDescent="0.25">
      <c r="E197" s="1">
        <f ca="1">EDATE(E196,36)</f>
        <v>50770</v>
      </c>
      <c r="F197" s="3">
        <f ca="1">_xll.BDH(J197,"PX_LAST",Swap_Date,Swap_Date)</f>
        <v>6.6850000000000005</v>
      </c>
      <c r="J197" s="3" t="s">
        <v>528</v>
      </c>
    </row>
    <row r="198" spans="5:10" x14ac:dyDescent="0.25">
      <c r="E198" s="1">
        <f ca="1">EDATE(E197,60)</f>
        <v>52596</v>
      </c>
      <c r="F198" s="3">
        <f ca="1">F197</f>
        <v>6.6850000000000005</v>
      </c>
    </row>
    <row r="199" spans="5:10" x14ac:dyDescent="0.25">
      <c r="E199" s="1">
        <f ca="1">EDATE(E198,60)</f>
        <v>54423</v>
      </c>
      <c r="F199" s="3">
        <f t="shared" ref="F199:F201" ca="1" si="22">F198</f>
        <v>6.6850000000000005</v>
      </c>
    </row>
    <row r="200" spans="5:10" x14ac:dyDescent="0.25">
      <c r="E200" s="1">
        <f ca="1">EDATE(E199,120)</f>
        <v>58075</v>
      </c>
      <c r="F200" s="3">
        <f t="shared" ca="1" si="22"/>
        <v>6.6850000000000005</v>
      </c>
    </row>
    <row r="201" spans="5:10" x14ac:dyDescent="0.25">
      <c r="E201" s="1">
        <f ca="1">EDATE(E200,12)</f>
        <v>58440</v>
      </c>
      <c r="F201" s="3">
        <f t="shared" ca="1" si="22"/>
        <v>6.6850000000000005</v>
      </c>
    </row>
  </sheetData>
  <mergeCells count="3">
    <mergeCell ref="A1:B1"/>
    <mergeCell ref="A2:B2"/>
    <mergeCell ref="A3:B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4F315-7458-4B5F-811C-EFF400652239}">
  <sheetPr codeName="Sheet39"/>
  <dimension ref="A1:D131"/>
  <sheetViews>
    <sheetView workbookViewId="0">
      <selection activeCell="H50" sqref="H50"/>
    </sheetView>
  </sheetViews>
  <sheetFormatPr defaultRowHeight="15" x14ac:dyDescent="0.25"/>
  <cols>
    <col min="1" max="1" width="10.28515625" style="3" bestFit="1" customWidth="1"/>
    <col min="4" max="4" width="11.5703125" customWidth="1"/>
  </cols>
  <sheetData>
    <row r="1" spans="1:4" s="3" customFormat="1" ht="15.75" x14ac:dyDescent="0.25">
      <c r="A1" s="65" t="s">
        <v>426</v>
      </c>
      <c r="B1" s="65"/>
      <c r="C1" s="65"/>
      <c r="D1" s="65"/>
    </row>
    <row r="2" spans="1:4" s="3" customFormat="1" x14ac:dyDescent="0.25">
      <c r="A2" s="19" t="s">
        <v>229</v>
      </c>
      <c r="B2" s="19" t="s">
        <v>230</v>
      </c>
    </row>
    <row r="3" spans="1:4" s="3" customFormat="1" x14ac:dyDescent="0.25">
      <c r="A3" s="3" t="s">
        <v>24</v>
      </c>
      <c r="B3" s="3" t="s">
        <v>388</v>
      </c>
      <c r="D3" s="3" t="s">
        <v>389</v>
      </c>
    </row>
    <row r="4" spans="1:4" x14ac:dyDescent="0.25">
      <c r="A4" s="4">
        <f ca="1">EDATE(Today,0.25)</f>
        <v>43466</v>
      </c>
      <c r="B4" t="s">
        <v>370</v>
      </c>
      <c r="D4" s="3" t="str">
        <f ca="1">_xll.BDH($B4,"PX_LAST",Today,Today)</f>
        <v>#N/A N/A</v>
      </c>
    </row>
    <row r="5" spans="1:4" x14ac:dyDescent="0.25">
      <c r="A5" s="4">
        <f ca="1">EDATE(Today,1)</f>
        <v>43497</v>
      </c>
      <c r="B5" t="s">
        <v>371</v>
      </c>
      <c r="D5" s="3">
        <f ca="1">_xll.BDH($B5,"PX_LAST",Today,Today)</f>
        <v>73</v>
      </c>
    </row>
    <row r="6" spans="1:4" x14ac:dyDescent="0.25">
      <c r="A6" s="4">
        <f ca="1">EDATE(A5,1)</f>
        <v>43525</v>
      </c>
      <c r="B6" t="s">
        <v>372</v>
      </c>
      <c r="D6" s="3">
        <f ca="1">_xll.BDH($B6,"PX_LAST",Today,Today)</f>
        <v>171</v>
      </c>
    </row>
    <row r="7" spans="1:4" x14ac:dyDescent="0.25">
      <c r="A7" s="4">
        <f t="shared" ref="A7:A10" ca="1" si="0">EDATE(A6,1)</f>
        <v>43556</v>
      </c>
      <c r="B7" t="s">
        <v>373</v>
      </c>
      <c r="D7" s="3">
        <f ca="1">_xll.BDH($B7,"PX_LAST",Today,Today)</f>
        <v>266</v>
      </c>
    </row>
    <row r="8" spans="1:4" x14ac:dyDescent="0.25">
      <c r="A8" s="4">
        <f t="shared" ca="1" si="0"/>
        <v>43586</v>
      </c>
      <c r="B8" t="s">
        <v>374</v>
      </c>
      <c r="D8" s="3" t="str">
        <f ca="1">_xll.BDH($B8,"PX_LAST",Today,Today)</f>
        <v>#N/A N/A</v>
      </c>
    </row>
    <row r="9" spans="1:4" x14ac:dyDescent="0.25">
      <c r="A9" s="4">
        <f t="shared" ca="1" si="0"/>
        <v>43617</v>
      </c>
      <c r="B9" t="s">
        <v>375</v>
      </c>
      <c r="D9" s="3" t="str">
        <f ca="1">_xll.BDH($B9,"PX_LAST",Today,Today)</f>
        <v>#N/A N/A</v>
      </c>
    </row>
    <row r="10" spans="1:4" x14ac:dyDescent="0.25">
      <c r="A10" s="4">
        <f t="shared" ca="1" si="0"/>
        <v>43647</v>
      </c>
      <c r="B10" t="s">
        <v>376</v>
      </c>
      <c r="D10" s="3">
        <f ca="1">_xll.BDH($B10,"PX_LAST",Today,Today)</f>
        <v>550</v>
      </c>
    </row>
    <row r="11" spans="1:4" x14ac:dyDescent="0.25">
      <c r="A11" s="4">
        <f ca="1">EDATE(A10,3)</f>
        <v>43739</v>
      </c>
      <c r="B11" t="s">
        <v>377</v>
      </c>
      <c r="D11" s="3">
        <f ca="1">_xll.BDH($B11,"PX_LAST",Today,Today)</f>
        <v>883</v>
      </c>
    </row>
    <row r="12" spans="1:4" x14ac:dyDescent="0.25">
      <c r="A12" s="4">
        <f ca="1">EDATE(A11,3)</f>
        <v>43831</v>
      </c>
      <c r="B12" t="s">
        <v>378</v>
      </c>
      <c r="D12" s="3">
        <f ca="1">_xll.BDH($B12,"PX_LAST",Today,Today)</f>
        <v>1158.5</v>
      </c>
    </row>
    <row r="13" spans="1:4" x14ac:dyDescent="0.25">
      <c r="A13" s="4">
        <f ca="1">EDATE(A12,12)</f>
        <v>44197</v>
      </c>
      <c r="B13" t="s">
        <v>379</v>
      </c>
      <c r="D13" s="3" t="str">
        <f ca="1">_xll.BDH($B13,"PX_LAST",Today,Today)</f>
        <v>#N/A N/A</v>
      </c>
    </row>
    <row r="14" spans="1:4" x14ac:dyDescent="0.25">
      <c r="A14" s="4">
        <f t="shared" ref="A14:A21" ca="1" si="1">EDATE(A13,12)</f>
        <v>44562</v>
      </c>
      <c r="B14" t="s">
        <v>380</v>
      </c>
      <c r="D14" s="3" t="str">
        <f ca="1">_xll.BDH($B14,"PX_LAST",Today,Today)</f>
        <v>#N/A N/A</v>
      </c>
    </row>
    <row r="15" spans="1:4" x14ac:dyDescent="0.25">
      <c r="A15" s="4">
        <f t="shared" ca="1" si="1"/>
        <v>44927</v>
      </c>
      <c r="B15" t="s">
        <v>381</v>
      </c>
      <c r="D15" s="3" t="str">
        <f ca="1">_xll.BDH($B15,"PX_LAST",Today,Today)</f>
        <v>#N/A N/A</v>
      </c>
    </row>
    <row r="16" spans="1:4" x14ac:dyDescent="0.25">
      <c r="A16" s="4">
        <f t="shared" ca="1" si="1"/>
        <v>45292</v>
      </c>
      <c r="B16" t="s">
        <v>382</v>
      </c>
      <c r="D16" s="3" t="str">
        <f ca="1">_xll.BDH($B16,"PX_LAST",Today,Today)</f>
        <v>#N/A N/A</v>
      </c>
    </row>
    <row r="17" spans="1:4" x14ac:dyDescent="0.25">
      <c r="A17" s="4">
        <f t="shared" ca="1" si="1"/>
        <v>45658</v>
      </c>
      <c r="B17" t="s">
        <v>383</v>
      </c>
      <c r="D17" s="3" t="str">
        <f ca="1">_xll.BDH($B17,"PX_LAST",Today,Today)</f>
        <v>#N/A N/A</v>
      </c>
    </row>
    <row r="18" spans="1:4" x14ac:dyDescent="0.25">
      <c r="A18" s="4">
        <f t="shared" ca="1" si="1"/>
        <v>46023</v>
      </c>
      <c r="B18" t="s">
        <v>384</v>
      </c>
      <c r="D18" s="3" t="str">
        <f ca="1">_xll.BDH($B18,"PX_LAST",Today,Today)</f>
        <v>#N/A N/A</v>
      </c>
    </row>
    <row r="19" spans="1:4" x14ac:dyDescent="0.25">
      <c r="A19" s="4">
        <f t="shared" ca="1" si="1"/>
        <v>46388</v>
      </c>
      <c r="B19" t="s">
        <v>385</v>
      </c>
      <c r="D19" s="3" t="str">
        <f ca="1">_xll.BDH($B19,"PX_LAST",Today,Today)</f>
        <v>#N/A N/A</v>
      </c>
    </row>
    <row r="20" spans="1:4" x14ac:dyDescent="0.25">
      <c r="A20" s="4">
        <f t="shared" ca="1" si="1"/>
        <v>46753</v>
      </c>
      <c r="B20" t="s">
        <v>386</v>
      </c>
      <c r="D20" s="3" t="str">
        <f ca="1">_xll.BDH($B20,"PX_LAST",Today,Today)</f>
        <v>#N/A N/A</v>
      </c>
    </row>
    <row r="21" spans="1:4" x14ac:dyDescent="0.25">
      <c r="A21" s="4">
        <f t="shared" ca="1" si="1"/>
        <v>47119</v>
      </c>
      <c r="B21" t="s">
        <v>387</v>
      </c>
      <c r="D21" s="3" t="str">
        <f ca="1">_xll.BDH($B21,"PX_LAST",Today,Today)</f>
        <v>#N/A N/A</v>
      </c>
    </row>
    <row r="24" spans="1:4" x14ac:dyDescent="0.25">
      <c r="A24" s="19" t="s">
        <v>229</v>
      </c>
      <c r="B24" s="19" t="s">
        <v>13</v>
      </c>
      <c r="C24" s="3"/>
      <c r="D24" s="3"/>
    </row>
    <row r="25" spans="1:4" x14ac:dyDescent="0.25">
      <c r="A25" s="3" t="s">
        <v>24</v>
      </c>
      <c r="B25" s="3" t="s">
        <v>388</v>
      </c>
      <c r="C25" s="3"/>
      <c r="D25" s="3" t="s">
        <v>389</v>
      </c>
    </row>
    <row r="26" spans="1:4" x14ac:dyDescent="0.25">
      <c r="A26" s="4">
        <f ca="1">EDATE(Today,0.25)</f>
        <v>43466</v>
      </c>
      <c r="B26" s="3" t="s">
        <v>390</v>
      </c>
      <c r="C26" s="3"/>
      <c r="D26" s="3">
        <f ca="1">_xll.BDH($B26,"PX_LAST",Today,Today)</f>
        <v>6.55</v>
      </c>
    </row>
    <row r="27" spans="1:4" x14ac:dyDescent="0.25">
      <c r="A27" s="4">
        <f ca="1">EDATE(Today,1)</f>
        <v>43497</v>
      </c>
      <c r="B27" s="3" t="s">
        <v>391</v>
      </c>
      <c r="C27" s="3"/>
      <c r="D27" s="3">
        <f ca="1">_xll.BDH($B27,"PX_LAST",Today,Today)</f>
        <v>30.49</v>
      </c>
    </row>
    <row r="28" spans="1:4" x14ac:dyDescent="0.25">
      <c r="A28" s="4">
        <f ca="1">EDATE(A27,1)</f>
        <v>43525</v>
      </c>
      <c r="B28" s="3" t="s">
        <v>392</v>
      </c>
      <c r="C28" s="3"/>
      <c r="D28" s="3">
        <f ca="1">_xll.BDH($B28,"PX_LAST",Today,Today)</f>
        <v>57.46</v>
      </c>
    </row>
    <row r="29" spans="1:4" x14ac:dyDescent="0.25">
      <c r="A29" s="4">
        <f t="shared" ref="A29:A32" ca="1" si="2">EDATE(A28,1)</f>
        <v>43556</v>
      </c>
      <c r="B29" s="3" t="s">
        <v>393</v>
      </c>
      <c r="C29" s="3"/>
      <c r="D29" s="3">
        <f ca="1">_xll.BDH($B29,"PX_LAST",Today,Today)</f>
        <v>88.65</v>
      </c>
    </row>
    <row r="30" spans="1:4" x14ac:dyDescent="0.25">
      <c r="A30" s="4">
        <f t="shared" ca="1" si="2"/>
        <v>43586</v>
      </c>
      <c r="B30" s="3" t="s">
        <v>394</v>
      </c>
      <c r="C30" s="3"/>
      <c r="D30" s="3">
        <f ca="1">_xll.BDH($B30,"PX_LAST",Today,Today)</f>
        <v>117.83</v>
      </c>
    </row>
    <row r="31" spans="1:4" x14ac:dyDescent="0.25">
      <c r="A31" s="4">
        <f t="shared" ca="1" si="2"/>
        <v>43617</v>
      </c>
      <c r="B31" s="3" t="s">
        <v>395</v>
      </c>
      <c r="C31" s="3"/>
      <c r="D31" s="3">
        <f ca="1">_xll.BDH($B31,"PX_LAST",Today,Today)</f>
        <v>148.25</v>
      </c>
    </row>
    <row r="32" spans="1:4" x14ac:dyDescent="0.25">
      <c r="A32" s="4">
        <f t="shared" ca="1" si="2"/>
        <v>43647</v>
      </c>
      <c r="B32" s="3" t="s">
        <v>396</v>
      </c>
      <c r="C32" s="3"/>
      <c r="D32" s="3">
        <f ca="1">_xll.BDH($B32,"PX_LAST",Today,Today)</f>
        <v>179.5</v>
      </c>
    </row>
    <row r="33" spans="1:4" x14ac:dyDescent="0.25">
      <c r="A33" s="4">
        <f ca="1">EDATE(A32,3)</f>
        <v>43739</v>
      </c>
      <c r="B33" s="3" t="s">
        <v>397</v>
      </c>
      <c r="C33" s="3"/>
      <c r="D33" s="3">
        <f ca="1">_xll.BDH($B33,"PX_LAST",Today,Today)</f>
        <v>271.05</v>
      </c>
    </row>
    <row r="34" spans="1:4" x14ac:dyDescent="0.25">
      <c r="A34" s="4">
        <f ca="1">EDATE(A33,3)</f>
        <v>43831</v>
      </c>
      <c r="B34" s="3" t="s">
        <v>398</v>
      </c>
      <c r="C34" s="3"/>
      <c r="D34" s="3">
        <f ca="1">_xll.BDH($B34,"PX_LAST",Today,Today)</f>
        <v>365.25</v>
      </c>
    </row>
    <row r="35" spans="1:4" x14ac:dyDescent="0.25">
      <c r="A35" s="4">
        <f ca="1">EDATE(A34,12)</f>
        <v>44197</v>
      </c>
      <c r="B35" s="3" t="s">
        <v>399</v>
      </c>
      <c r="C35" s="3"/>
      <c r="D35" s="3">
        <f ca="1">_xll.BDH($B35,"PX_LAST",Today,Today)</f>
        <v>711</v>
      </c>
    </row>
    <row r="36" spans="1:4" x14ac:dyDescent="0.25">
      <c r="A36" s="4">
        <f t="shared" ref="A36:A43" ca="1" si="3">EDATE(A35,12)</f>
        <v>44562</v>
      </c>
      <c r="B36" t="s">
        <v>400</v>
      </c>
      <c r="C36" s="3"/>
      <c r="D36" s="3">
        <f ca="1">_xll.BDH($B36,"PX_LAST",Today,Today)</f>
        <v>1023.5</v>
      </c>
    </row>
    <row r="37" spans="1:4" x14ac:dyDescent="0.25">
      <c r="A37" s="4">
        <f t="shared" ca="1" si="3"/>
        <v>44927</v>
      </c>
      <c r="B37" t="s">
        <v>401</v>
      </c>
      <c r="C37" s="3"/>
      <c r="D37" s="3">
        <f ca="1">_xll.BDH($B37,"PX_LAST",Today,Today)</f>
        <v>1302.9000000000001</v>
      </c>
    </row>
    <row r="38" spans="1:4" x14ac:dyDescent="0.25">
      <c r="A38" s="4">
        <f t="shared" ca="1" si="3"/>
        <v>45292</v>
      </c>
      <c r="B38" t="s">
        <v>402</v>
      </c>
      <c r="C38" s="3"/>
      <c r="D38" s="3">
        <f ca="1">_xll.BDH($B38,"PX_LAST",Today,Today)</f>
        <v>1558.85</v>
      </c>
    </row>
    <row r="39" spans="1:4" x14ac:dyDescent="0.25">
      <c r="A39" s="4">
        <f t="shared" ca="1" si="3"/>
        <v>45658</v>
      </c>
      <c r="B39" t="s">
        <v>403</v>
      </c>
      <c r="C39" s="3"/>
      <c r="D39" s="3">
        <f ca="1">_xll.BDH($B39,"PX_LAST",Today,Today)</f>
        <v>1788</v>
      </c>
    </row>
    <row r="40" spans="1:4" x14ac:dyDescent="0.25">
      <c r="A40" s="4">
        <f t="shared" ca="1" si="3"/>
        <v>46023</v>
      </c>
      <c r="B40" t="s">
        <v>404</v>
      </c>
      <c r="C40" s="3"/>
      <c r="D40" s="3">
        <f ca="1">_xll.BDH($B40,"PX_LAST",Today,Today)</f>
        <v>2021</v>
      </c>
    </row>
    <row r="41" spans="1:4" x14ac:dyDescent="0.25">
      <c r="A41" s="4">
        <f t="shared" ca="1" si="3"/>
        <v>46388</v>
      </c>
      <c r="B41" t="s">
        <v>405</v>
      </c>
      <c r="C41" s="3"/>
      <c r="D41" s="3">
        <f ca="1">_xll.BDH($B41,"PX_LAST",Today,Today)</f>
        <v>2233</v>
      </c>
    </row>
    <row r="42" spans="1:4" x14ac:dyDescent="0.25">
      <c r="A42" s="4">
        <f t="shared" ca="1" si="3"/>
        <v>46753</v>
      </c>
      <c r="B42" t="s">
        <v>406</v>
      </c>
      <c r="C42" s="3"/>
      <c r="D42" s="3">
        <f ca="1">_xll.BDH($B42,"PX_LAST",Today,Today)</f>
        <v>2434</v>
      </c>
    </row>
    <row r="43" spans="1:4" x14ac:dyDescent="0.25">
      <c r="A43" s="4">
        <f t="shared" ca="1" si="3"/>
        <v>47119</v>
      </c>
      <c r="B43" t="s">
        <v>407</v>
      </c>
      <c r="C43" s="3"/>
      <c r="D43" s="3">
        <f ca="1">_xll.BDH($B43,"PX_LAST",Today,Today)</f>
        <v>2623</v>
      </c>
    </row>
    <row r="46" spans="1:4" x14ac:dyDescent="0.25">
      <c r="A46" s="19" t="s">
        <v>229</v>
      </c>
      <c r="B46" s="19" t="s">
        <v>14</v>
      </c>
      <c r="C46" s="3"/>
      <c r="D46" s="3"/>
    </row>
    <row r="47" spans="1:4" x14ac:dyDescent="0.25">
      <c r="A47" s="3" t="s">
        <v>24</v>
      </c>
      <c r="B47" s="3" t="s">
        <v>388</v>
      </c>
      <c r="C47" s="3"/>
      <c r="D47" s="3" t="s">
        <v>389</v>
      </c>
    </row>
    <row r="48" spans="1:4" x14ac:dyDescent="0.25">
      <c r="A48" s="4">
        <f ca="1">EDATE(Today,0.25)</f>
        <v>43466</v>
      </c>
      <c r="B48" s="3" t="s">
        <v>408</v>
      </c>
      <c r="C48" s="3"/>
      <c r="D48" s="3">
        <f ca="1">_xll.BDH(B48,"PX_LAST",Today,Today)</f>
        <v>4.4000000000000004</v>
      </c>
    </row>
    <row r="49" spans="1:4" x14ac:dyDescent="0.25">
      <c r="A49" s="4">
        <f ca="1">EDATE(Today,1)</f>
        <v>43497</v>
      </c>
      <c r="B49" s="3" t="s">
        <v>409</v>
      </c>
      <c r="C49" s="3"/>
      <c r="D49" s="3">
        <f ca="1">_xll.BDH(B49,"PX_LAST",Today,Today)</f>
        <v>20.07</v>
      </c>
    </row>
    <row r="50" spans="1:4" x14ac:dyDescent="0.25">
      <c r="A50" s="4">
        <f ca="1">EDATE(A49,1)</f>
        <v>43525</v>
      </c>
      <c r="B50" s="3" t="s">
        <v>410</v>
      </c>
      <c r="C50" s="3"/>
      <c r="D50" s="3">
        <f ca="1">_xll.BDH(B50,"PX_LAST",Today,Today)</f>
        <v>37.39</v>
      </c>
    </row>
    <row r="51" spans="1:4" x14ac:dyDescent="0.25">
      <c r="A51" s="4">
        <f t="shared" ref="A51:A54" ca="1" si="4">EDATE(A50,1)</f>
        <v>43556</v>
      </c>
      <c r="B51" s="3" t="s">
        <v>411</v>
      </c>
      <c r="C51" s="3"/>
      <c r="D51" s="3">
        <f ca="1">_xll.BDH(B51,"PX_LAST",Today,Today)</f>
        <v>56.37</v>
      </c>
    </row>
    <row r="52" spans="1:4" x14ac:dyDescent="0.25">
      <c r="A52" s="4">
        <f t="shared" ca="1" si="4"/>
        <v>43586</v>
      </c>
      <c r="B52" s="3" t="s">
        <v>412</v>
      </c>
      <c r="C52" s="3"/>
      <c r="D52" s="3">
        <f ca="1">_xll.BDH(B52,"PX_LAST",Today,Today)</f>
        <v>74.540000000000006</v>
      </c>
    </row>
    <row r="53" spans="1:4" x14ac:dyDescent="0.25">
      <c r="A53" s="4">
        <f t="shared" ca="1" si="4"/>
        <v>43617</v>
      </c>
      <c r="B53" s="3" t="s">
        <v>413</v>
      </c>
      <c r="C53" s="3"/>
      <c r="D53" s="3">
        <f ca="1">_xll.BDH(B53,"PX_LAST",Today,Today)</f>
        <v>92.58</v>
      </c>
    </row>
    <row r="54" spans="1:4" x14ac:dyDescent="0.25">
      <c r="A54" s="4">
        <f t="shared" ca="1" si="4"/>
        <v>43647</v>
      </c>
      <c r="B54" s="3" t="s">
        <v>414</v>
      </c>
      <c r="C54" s="3"/>
      <c r="D54" s="3">
        <f ca="1">_xll.BDH(B54,"PX_LAST",Today,Today)</f>
        <v>110.79</v>
      </c>
    </row>
    <row r="55" spans="1:4" x14ac:dyDescent="0.25">
      <c r="A55" s="4">
        <f ca="1">EDATE(A54,3)</f>
        <v>43739</v>
      </c>
      <c r="B55" s="3" t="s">
        <v>415</v>
      </c>
      <c r="C55" s="3"/>
      <c r="D55" s="3">
        <f ca="1">_xll.BDH(B55,"PX_LAST",Today,Today)</f>
        <v>163.02000000000001</v>
      </c>
    </row>
    <row r="56" spans="1:4" x14ac:dyDescent="0.25">
      <c r="A56" s="4">
        <f ca="1">EDATE(A55,3)</f>
        <v>43831</v>
      </c>
      <c r="B56" s="3" t="s">
        <v>416</v>
      </c>
      <c r="C56" s="3"/>
      <c r="D56" s="3">
        <f ca="1">_xll.BDH(B56,"PX_LAST",Today,Today)</f>
        <v>216.6</v>
      </c>
    </row>
    <row r="57" spans="1:4" x14ac:dyDescent="0.25">
      <c r="A57" s="4">
        <f ca="1">EDATE(A56,12)</f>
        <v>44197</v>
      </c>
      <c r="B57" s="3" t="s">
        <v>417</v>
      </c>
      <c r="C57" s="3"/>
      <c r="D57" s="3">
        <f ca="1">_xll.BDH(B57,"PX_LAST",Today,Today)</f>
        <v>382.49</v>
      </c>
    </row>
    <row r="58" spans="1:4" x14ac:dyDescent="0.25">
      <c r="A58" s="4">
        <f t="shared" ref="A58:A65" ca="1" si="5">EDATE(A57,12)</f>
        <v>44562</v>
      </c>
      <c r="B58" t="s">
        <v>418</v>
      </c>
      <c r="C58" s="3"/>
      <c r="D58" s="3">
        <f ca="1">_xll.BDH(B58,"PX_LAST",Today,Today)</f>
        <v>513.58000000000004</v>
      </c>
    </row>
    <row r="59" spans="1:4" x14ac:dyDescent="0.25">
      <c r="A59" s="4">
        <f t="shared" ca="1" si="5"/>
        <v>44927</v>
      </c>
      <c r="B59" t="s">
        <v>419</v>
      </c>
      <c r="C59" s="3"/>
      <c r="D59" s="3">
        <f ca="1">_xll.BDH(B59,"PX_LAST",Today,Today)</f>
        <v>645.76</v>
      </c>
    </row>
    <row r="60" spans="1:4" x14ac:dyDescent="0.25">
      <c r="A60" s="4">
        <f t="shared" ca="1" si="5"/>
        <v>45292</v>
      </c>
      <c r="B60" t="s">
        <v>420</v>
      </c>
      <c r="C60" s="3"/>
      <c r="D60" s="3">
        <f ca="1">_xll.BDH(B60,"PX_LAST",Today,Today)</f>
        <v>772.72</v>
      </c>
    </row>
    <row r="61" spans="1:4" x14ac:dyDescent="0.25">
      <c r="A61" s="4">
        <f t="shared" ca="1" si="5"/>
        <v>45658</v>
      </c>
      <c r="B61" t="s">
        <v>421</v>
      </c>
      <c r="C61" s="3"/>
      <c r="D61" s="3">
        <f ca="1">_xll.BDH(B61,"PX_LAST",Today,Today)</f>
        <v>907</v>
      </c>
    </row>
    <row r="62" spans="1:4" x14ac:dyDescent="0.25">
      <c r="A62" s="4">
        <f t="shared" ca="1" si="5"/>
        <v>46023</v>
      </c>
      <c r="B62" t="s">
        <v>422</v>
      </c>
      <c r="C62" s="3"/>
      <c r="D62" s="3">
        <f ca="1">_xll.BDH(B62,"PX_LAST",Today,Today)</f>
        <v>1049</v>
      </c>
    </row>
    <row r="63" spans="1:4" x14ac:dyDescent="0.25">
      <c r="A63" s="4">
        <f t="shared" ca="1" si="5"/>
        <v>46388</v>
      </c>
      <c r="B63" t="s">
        <v>423</v>
      </c>
      <c r="C63" s="3"/>
      <c r="D63" s="3">
        <f ca="1">_xll.BDH(B63,"PX_LAST",Today,Today)</f>
        <v>1197</v>
      </c>
    </row>
    <row r="64" spans="1:4" x14ac:dyDescent="0.25">
      <c r="A64" s="4">
        <f t="shared" ca="1" si="5"/>
        <v>46753</v>
      </c>
      <c r="B64" t="s">
        <v>424</v>
      </c>
      <c r="C64" s="3"/>
      <c r="D64" s="3">
        <f ca="1">_xll.BDH(B64,"PX_LAST",Today,Today)</f>
        <v>1345</v>
      </c>
    </row>
    <row r="65" spans="1:4" x14ac:dyDescent="0.25">
      <c r="A65" s="4">
        <f t="shared" ca="1" si="5"/>
        <v>47119</v>
      </c>
      <c r="B65" t="s">
        <v>425</v>
      </c>
      <c r="C65" s="3"/>
      <c r="D65" s="3">
        <f ca="1">_xll.BDH(B65,"PX_LAST",Today,Today)</f>
        <v>1500</v>
      </c>
    </row>
    <row r="68" spans="1:4" x14ac:dyDescent="0.25">
      <c r="A68" s="19" t="s">
        <v>229</v>
      </c>
      <c r="B68" s="19" t="s">
        <v>19</v>
      </c>
      <c r="C68" s="3"/>
      <c r="D68" s="3"/>
    </row>
    <row r="69" spans="1:4" x14ac:dyDescent="0.25">
      <c r="A69" s="3" t="s">
        <v>24</v>
      </c>
      <c r="B69" s="3" t="s">
        <v>388</v>
      </c>
      <c r="C69" s="3"/>
      <c r="D69" s="3" t="s">
        <v>389</v>
      </c>
    </row>
    <row r="70" spans="1:4" x14ac:dyDescent="0.25">
      <c r="A70" s="4">
        <f ca="1">EDATE(Today,0.25)</f>
        <v>43466</v>
      </c>
      <c r="B70" s="3" t="s">
        <v>427</v>
      </c>
      <c r="C70" s="3"/>
      <c r="D70" s="3">
        <f ca="1">_xll.BDH(B70,"PX_LAST",Today,Today)</f>
        <v>-7.07</v>
      </c>
    </row>
    <row r="71" spans="1:4" x14ac:dyDescent="0.25">
      <c r="A71" s="4">
        <f ca="1">EDATE(Today,1)</f>
        <v>43497</v>
      </c>
      <c r="B71" s="3" t="s">
        <v>428</v>
      </c>
      <c r="C71" s="3"/>
      <c r="D71" s="3">
        <f ca="1">_xll.BDH(B71,"PX_LAST",Today,Today)</f>
        <v>-27</v>
      </c>
    </row>
    <row r="72" spans="1:4" x14ac:dyDescent="0.25">
      <c r="A72" s="4">
        <f ca="1">EDATE(A71,1)</f>
        <v>43525</v>
      </c>
      <c r="B72" s="3" t="s">
        <v>429</v>
      </c>
      <c r="C72" s="3"/>
      <c r="D72" s="3">
        <f ca="1">_xll.BDH(B72,"PX_LAST",Today,Today)</f>
        <v>-50.95</v>
      </c>
    </row>
    <row r="73" spans="1:4" x14ac:dyDescent="0.25">
      <c r="A73" s="4">
        <f t="shared" ref="A73:A76" ca="1" si="6">EDATE(A72,1)</f>
        <v>43556</v>
      </c>
      <c r="B73" s="3" t="s">
        <v>430</v>
      </c>
      <c r="C73" s="3"/>
      <c r="D73" s="3">
        <f ca="1">_xll.BDH(B73,"PX_LAST",Today,Today)</f>
        <v>-82.07</v>
      </c>
    </row>
    <row r="74" spans="1:4" x14ac:dyDescent="0.25">
      <c r="A74" s="4">
        <f t="shared" ca="1" si="6"/>
        <v>43586</v>
      </c>
      <c r="B74" s="3" t="s">
        <v>431</v>
      </c>
      <c r="C74" s="3"/>
      <c r="D74" s="3">
        <f ca="1">_xll.BDH(B74,"PX_LAST",Today,Today)</f>
        <v>-107.24</v>
      </c>
    </row>
    <row r="75" spans="1:4" x14ac:dyDescent="0.25">
      <c r="A75" s="4">
        <f t="shared" ca="1" si="6"/>
        <v>43617</v>
      </c>
      <c r="B75" s="3" t="s">
        <v>432</v>
      </c>
      <c r="C75" s="3"/>
      <c r="D75" s="3">
        <f ca="1">_xll.BDH(B75,"PX_LAST",Today,Today)</f>
        <v>-134.1</v>
      </c>
    </row>
    <row r="76" spans="1:4" x14ac:dyDescent="0.25">
      <c r="A76" s="4">
        <f t="shared" ca="1" si="6"/>
        <v>43647</v>
      </c>
      <c r="B76" s="3" t="s">
        <v>433</v>
      </c>
      <c r="C76" s="3"/>
      <c r="D76" s="3">
        <f ca="1">_xll.BDH(B76,"PX_LAST",Today,Today)</f>
        <v>-164.28</v>
      </c>
    </row>
    <row r="77" spans="1:4" x14ac:dyDescent="0.25">
      <c r="A77" s="4">
        <f ca="1">EDATE(A76,3)</f>
        <v>43739</v>
      </c>
      <c r="B77" s="3" t="s">
        <v>434</v>
      </c>
      <c r="C77" s="3"/>
      <c r="D77" s="3">
        <f ca="1">_xll.BDH(B77,"PX_LAST",Today,Today)</f>
        <v>-244.5</v>
      </c>
    </row>
    <row r="78" spans="1:4" x14ac:dyDescent="0.25">
      <c r="A78" s="4">
        <f ca="1">EDATE(A77,3)</f>
        <v>43831</v>
      </c>
      <c r="B78" s="3" t="s">
        <v>435</v>
      </c>
      <c r="C78" s="3"/>
      <c r="D78" s="3">
        <f ca="1">_xll.BDH(B78,"PX_LAST",Today,Today)</f>
        <v>-333.02</v>
      </c>
    </row>
    <row r="79" spans="1:4" x14ac:dyDescent="0.25">
      <c r="A79" s="4">
        <f ca="1">EDATE(A78,12)</f>
        <v>44197</v>
      </c>
      <c r="B79" s="3" t="s">
        <v>436</v>
      </c>
      <c r="C79" s="3"/>
      <c r="D79" s="3">
        <f ca="1">_xll.BDH(B79,"PX_LAST",Today,Today)</f>
        <v>-647.25</v>
      </c>
    </row>
    <row r="80" spans="1:4" x14ac:dyDescent="0.25">
      <c r="A80" s="4">
        <f t="shared" ref="A80:A87" ca="1" si="7">EDATE(A79,12)</f>
        <v>44562</v>
      </c>
      <c r="B80" t="s">
        <v>437</v>
      </c>
      <c r="C80" s="3"/>
      <c r="D80" s="3">
        <f ca="1">_xll.BDH(B80,"PX_LAST",Today,Today)</f>
        <v>-954.36</v>
      </c>
    </row>
    <row r="81" spans="1:4" x14ac:dyDescent="0.25">
      <c r="A81" s="4">
        <f t="shared" ca="1" si="7"/>
        <v>44927</v>
      </c>
      <c r="B81" t="s">
        <v>438</v>
      </c>
      <c r="C81" s="3"/>
      <c r="D81" s="3">
        <f ca="1">_xll.BDH(B81,"PX_LAST",Today,Today)</f>
        <v>-1256.7</v>
      </c>
    </row>
    <row r="82" spans="1:4" x14ac:dyDescent="0.25">
      <c r="A82" s="4">
        <f t="shared" ca="1" si="7"/>
        <v>45292</v>
      </c>
      <c r="B82" t="s">
        <v>439</v>
      </c>
      <c r="C82" s="3"/>
      <c r="D82" s="3">
        <f ca="1">_xll.BDH(B82,"PX_LAST",Today,Today)</f>
        <v>-1558.05</v>
      </c>
    </row>
    <row r="83" spans="1:4" x14ac:dyDescent="0.25">
      <c r="A83" s="4">
        <f t="shared" ca="1" si="7"/>
        <v>45658</v>
      </c>
      <c r="B83" t="s">
        <v>440</v>
      </c>
      <c r="C83" s="3"/>
      <c r="D83" s="3">
        <f ca="1">_xll.BDH(B83,"PX_LAST",Today,Today)</f>
        <v>-1857.25</v>
      </c>
    </row>
    <row r="84" spans="1:4" x14ac:dyDescent="0.25">
      <c r="A84" s="4">
        <f t="shared" ca="1" si="7"/>
        <v>46023</v>
      </c>
      <c r="B84" t="s">
        <v>441</v>
      </c>
      <c r="C84" s="3"/>
      <c r="D84" s="3">
        <f ca="1">_xll.BDH(B84,"PX_LAST",Today,Today)</f>
        <v>-2148</v>
      </c>
    </row>
    <row r="85" spans="1:4" x14ac:dyDescent="0.25">
      <c r="A85" s="4">
        <f t="shared" ca="1" si="7"/>
        <v>46388</v>
      </c>
      <c r="B85" t="s">
        <v>442</v>
      </c>
      <c r="C85" s="3"/>
      <c r="D85" s="3">
        <f ca="1">_xll.BDH(B85,"PX_LAST",Today,Today)</f>
        <v>-2425.5</v>
      </c>
    </row>
    <row r="86" spans="1:4" x14ac:dyDescent="0.25">
      <c r="A86" s="4">
        <f t="shared" ca="1" si="7"/>
        <v>46753</v>
      </c>
      <c r="B86" t="s">
        <v>443</v>
      </c>
      <c r="C86" s="3"/>
      <c r="D86" s="3">
        <f ca="1">_xll.BDH(B86,"PX_LAST",Today,Today)</f>
        <v>-2687.45</v>
      </c>
    </row>
    <row r="87" spans="1:4" x14ac:dyDescent="0.25">
      <c r="A87" s="4">
        <f t="shared" ca="1" si="7"/>
        <v>47119</v>
      </c>
      <c r="B87" t="s">
        <v>444</v>
      </c>
      <c r="C87" s="3"/>
      <c r="D87" s="3">
        <f ca="1">_xll.BDH(B87,"PX_LAST",Today,Today)</f>
        <v>-2937.2</v>
      </c>
    </row>
    <row r="90" spans="1:4" x14ac:dyDescent="0.25">
      <c r="A90" s="19" t="s">
        <v>229</v>
      </c>
      <c r="B90" s="19" t="s">
        <v>21</v>
      </c>
      <c r="C90" s="3"/>
      <c r="D90" s="3"/>
    </row>
    <row r="91" spans="1:4" x14ac:dyDescent="0.25">
      <c r="A91" s="3" t="s">
        <v>24</v>
      </c>
      <c r="B91" s="3" t="s">
        <v>388</v>
      </c>
      <c r="C91" s="3"/>
      <c r="D91" s="3" t="s">
        <v>389</v>
      </c>
    </row>
    <row r="92" spans="1:4" x14ac:dyDescent="0.25">
      <c r="A92" s="4">
        <f ca="1">EDATE(Today,0.25)</f>
        <v>43466</v>
      </c>
      <c r="B92" s="3" t="s">
        <v>445</v>
      </c>
      <c r="C92" s="3"/>
      <c r="D92" s="3">
        <f ca="1">_xll.BDH(B92,"PX_LAST",Today,Today)</f>
        <v>-2.5</v>
      </c>
    </row>
    <row r="93" spans="1:4" x14ac:dyDescent="0.25">
      <c r="A93" s="4">
        <f ca="1">EDATE(Today,1)</f>
        <v>43497</v>
      </c>
      <c r="B93" s="3" t="s">
        <v>446</v>
      </c>
      <c r="C93" s="3"/>
      <c r="D93" s="3">
        <f ca="1">_xll.BDH(B93,"PX_LAST",Today,Today)</f>
        <v>-11.37</v>
      </c>
    </row>
    <row r="94" spans="1:4" x14ac:dyDescent="0.25">
      <c r="A94" s="4">
        <f ca="1">EDATE(A93,1)</f>
        <v>43525</v>
      </c>
      <c r="B94" s="3" t="s">
        <v>447</v>
      </c>
      <c r="C94" s="3"/>
      <c r="D94" s="3">
        <f ca="1">_xll.BDH(B94,"PX_LAST",Today,Today)</f>
        <v>-19.850000000000001</v>
      </c>
    </row>
    <row r="95" spans="1:4" x14ac:dyDescent="0.25">
      <c r="A95" s="4">
        <f t="shared" ref="A95:A98" ca="1" si="8">EDATE(A94,1)</f>
        <v>43556</v>
      </c>
      <c r="B95" s="3" t="s">
        <v>448</v>
      </c>
      <c r="C95" s="3"/>
      <c r="D95" s="3">
        <f ca="1">_xll.BDH(B95,"PX_LAST",Today,Today)</f>
        <v>-28.52</v>
      </c>
    </row>
    <row r="96" spans="1:4" x14ac:dyDescent="0.25">
      <c r="A96" s="4">
        <f t="shared" ca="1" si="8"/>
        <v>43586</v>
      </c>
      <c r="B96" s="3" t="s">
        <v>449</v>
      </c>
      <c r="C96" s="3"/>
      <c r="D96" s="3">
        <f ca="1">_xll.BDH(B96,"PX_LAST",Today,Today)</f>
        <v>-36.65</v>
      </c>
    </row>
    <row r="97" spans="1:4" x14ac:dyDescent="0.25">
      <c r="A97" s="4">
        <f t="shared" ca="1" si="8"/>
        <v>43617</v>
      </c>
      <c r="B97" s="3" t="s">
        <v>450</v>
      </c>
      <c r="C97" s="3"/>
      <c r="D97" s="3">
        <f ca="1">_xll.BDH(B97,"PX_LAST",Today,Today)</f>
        <v>-45.25</v>
      </c>
    </row>
    <row r="98" spans="1:4" x14ac:dyDescent="0.25">
      <c r="A98" s="4">
        <f t="shared" ca="1" si="8"/>
        <v>43647</v>
      </c>
      <c r="B98" s="3" t="s">
        <v>451</v>
      </c>
      <c r="C98" s="3"/>
      <c r="D98" s="3">
        <f ca="1">_xll.BDH(B98,"PX_LAST",Today,Today)</f>
        <v>-52.4</v>
      </c>
    </row>
    <row r="99" spans="1:4" x14ac:dyDescent="0.25">
      <c r="A99" s="4">
        <f ca="1">EDATE(A98,3)</f>
        <v>43739</v>
      </c>
      <c r="B99" s="3" t="s">
        <v>452</v>
      </c>
      <c r="C99" s="3"/>
      <c r="D99" s="3">
        <f ca="1">_xll.BDH(B99,"PX_LAST",Today,Today)</f>
        <v>-72.75</v>
      </c>
    </row>
    <row r="100" spans="1:4" x14ac:dyDescent="0.25">
      <c r="A100" s="4">
        <f ca="1">EDATE(A99,3)</f>
        <v>43831</v>
      </c>
      <c r="B100" s="3" t="s">
        <v>453</v>
      </c>
      <c r="C100" s="3"/>
      <c r="D100" s="3">
        <f ca="1">_xll.BDH(B100,"PX_LAST",Today,Today)</f>
        <v>-94.8</v>
      </c>
    </row>
    <row r="101" spans="1:4" x14ac:dyDescent="0.25">
      <c r="A101" s="4">
        <f ca="1">EDATE(A100,12)</f>
        <v>44197</v>
      </c>
      <c r="B101" s="3" t="s">
        <v>454</v>
      </c>
      <c r="C101" s="3"/>
      <c r="D101" s="3">
        <f ca="1">_xll.BDH(B101,"PX_LAST",Today,Today)</f>
        <v>-159.5</v>
      </c>
    </row>
    <row r="102" spans="1:4" x14ac:dyDescent="0.25">
      <c r="A102" s="4">
        <f t="shared" ref="A102:A109" ca="1" si="9">EDATE(A101,12)</f>
        <v>44562</v>
      </c>
      <c r="B102" s="3" t="s">
        <v>455</v>
      </c>
      <c r="C102" s="3"/>
      <c r="D102" s="3">
        <f ca="1">_xll.BDH(B102,"PX_LAST",Today,Today)</f>
        <v>-195.66</v>
      </c>
    </row>
    <row r="103" spans="1:4" x14ac:dyDescent="0.25">
      <c r="A103" s="4">
        <f t="shared" ca="1" si="9"/>
        <v>44927</v>
      </c>
      <c r="B103" t="s">
        <v>456</v>
      </c>
      <c r="C103" s="3"/>
      <c r="D103" s="3">
        <f ca="1">_xll.BDH(B103,"PX_LAST",Today,Today)</f>
        <v>-217.3</v>
      </c>
    </row>
    <row r="104" spans="1:4" x14ac:dyDescent="0.25">
      <c r="A104" s="4">
        <f t="shared" ca="1" si="9"/>
        <v>45292</v>
      </c>
      <c r="B104" t="s">
        <v>457</v>
      </c>
      <c r="C104" s="3"/>
      <c r="D104" s="3">
        <f ca="1">_xll.BDH(B104,"PX_LAST",Today,Today)</f>
        <v>-242.5</v>
      </c>
    </row>
    <row r="105" spans="1:4" x14ac:dyDescent="0.25">
      <c r="A105" s="4">
        <f t="shared" ca="1" si="9"/>
        <v>45658</v>
      </c>
      <c r="B105" t="s">
        <v>458</v>
      </c>
      <c r="C105" s="3"/>
      <c r="D105" s="3">
        <f ca="1">_xll.BDH(B105,"PX_LAST",Today,Today)</f>
        <v>-253</v>
      </c>
    </row>
    <row r="106" spans="1:4" x14ac:dyDescent="0.25">
      <c r="A106" s="4">
        <f t="shared" ca="1" si="9"/>
        <v>46023</v>
      </c>
      <c r="B106" t="s">
        <v>459</v>
      </c>
      <c r="C106" s="3"/>
      <c r="D106" s="3">
        <f ca="1">_xll.BDH(B106,"PX_LAST",Today,Today)</f>
        <v>-298.3</v>
      </c>
    </row>
    <row r="107" spans="1:4" x14ac:dyDescent="0.25">
      <c r="A107" s="4">
        <f t="shared" ca="1" si="9"/>
        <v>46388</v>
      </c>
      <c r="B107" t="s">
        <v>460</v>
      </c>
      <c r="C107" s="3"/>
      <c r="D107" s="3" t="str">
        <f ca="1">_xll.BDH(B107,"PX_LAST",Today,Today)</f>
        <v>#N/A N/A</v>
      </c>
    </row>
    <row r="108" spans="1:4" x14ac:dyDescent="0.25">
      <c r="A108" s="4">
        <f t="shared" ca="1" si="9"/>
        <v>46753</v>
      </c>
      <c r="B108" t="s">
        <v>461</v>
      </c>
      <c r="C108" s="3"/>
      <c r="D108" s="3">
        <f ca="1">_xll.BDH(B108,"PX_LAST",Today,Today)</f>
        <v>-355.6</v>
      </c>
    </row>
    <row r="109" spans="1:4" x14ac:dyDescent="0.25">
      <c r="A109" s="4">
        <f t="shared" ca="1" si="9"/>
        <v>47119</v>
      </c>
      <c r="B109" t="s">
        <v>462</v>
      </c>
      <c r="C109" s="3"/>
      <c r="D109" s="3" t="str">
        <f ca="1">_xll.BDH(B109,"PX_LAST",Today,Today)</f>
        <v>#N/A N/A</v>
      </c>
    </row>
    <row r="112" spans="1:4" x14ac:dyDescent="0.25">
      <c r="A112" s="19" t="s">
        <v>229</v>
      </c>
      <c r="B112" s="19" t="s">
        <v>247</v>
      </c>
      <c r="C112" s="3"/>
      <c r="D112" s="3"/>
    </row>
    <row r="113" spans="1:4" x14ac:dyDescent="0.25">
      <c r="A113" s="3" t="s">
        <v>24</v>
      </c>
      <c r="B113" s="3" t="s">
        <v>388</v>
      </c>
      <c r="C113" s="3"/>
      <c r="D113" s="3" t="s">
        <v>389</v>
      </c>
    </row>
    <row r="114" spans="1:4" x14ac:dyDescent="0.25">
      <c r="A114" s="4">
        <f ca="1">EDATE(Today,0.25)</f>
        <v>43466</v>
      </c>
      <c r="B114" s="3" t="s">
        <v>463</v>
      </c>
      <c r="C114" s="3"/>
      <c r="D114" s="3">
        <f ca="1">_xll.BDH(B114,"PX_LAST",Today,Today)</f>
        <v>-6.49</v>
      </c>
    </row>
    <row r="115" spans="1:4" x14ac:dyDescent="0.25">
      <c r="A115" s="4">
        <f ca="1">EDATE(Today,1)</f>
        <v>43497</v>
      </c>
      <c r="B115" s="3" t="s">
        <v>464</v>
      </c>
      <c r="C115" s="3"/>
      <c r="D115" s="3">
        <f ca="1">_xll.BDH(B115,"PX_LAST",Today,Today)</f>
        <v>-28.56</v>
      </c>
    </row>
    <row r="116" spans="1:4" x14ac:dyDescent="0.25">
      <c r="A116" s="4">
        <f ca="1">EDATE(A115,1)</f>
        <v>43525</v>
      </c>
      <c r="B116" s="3" t="s">
        <v>465</v>
      </c>
      <c r="C116" s="3"/>
      <c r="D116" s="3">
        <f ca="1">_xll.BDH(B116,"PX_LAST",Today,Today)</f>
        <v>-54.1</v>
      </c>
    </row>
    <row r="117" spans="1:4" x14ac:dyDescent="0.25">
      <c r="A117" s="4">
        <f t="shared" ref="A117:A120" ca="1" si="10">EDATE(A116,1)</f>
        <v>43556</v>
      </c>
      <c r="B117" s="3" t="s">
        <v>466</v>
      </c>
      <c r="C117" s="3"/>
      <c r="D117" s="3">
        <f ca="1">_xll.BDH(B117,"PX_LAST",Today,Today)</f>
        <v>-84.7</v>
      </c>
    </row>
    <row r="118" spans="1:4" x14ac:dyDescent="0.25">
      <c r="A118" s="4">
        <f t="shared" ca="1" si="10"/>
        <v>43586</v>
      </c>
      <c r="B118" s="3" t="s">
        <v>467</v>
      </c>
      <c r="C118" s="3"/>
      <c r="D118" s="3">
        <f ca="1">_xll.BDH(B118,"PX_LAST",Today,Today)</f>
        <v>-114.45</v>
      </c>
    </row>
    <row r="119" spans="1:4" x14ac:dyDescent="0.25">
      <c r="A119" s="4">
        <f t="shared" ca="1" si="10"/>
        <v>43617</v>
      </c>
      <c r="B119" s="3" t="s">
        <v>468</v>
      </c>
      <c r="C119" s="3"/>
      <c r="D119" s="3">
        <f ca="1">_xll.BDH(B119,"PX_LAST",Today,Today)</f>
        <v>-141.19999999999999</v>
      </c>
    </row>
    <row r="120" spans="1:4" x14ac:dyDescent="0.25">
      <c r="A120" s="4">
        <f t="shared" ca="1" si="10"/>
        <v>43647</v>
      </c>
      <c r="B120" s="3" t="s">
        <v>469</v>
      </c>
      <c r="C120" s="3"/>
      <c r="D120" s="3">
        <f ca="1">_xll.BDH(B120,"PX_LAST",Today,Today)</f>
        <v>-170.95</v>
      </c>
    </row>
    <row r="121" spans="1:4" x14ac:dyDescent="0.25">
      <c r="A121" s="4">
        <f ca="1">EDATE(A120,3)</f>
        <v>43739</v>
      </c>
      <c r="B121" s="3" t="s">
        <v>470</v>
      </c>
      <c r="C121" s="3"/>
      <c r="D121" s="3">
        <f ca="1">_xll.BDH(B121,"PX_LAST",Today,Today)</f>
        <v>-255.16</v>
      </c>
    </row>
    <row r="122" spans="1:4" x14ac:dyDescent="0.25">
      <c r="A122" s="4">
        <f ca="1">EDATE(A121,3)</f>
        <v>43831</v>
      </c>
      <c r="B122" s="3" t="s">
        <v>471</v>
      </c>
      <c r="C122" s="3"/>
      <c r="D122" s="3">
        <f ca="1">_xll.BDH(B122,"PX_LAST",Today,Today)</f>
        <v>-343.97</v>
      </c>
    </row>
    <row r="123" spans="1:4" x14ac:dyDescent="0.25">
      <c r="A123" s="4">
        <f ca="1">EDATE(A122,12)</f>
        <v>44197</v>
      </c>
      <c r="B123" s="3" t="s">
        <v>472</v>
      </c>
      <c r="C123" s="3"/>
      <c r="D123" s="3">
        <f ca="1">_xll.BDH(B123,"PX_LAST",Today,Today)</f>
        <v>-644.52</v>
      </c>
    </row>
    <row r="124" spans="1:4" x14ac:dyDescent="0.25">
      <c r="A124" s="4">
        <f t="shared" ref="A124:A131" ca="1" si="11">EDATE(A123,12)</f>
        <v>44562</v>
      </c>
      <c r="B124" t="s">
        <v>473</v>
      </c>
      <c r="C124" s="3"/>
      <c r="D124" s="3">
        <f ca="1">_xll.BDH(B124,"PX_LAST",Today,Today)</f>
        <v>-915</v>
      </c>
    </row>
    <row r="125" spans="1:4" x14ac:dyDescent="0.25">
      <c r="A125" s="4">
        <f t="shared" ca="1" si="11"/>
        <v>44927</v>
      </c>
      <c r="B125" t="s">
        <v>474</v>
      </c>
      <c r="C125" s="3"/>
      <c r="D125" s="3">
        <f ca="1">_xll.BDH(B125,"PX_LAST",Today,Today)</f>
        <v>-1164.28</v>
      </c>
    </row>
    <row r="126" spans="1:4" x14ac:dyDescent="0.25">
      <c r="A126" s="4">
        <f t="shared" ca="1" si="11"/>
        <v>45292</v>
      </c>
      <c r="B126" t="s">
        <v>475</v>
      </c>
      <c r="C126" s="3"/>
      <c r="D126" s="3">
        <f ca="1">_xll.BDH(B126,"PX_LAST",Today,Today)</f>
        <v>-1389.14</v>
      </c>
    </row>
    <row r="127" spans="1:4" x14ac:dyDescent="0.25">
      <c r="A127" s="4">
        <f t="shared" ca="1" si="11"/>
        <v>45658</v>
      </c>
      <c r="B127" t="s">
        <v>476</v>
      </c>
      <c r="C127" s="3"/>
      <c r="D127" s="3">
        <f ca="1">_xll.BDH(B127,"PX_LAST",Today,Today)</f>
        <v>-1606.14</v>
      </c>
    </row>
    <row r="128" spans="1:4" x14ac:dyDescent="0.25">
      <c r="A128" s="4">
        <f t="shared" ca="1" si="11"/>
        <v>46023</v>
      </c>
      <c r="B128" t="s">
        <v>477</v>
      </c>
      <c r="C128" s="3"/>
      <c r="D128" s="3">
        <f ca="1">_xll.BDH(B128,"PX_LAST",Today,Today)</f>
        <v>-1810.65</v>
      </c>
    </row>
    <row r="129" spans="1:4" x14ac:dyDescent="0.25">
      <c r="A129" s="4">
        <f t="shared" ca="1" si="11"/>
        <v>46388</v>
      </c>
      <c r="B129" t="s">
        <v>478</v>
      </c>
      <c r="C129" s="3"/>
      <c r="D129" s="3">
        <f ca="1">_xll.BDH(B129,"PX_LAST",Today,Today)</f>
        <v>-1998.72</v>
      </c>
    </row>
    <row r="130" spans="1:4" x14ac:dyDescent="0.25">
      <c r="A130" s="4">
        <f t="shared" ca="1" si="11"/>
        <v>46753</v>
      </c>
      <c r="B130" t="s">
        <v>479</v>
      </c>
      <c r="C130" s="3"/>
      <c r="D130" s="3">
        <f ca="1">_xll.BDH(B130,"PX_LAST",Today,Today)</f>
        <v>-2167.04</v>
      </c>
    </row>
    <row r="131" spans="1:4" x14ac:dyDescent="0.25">
      <c r="A131" s="4">
        <f t="shared" ca="1" si="11"/>
        <v>47119</v>
      </c>
      <c r="B131" t="s">
        <v>480</v>
      </c>
      <c r="C131" s="3"/>
      <c r="D131" s="3">
        <f ca="1">_xll.BDH(B131,"PX_LAST",Today,Today)</f>
        <v>-2341.1799999999998</v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Pricer</vt:lpstr>
      <vt:lpstr>DFs</vt:lpstr>
      <vt:lpstr>Schedule</vt:lpstr>
      <vt:lpstr>FX_Live</vt:lpstr>
      <vt:lpstr>Rate_Live</vt:lpstr>
      <vt:lpstr>Rate_History</vt:lpstr>
      <vt:lpstr>FX_Curve_Live</vt:lpstr>
      <vt:lpstr>FX_Curve_History</vt:lpstr>
      <vt:lpstr>FXFR</vt:lpstr>
      <vt:lpstr>Cash_Date</vt:lpstr>
      <vt:lpstr>Future_Date</vt:lpstr>
      <vt:lpstr>Rate_History!JPY_1Y_Adj</vt:lpstr>
      <vt:lpstr>JPY_1Y_Adj</vt:lpstr>
      <vt:lpstr>Rate_History!JPY_2Y_Adj</vt:lpstr>
      <vt:lpstr>JPY_2Y_Adj</vt:lpstr>
      <vt:lpstr>Rate_History!Pre_Date</vt:lpstr>
      <vt:lpstr>Pre_Date</vt:lpstr>
      <vt:lpstr>Rate_History!Pre_Date_BRL</vt:lpstr>
      <vt:lpstr>Pre_Date_BRL</vt:lpstr>
      <vt:lpstr>Rate_History!sdate</vt:lpstr>
      <vt:lpstr>sdate</vt:lpstr>
      <vt:lpstr>Swap_Date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ACM01</dc:creator>
  <cp:lastModifiedBy>ACM05</cp:lastModifiedBy>
  <cp:lastPrinted>2018-12-14T13:00:55Z</cp:lastPrinted>
  <dcterms:created xsi:type="dcterms:W3CDTF">2016-08-08T18:43:15Z</dcterms:created>
  <dcterms:modified xsi:type="dcterms:W3CDTF">2019-01-02T21:36:48Z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f147c6a4-06f9-40ff-a106-4986310b0425</vt:lpwstr>
  </property>
  <property fmtid="{D5CDD505-2E9C-101B-9397-08002B2CF9AE}" pid="3" name="SpreadsheetBuilder_1">
    <vt:lpwstr>eyIwIjoiSGlzdG9yeSIsIjEiOjAsIjIiOjEsIjMiOjEsIjQiOjEsIjUiOjEsIjYiOjEsIjciOjEsIjgiOjEsIjkiOjEsIjEwIjoxLCIxMSI6MH0=</vt:lpwstr>
  </property>
  <property fmtid="{D5CDD505-2E9C-101B-9397-08002B2CF9AE}" pid="4" name="SpreadsheetBuilder_2">
    <vt:lpwstr>eyIwIjoiSGlzdG9yeSIsIjEiOjAsIjIiOjEsIjMiOjEsIjQiOjEsIjUiOjEsIjYiOjEsIjciOjEsIjgiOjAsIjkiOjEsIjEwIjoxLCIxMSI6MH0=</vt:lpwstr>
  </property>
  <property fmtid="{D5CDD505-2E9C-101B-9397-08002B2CF9AE}" pid="5" name="SpreadsheetBuilder_3">
    <vt:lpwstr>eyIwIjoiSGlzdG9yeSIsIjEiOjAsIjIiOjEsIjMiOjEsIjQiOjEsIjUiOjEsIjYiOjEsIjciOjEsIjgiOjAsIjkiOjEsIjEwIjoxLCIxMSI6MH0=</vt:lpwstr>
  </property>
</Properties>
</file>